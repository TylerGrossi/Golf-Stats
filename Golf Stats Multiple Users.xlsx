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5309" documentId="8_{9AE64634-5422-4F5B-895A-4A485BAD1836}" xr6:coauthVersionLast="47" xr6:coauthVersionMax="47" xr10:uidLastSave="{412275EB-1346-45EE-B3E4-FE9E2C6FB84E}"/>
  <bookViews>
    <workbookView xWindow="-120" yWindow="-120" windowWidth="29040" windowHeight="16440" activeTab="2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Q1208" i="12" l="1" a="1"/>
  <c r="Q1208" i="12" s="1"/>
  <c r="Q1209" i="12" a="1"/>
  <c r="Q1209" i="12" s="1"/>
  <c r="Q1210" i="12" a="1"/>
  <c r="Q1210" i="12" s="1"/>
  <c r="Q1211" i="12" a="1"/>
  <c r="Q1211" i="12" s="1"/>
  <c r="Q1212" i="12" a="1"/>
  <c r="Q1212" i="12" s="1"/>
  <c r="Q1213" i="12" a="1"/>
  <c r="Q1213" i="12" s="1"/>
  <c r="Q1214" i="12" a="1"/>
  <c r="Q1214" i="12" s="1"/>
  <c r="Q1215" i="12" a="1"/>
  <c r="Q1215" i="12" s="1"/>
  <c r="Q1216" i="12" a="1"/>
  <c r="Q1216" i="12" s="1"/>
  <c r="Q1217" i="12" a="1"/>
  <c r="Q1217" i="12" s="1"/>
  <c r="Q1218" i="12" a="1"/>
  <c r="Q1218" i="12" s="1"/>
  <c r="Q1219" i="12" a="1"/>
  <c r="Q1219" i="12" s="1"/>
  <c r="Q1220" i="12" a="1"/>
  <c r="Q1220" i="12" s="1"/>
  <c r="Q1221" i="12" a="1"/>
  <c r="Q1221" i="12" s="1"/>
  <c r="Q1222" i="12" a="1"/>
  <c r="Q1222" i="12" s="1"/>
  <c r="Q1223" i="12" a="1"/>
  <c r="Q1223" i="12" s="1"/>
  <c r="Q1224" i="12" a="1"/>
  <c r="Q1224" i="12" s="1"/>
  <c r="Q1225" i="12" a="1"/>
  <c r="Q1225" i="12" s="1"/>
  <c r="Q1172" i="12" a="1"/>
  <c r="Q1172" i="12" s="1"/>
  <c r="Q1173" i="12" a="1"/>
  <c r="Q1173" i="12" s="1"/>
  <c r="Q1174" i="12" a="1"/>
  <c r="Q1174" i="12" s="1"/>
  <c r="Q1175" i="12" a="1"/>
  <c r="Q1175" i="12" s="1"/>
  <c r="Q1176" i="12" a="1"/>
  <c r="Q1176" i="12" s="1"/>
  <c r="Q1177" i="12" a="1"/>
  <c r="Q1177" i="12" s="1"/>
  <c r="Q1178" i="12" a="1"/>
  <c r="Q1178" i="12" s="1"/>
  <c r="Q1179" i="12" a="1"/>
  <c r="Q1179" i="12" s="1"/>
  <c r="Q1180" i="12" a="1"/>
  <c r="Q1180" i="12" s="1"/>
  <c r="Q1181" i="12" a="1"/>
  <c r="Q1181" i="12" s="1"/>
  <c r="Q1182" i="12" a="1"/>
  <c r="Q1182" i="12" s="1"/>
  <c r="Q1183" i="12" a="1"/>
  <c r="Q1183" i="12" s="1"/>
  <c r="Q1184" i="12" a="1"/>
  <c r="Q1184" i="12" s="1"/>
  <c r="Q1185" i="12" a="1"/>
  <c r="Q1185" i="12" s="1"/>
  <c r="Q1186" i="12" a="1"/>
  <c r="Q1186" i="12" s="1"/>
  <c r="Q1187" i="12" a="1"/>
  <c r="Q1187" i="12" s="1"/>
  <c r="Q1188" i="12" a="1"/>
  <c r="Q1188" i="12" s="1"/>
  <c r="Q1189" i="12" a="1"/>
  <c r="Q1189" i="12" s="1"/>
  <c r="Q1190" i="12" a="1"/>
  <c r="Q1190" i="12" s="1"/>
  <c r="Q1191" i="12" a="1"/>
  <c r="Q1191" i="12" s="1"/>
  <c r="Q1192" i="12" a="1"/>
  <c r="Q1192" i="12" s="1"/>
  <c r="Q1193" i="12" a="1"/>
  <c r="Q1193" i="12" s="1"/>
  <c r="Q1194" i="12" a="1"/>
  <c r="Q1194" i="12" s="1"/>
  <c r="Q1195" i="12" a="1"/>
  <c r="Q1195" i="12" s="1"/>
  <c r="Q1196" i="12" a="1"/>
  <c r="Q1196" i="12" s="1"/>
  <c r="Q1197" i="12" a="1"/>
  <c r="Q1197" i="12" s="1"/>
  <c r="Q1198" i="12" a="1"/>
  <c r="Q1198" i="12" s="1"/>
  <c r="Q1199" i="12" a="1"/>
  <c r="Q1199" i="12" s="1"/>
  <c r="Q1200" i="12" a="1"/>
  <c r="Q1200" i="12" s="1"/>
  <c r="Q1201" i="12" a="1"/>
  <c r="Q1201" i="12" s="1"/>
  <c r="Q1202" i="12" a="1"/>
  <c r="Q1202" i="12" s="1"/>
  <c r="Q1203" i="12" a="1"/>
  <c r="Q1203" i="12" s="1"/>
  <c r="Q1204" i="12" a="1"/>
  <c r="Q1204" i="12" s="1"/>
  <c r="Q1205" i="12" a="1"/>
  <c r="Q1205" i="12" s="1"/>
  <c r="Q1206" i="12" a="1"/>
  <c r="Q1206" i="12" s="1"/>
  <c r="Q1207" i="12" a="1"/>
  <c r="Q1207" i="12" s="1"/>
  <c r="Q1154" i="12" a="1"/>
  <c r="Q1154" i="12" s="1"/>
  <c r="Q1155" i="12" a="1"/>
  <c r="Q1155" i="12" s="1"/>
  <c r="Q1156" i="12" a="1"/>
  <c r="Q1156" i="12" s="1"/>
  <c r="Q1157" i="12" a="1"/>
  <c r="Q1157" i="12" s="1"/>
  <c r="Q1158" i="12" a="1"/>
  <c r="Q1158" i="12" s="1"/>
  <c r="Q1159" i="12" a="1"/>
  <c r="Q1159" i="12" s="1"/>
  <c r="Q1160" i="12" a="1"/>
  <c r="Q1160" i="12" s="1"/>
  <c r="Q1161" i="12" a="1"/>
  <c r="Q1161" i="12" s="1"/>
  <c r="Q1162" i="12" a="1"/>
  <c r="Q1162" i="12" s="1"/>
  <c r="Q1163" i="12" a="1"/>
  <c r="Q1163" i="12" s="1"/>
  <c r="Q1164" i="12" a="1"/>
  <c r="Q1164" i="12" s="1"/>
  <c r="Q1165" i="12" a="1"/>
  <c r="Q1165" i="12" s="1"/>
  <c r="Q1166" i="12" a="1"/>
  <c r="Q1166" i="12" s="1"/>
  <c r="Q1167" i="12" a="1"/>
  <c r="Q1167" i="12" s="1"/>
  <c r="Q1168" i="12" a="1"/>
  <c r="Q1168" i="12" s="1"/>
  <c r="Q1169" i="12" a="1"/>
  <c r="Q1169" i="12" s="1"/>
  <c r="Q1170" i="12" a="1"/>
  <c r="Q1170" i="12" s="1"/>
  <c r="Q1171" i="12" a="1"/>
  <c r="Q1171" i="12" s="1"/>
  <c r="Q1136" i="12" a="1"/>
  <c r="Q1136" i="12" s="1"/>
  <c r="Q1137" i="12" a="1"/>
  <c r="Q1137" i="12" s="1"/>
  <c r="Q1138" i="12" a="1"/>
  <c r="Q1138" i="12" s="1"/>
  <c r="Q1139" i="12" a="1"/>
  <c r="Q1139" i="12" s="1"/>
  <c r="Q1140" i="12" a="1"/>
  <c r="Q1140" i="12" s="1"/>
  <c r="Q1141" i="12" a="1"/>
  <c r="Q1141" i="12" s="1"/>
  <c r="Q1142" i="12" a="1"/>
  <c r="Q1142" i="12" s="1"/>
  <c r="Q1143" i="12" a="1"/>
  <c r="Q1143" i="12" s="1"/>
  <c r="Q1144" i="12" a="1"/>
  <c r="Q1144" i="12" s="1"/>
  <c r="Q1145" i="12" a="1"/>
  <c r="Q1145" i="12" s="1"/>
  <c r="Q1146" i="12" a="1"/>
  <c r="Q1146" i="12" s="1"/>
  <c r="Q1147" i="12" a="1"/>
  <c r="Q1147" i="12" s="1"/>
  <c r="Q1148" i="12" a="1"/>
  <c r="Q1148" i="12" s="1"/>
  <c r="Q1149" i="12" a="1"/>
  <c r="Q1149" i="12" s="1"/>
  <c r="Q1150" i="12" a="1"/>
  <c r="Q1150" i="12" s="1"/>
  <c r="Q1151" i="12" a="1"/>
  <c r="Q1151" i="12" s="1"/>
  <c r="Q1152" i="12" a="1"/>
  <c r="Q1152" i="12" s="1"/>
  <c r="Q1153" i="12" a="1"/>
  <c r="Q1153" i="12" s="1"/>
  <c r="Q1082" i="12" a="1"/>
  <c r="Q1082" i="12" s="1"/>
  <c r="Q1083" i="12" a="1"/>
  <c r="Q1083" i="12" s="1"/>
  <c r="Q1084" i="12" a="1"/>
  <c r="Q1084" i="12" s="1"/>
  <c r="Q1085" i="12" a="1"/>
  <c r="Q1085" i="12" s="1"/>
  <c r="Q1086" i="12" a="1"/>
  <c r="Q1086" i="12" s="1"/>
  <c r="Q1087" i="12" a="1"/>
  <c r="Q1087" i="12" s="1"/>
  <c r="Q1088" i="12" a="1"/>
  <c r="Q1088" i="12" s="1"/>
  <c r="Q1089" i="12" a="1"/>
  <c r="Q1089" i="12" s="1"/>
  <c r="Q1090" i="12" a="1"/>
  <c r="Q1090" i="12" s="1"/>
  <c r="Q1091" i="12" a="1"/>
  <c r="Q1091" i="12" s="1"/>
  <c r="Q1092" i="12" a="1"/>
  <c r="Q1092" i="12" s="1"/>
  <c r="Q1093" i="12" a="1"/>
  <c r="Q1093" i="12" s="1"/>
  <c r="Q1094" i="12" a="1"/>
  <c r="Q1094" i="12" s="1"/>
  <c r="Q1095" i="12" a="1"/>
  <c r="Q1095" i="12" s="1"/>
  <c r="Q1096" i="12" a="1"/>
  <c r="Q1096" i="12" s="1"/>
  <c r="Q1097" i="12" a="1"/>
  <c r="Q1097" i="12" s="1"/>
  <c r="Q1098" i="12" a="1"/>
  <c r="Q1098" i="12" s="1"/>
  <c r="Q1099" i="12" a="1"/>
  <c r="Q1099" i="12" s="1"/>
  <c r="Q1100" i="12" a="1"/>
  <c r="Q1100" i="12" s="1"/>
  <c r="Q1101" i="12" a="1"/>
  <c r="Q1101" i="12" s="1"/>
  <c r="Q1102" i="12" a="1"/>
  <c r="Q1102" i="12" s="1"/>
  <c r="Q1103" i="12" a="1"/>
  <c r="Q1103" i="12" s="1"/>
  <c r="Q1104" i="12" a="1"/>
  <c r="Q1104" i="12" s="1"/>
  <c r="Q1105" i="12" a="1"/>
  <c r="Q1105" i="12" s="1"/>
  <c r="Q1106" i="12" a="1"/>
  <c r="Q1106" i="12" s="1"/>
  <c r="Q1107" i="12" a="1"/>
  <c r="Q1107" i="12" s="1"/>
  <c r="Q1108" i="12" a="1"/>
  <c r="Q1108" i="12" s="1"/>
  <c r="Q1109" i="12" a="1"/>
  <c r="Q1109" i="12" s="1"/>
  <c r="Q1110" i="12" a="1"/>
  <c r="Q1110" i="12" s="1"/>
  <c r="Q1111" i="12" a="1"/>
  <c r="Q1111" i="12" s="1"/>
  <c r="Q1112" i="12" a="1"/>
  <c r="Q1112" i="12" s="1"/>
  <c r="Q1113" i="12" a="1"/>
  <c r="Q1113" i="12" s="1"/>
  <c r="Q1114" i="12" a="1"/>
  <c r="Q1114" i="12" s="1"/>
  <c r="Q1115" i="12" a="1"/>
  <c r="Q1115" i="12" s="1"/>
  <c r="Q1116" i="12" a="1"/>
  <c r="Q1116" i="12" s="1"/>
  <c r="Q1117" i="12" a="1"/>
  <c r="Q1117" i="12" s="1"/>
  <c r="Q1118" i="12" a="1"/>
  <c r="Q1118" i="12" s="1"/>
  <c r="Q1119" i="12" a="1"/>
  <c r="Q1119" i="12" s="1"/>
  <c r="Q1120" i="12" a="1"/>
  <c r="Q1120" i="12" s="1"/>
  <c r="Q1121" i="12" a="1"/>
  <c r="Q1121" i="12" s="1"/>
  <c r="Q1122" i="12" a="1"/>
  <c r="Q1122" i="12" s="1"/>
  <c r="Q1123" i="12" a="1"/>
  <c r="Q1123" i="12" s="1"/>
  <c r="Q1124" i="12" a="1"/>
  <c r="Q1124" i="12" s="1"/>
  <c r="Q1125" i="12" a="1"/>
  <c r="Q1125" i="12" s="1"/>
  <c r="Q1126" i="12" a="1"/>
  <c r="Q1126" i="12" s="1"/>
  <c r="Q1127" i="12" a="1"/>
  <c r="Q1127" i="12" s="1"/>
  <c r="Q1128" i="12" a="1"/>
  <c r="Q1128" i="12" s="1"/>
  <c r="Q1129" i="12" a="1"/>
  <c r="Q1129" i="12" s="1"/>
  <c r="Q1130" i="12" a="1"/>
  <c r="Q1130" i="12" s="1"/>
  <c r="Q1131" i="12" a="1"/>
  <c r="Q1131" i="12" s="1"/>
  <c r="Q1132" i="12" a="1"/>
  <c r="Q1132" i="12" s="1"/>
  <c r="Q1133" i="12" a="1"/>
  <c r="Q1133" i="12" s="1"/>
  <c r="Q1134" i="12" a="1"/>
  <c r="Q1134" i="12" s="1"/>
  <c r="Q1135" i="12" a="1"/>
  <c r="Q1135" i="12" s="1"/>
  <c r="Q848" i="12" a="1"/>
  <c r="Q848" i="12" s="1"/>
  <c r="Q849" i="12" a="1"/>
  <c r="Q849" i="12" s="1"/>
  <c r="Q850" i="12" a="1"/>
  <c r="Q850" i="12" s="1"/>
  <c r="Q851" i="12" a="1"/>
  <c r="Q851" i="12" s="1"/>
  <c r="Q852" i="12" a="1"/>
  <c r="Q852" i="12" s="1"/>
  <c r="Q853" i="12" a="1"/>
  <c r="Q853" i="12" s="1"/>
  <c r="Q854" i="12" a="1"/>
  <c r="Q854" i="12" s="1"/>
  <c r="Q855" i="12" a="1"/>
  <c r="Q855" i="12" s="1"/>
  <c r="Q856" i="12" a="1"/>
  <c r="Q856" i="12" s="1"/>
  <c r="Q857" i="12" a="1"/>
  <c r="Q857" i="12" s="1"/>
  <c r="Q858" i="12" a="1"/>
  <c r="Q858" i="12" s="1"/>
  <c r="Q859" i="12" a="1"/>
  <c r="Q859" i="12" s="1"/>
  <c r="Q860" i="12" a="1"/>
  <c r="Q860" i="12" s="1"/>
  <c r="Q861" i="12" a="1"/>
  <c r="Q861" i="12" s="1"/>
  <c r="Q862" i="12" a="1"/>
  <c r="Q862" i="12" s="1"/>
  <c r="Q863" i="12" a="1"/>
  <c r="Q863" i="12" s="1"/>
  <c r="Q864" i="12" a="1"/>
  <c r="Q864" i="12" s="1"/>
  <c r="Q865" i="12" a="1"/>
  <c r="Q865" i="12" s="1"/>
  <c r="Q866" i="12" a="1"/>
  <c r="Q866" i="12" s="1"/>
  <c r="Q867" i="12" a="1"/>
  <c r="Q867" i="12" s="1"/>
  <c r="Q868" i="12" a="1"/>
  <c r="Q868" i="12" s="1"/>
  <c r="Q869" i="12" a="1"/>
  <c r="Q869" i="12" s="1"/>
  <c r="Q870" i="12" a="1"/>
  <c r="Q870" i="12" s="1"/>
  <c r="Q871" i="12" a="1"/>
  <c r="Q871" i="12" s="1"/>
  <c r="Q872" i="12" a="1"/>
  <c r="Q872" i="12" s="1"/>
  <c r="Q873" i="12" a="1"/>
  <c r="Q873" i="12" s="1"/>
  <c r="Q874" i="12" a="1"/>
  <c r="Q874" i="12" s="1"/>
  <c r="Q875" i="12" a="1"/>
  <c r="Q875" i="12" s="1"/>
  <c r="Q876" i="12" a="1"/>
  <c r="Q876" i="12" s="1"/>
  <c r="Q877" i="12" a="1"/>
  <c r="Q877" i="12" s="1"/>
  <c r="Q878" i="12" a="1"/>
  <c r="Q878" i="12" s="1"/>
  <c r="Q879" i="12" a="1"/>
  <c r="Q879" i="12" s="1"/>
  <c r="Q880" i="12" a="1"/>
  <c r="Q880" i="12" s="1"/>
  <c r="Q881" i="12" a="1"/>
  <c r="Q881" i="12" s="1"/>
  <c r="Q882" i="12" a="1"/>
  <c r="Q882" i="12" s="1"/>
  <c r="Q883" i="12" a="1"/>
  <c r="Q883" i="12" s="1"/>
  <c r="Q884" i="12" a="1"/>
  <c r="Q884" i="12" s="1"/>
  <c r="Q885" i="12" a="1"/>
  <c r="Q885" i="12" s="1"/>
  <c r="Q886" i="12" a="1"/>
  <c r="Q886" i="12" s="1"/>
  <c r="Q887" i="12" a="1"/>
  <c r="Q887" i="12" s="1"/>
  <c r="Q888" i="12" a="1"/>
  <c r="Q888" i="12" s="1"/>
  <c r="Q889" i="12" a="1"/>
  <c r="Q889" i="12" s="1"/>
  <c r="Q890" i="12" a="1"/>
  <c r="Q890" i="12" s="1"/>
  <c r="Q891" i="12" a="1"/>
  <c r="Q891" i="12" s="1"/>
  <c r="Q892" i="12" a="1"/>
  <c r="Q892" i="12" s="1"/>
  <c r="Q893" i="12" a="1"/>
  <c r="Q893" i="12" s="1"/>
  <c r="Q894" i="12" a="1"/>
  <c r="Q894" i="12" s="1"/>
  <c r="Q895" i="12" a="1"/>
  <c r="Q895" i="12" s="1"/>
  <c r="Q896" i="12" a="1"/>
  <c r="Q896" i="12" s="1"/>
  <c r="Q897" i="12" a="1"/>
  <c r="Q897" i="12" s="1"/>
  <c r="Q898" i="12" a="1"/>
  <c r="Q898" i="12" s="1"/>
  <c r="Q899" i="12" a="1"/>
  <c r="Q899" i="12" s="1"/>
  <c r="Q900" i="12" a="1"/>
  <c r="Q900" i="12" s="1"/>
  <c r="Q901" i="12" a="1"/>
  <c r="Q901" i="12" s="1"/>
  <c r="Q902" i="12" a="1"/>
  <c r="Q902" i="12" s="1"/>
  <c r="Q903" i="12" a="1"/>
  <c r="Q903" i="12" s="1"/>
  <c r="Q904" i="12" a="1"/>
  <c r="Q904" i="12" s="1"/>
  <c r="Q905" i="12" a="1"/>
  <c r="Q905" i="12" s="1"/>
  <c r="Q906" i="12" a="1"/>
  <c r="Q906" i="12" s="1"/>
  <c r="Q907" i="12" a="1"/>
  <c r="Q907" i="12" s="1"/>
  <c r="Q908" i="12" a="1"/>
  <c r="Q908" i="12" s="1"/>
  <c r="Q909" i="12" a="1"/>
  <c r="Q909" i="12" s="1"/>
  <c r="Q910" i="12" a="1"/>
  <c r="Q910" i="12" s="1"/>
  <c r="Q911" i="12" a="1"/>
  <c r="Q911" i="12" s="1"/>
  <c r="Q912" i="12" a="1"/>
  <c r="Q912" i="12" s="1"/>
  <c r="Q913" i="12" a="1"/>
  <c r="Q913" i="12" s="1"/>
  <c r="Q914" i="12" a="1"/>
  <c r="Q914" i="12" s="1"/>
  <c r="Q915" i="12" a="1"/>
  <c r="Q915" i="12" s="1"/>
  <c r="Q916" i="12" a="1"/>
  <c r="Q916" i="12" s="1"/>
  <c r="Q917" i="12" a="1"/>
  <c r="Q917" i="12" s="1"/>
  <c r="Q918" i="12" a="1"/>
  <c r="Q918" i="12" s="1"/>
  <c r="Q919" i="12" a="1"/>
  <c r="Q919" i="12" s="1"/>
  <c r="Q920" i="12" a="1"/>
  <c r="Q920" i="12" s="1"/>
  <c r="Q921" i="12" a="1"/>
  <c r="Q921" i="12" s="1"/>
  <c r="Q922" i="12" a="1"/>
  <c r="Q922" i="12" s="1"/>
  <c r="Q923" i="12" a="1"/>
  <c r="Q923" i="12" s="1"/>
  <c r="Q924" i="12" a="1"/>
  <c r="Q924" i="12" s="1"/>
  <c r="Q925" i="12" a="1"/>
  <c r="Q925" i="12" s="1"/>
  <c r="Q926" i="12" a="1"/>
  <c r="Q926" i="12" s="1"/>
  <c r="Q927" i="12" a="1"/>
  <c r="Q927" i="12" s="1"/>
  <c r="Q928" i="12" a="1"/>
  <c r="Q928" i="12" s="1"/>
  <c r="Q929" i="12" a="1"/>
  <c r="Q929" i="12" s="1"/>
  <c r="Q930" i="12" a="1"/>
  <c r="Q930" i="12" s="1"/>
  <c r="Q931" i="12" a="1"/>
  <c r="Q931" i="12" s="1"/>
  <c r="Q932" i="12" a="1"/>
  <c r="Q932" i="12" s="1"/>
  <c r="Q933" i="12" a="1"/>
  <c r="Q933" i="12" s="1"/>
  <c r="Q934" i="12" a="1"/>
  <c r="Q934" i="12" s="1"/>
  <c r="Q935" i="12" a="1"/>
  <c r="Q935" i="12" s="1"/>
  <c r="Q936" i="12" a="1"/>
  <c r="Q936" i="12" s="1"/>
  <c r="Q937" i="12" a="1"/>
  <c r="Q937" i="12" s="1"/>
  <c r="Q938" i="12" a="1"/>
  <c r="Q938" i="12" s="1"/>
  <c r="Q939" i="12" a="1"/>
  <c r="Q939" i="12" s="1"/>
  <c r="Q940" i="12" a="1"/>
  <c r="Q940" i="12" s="1"/>
  <c r="Q941" i="12" a="1"/>
  <c r="Q941" i="12" s="1"/>
  <c r="Q942" i="12" a="1"/>
  <c r="Q942" i="12" s="1"/>
  <c r="Q943" i="12" a="1"/>
  <c r="Q943" i="12" s="1"/>
  <c r="Q944" i="12" a="1"/>
  <c r="Q944" i="12" s="1"/>
  <c r="Q945" i="12" a="1"/>
  <c r="Q945" i="12" s="1"/>
  <c r="Q946" i="12" a="1"/>
  <c r="Q946" i="12" s="1"/>
  <c r="Q947" i="12" a="1"/>
  <c r="Q947" i="12" s="1"/>
  <c r="Q948" i="12" a="1"/>
  <c r="Q948" i="12" s="1"/>
  <c r="Q949" i="12" a="1"/>
  <c r="Q949" i="12" s="1"/>
  <c r="Q950" i="12" a="1"/>
  <c r="Q950" i="12" s="1"/>
  <c r="Q951" i="12" a="1"/>
  <c r="Q951" i="12" s="1"/>
  <c r="Q952" i="12" a="1"/>
  <c r="Q952" i="12" s="1"/>
  <c r="Q953" i="12" a="1"/>
  <c r="Q953" i="12" s="1"/>
  <c r="Q954" i="12" a="1"/>
  <c r="Q954" i="12" s="1"/>
  <c r="Q955" i="12" a="1"/>
  <c r="Q955" i="12" s="1"/>
  <c r="Q956" i="12" a="1"/>
  <c r="Q956" i="12" s="1"/>
  <c r="Q957" i="12" a="1"/>
  <c r="Q957" i="12" s="1"/>
  <c r="Q958" i="12" a="1"/>
  <c r="Q958" i="12" s="1"/>
  <c r="Q959" i="12" a="1"/>
  <c r="Q959" i="12" s="1"/>
  <c r="Q960" i="12" a="1"/>
  <c r="Q960" i="12" s="1"/>
  <c r="Q961" i="12" a="1"/>
  <c r="Q961" i="12" s="1"/>
  <c r="Q962" i="12" a="1"/>
  <c r="Q962" i="12" s="1"/>
  <c r="Q963" i="12" a="1"/>
  <c r="Q963" i="12" s="1"/>
  <c r="Q964" i="12" a="1"/>
  <c r="Q964" i="12" s="1"/>
  <c r="Q965" i="12" a="1"/>
  <c r="Q965" i="12" s="1"/>
  <c r="Q966" i="12" a="1"/>
  <c r="Q966" i="12" s="1"/>
  <c r="Q967" i="12" a="1"/>
  <c r="Q967" i="12" s="1"/>
  <c r="Q968" i="12" a="1"/>
  <c r="Q968" i="12" s="1"/>
  <c r="Q969" i="12" a="1"/>
  <c r="Q969" i="12" s="1"/>
  <c r="Q970" i="12" a="1"/>
  <c r="Q970" i="12" s="1"/>
  <c r="Q971" i="12" a="1"/>
  <c r="Q971" i="12" s="1"/>
  <c r="Q972" i="12" a="1"/>
  <c r="Q972" i="12" s="1"/>
  <c r="Q973" i="12" a="1"/>
  <c r="Q973" i="12" s="1"/>
  <c r="Q974" i="12" a="1"/>
  <c r="Q974" i="12" s="1"/>
  <c r="Q975" i="12" a="1"/>
  <c r="Q975" i="12" s="1"/>
  <c r="Q976" i="12" a="1"/>
  <c r="Q976" i="12" s="1"/>
  <c r="Q977" i="12" a="1"/>
  <c r="Q977" i="12" s="1"/>
  <c r="Q978" i="12" a="1"/>
  <c r="Q978" i="12" s="1"/>
  <c r="Q979" i="12" a="1"/>
  <c r="Q979" i="12" s="1"/>
  <c r="Q980" i="12" a="1"/>
  <c r="Q980" i="12" s="1"/>
  <c r="Q981" i="12" a="1"/>
  <c r="Q981" i="12" s="1"/>
  <c r="Q982" i="12" a="1"/>
  <c r="Q982" i="12" s="1"/>
  <c r="Q983" i="12" a="1"/>
  <c r="Q983" i="12" s="1"/>
  <c r="Q984" i="12" a="1"/>
  <c r="Q984" i="12" s="1"/>
  <c r="Q985" i="12" a="1"/>
  <c r="Q985" i="12" s="1"/>
  <c r="Q986" i="12" a="1"/>
  <c r="Q986" i="12" s="1"/>
  <c r="Q987" i="12" a="1"/>
  <c r="Q987" i="12" s="1"/>
  <c r="Q988" i="12" a="1"/>
  <c r="Q988" i="12" s="1"/>
  <c r="Q989" i="12" a="1"/>
  <c r="Q989" i="12" s="1"/>
  <c r="Q990" i="12" a="1"/>
  <c r="Q990" i="12" s="1"/>
  <c r="Q991" i="12" a="1"/>
  <c r="Q991" i="12" s="1"/>
  <c r="Q992" i="12" a="1"/>
  <c r="Q992" i="12" s="1"/>
  <c r="Q993" i="12" a="1"/>
  <c r="Q993" i="12" s="1"/>
  <c r="Q994" i="12" a="1"/>
  <c r="Q994" i="12" s="1"/>
  <c r="Q995" i="12" a="1"/>
  <c r="Q995" i="12" s="1"/>
  <c r="Q996" i="12" a="1"/>
  <c r="Q996" i="12" s="1"/>
  <c r="Q997" i="12" a="1"/>
  <c r="Q997" i="12" s="1"/>
  <c r="Q998" i="12" a="1"/>
  <c r="Q998" i="12" s="1"/>
  <c r="Q999" i="12" a="1"/>
  <c r="Q999" i="12" s="1"/>
  <c r="Q1000" i="12" a="1"/>
  <c r="Q1000" i="12" s="1"/>
  <c r="Q1001" i="12" a="1"/>
  <c r="Q1001" i="12" s="1"/>
  <c r="Q1002" i="12" a="1"/>
  <c r="Q1002" i="12" s="1"/>
  <c r="Q1003" i="12" a="1"/>
  <c r="Q1003" i="12" s="1"/>
  <c r="Q1004" i="12" a="1"/>
  <c r="Q1004" i="12" s="1"/>
  <c r="Q1005" i="12" a="1"/>
  <c r="Q1005" i="12" s="1"/>
  <c r="Q1006" i="12" a="1"/>
  <c r="Q1006" i="12" s="1"/>
  <c r="Q1007" i="12" a="1"/>
  <c r="Q1007" i="12" s="1"/>
  <c r="Q1008" i="12" a="1"/>
  <c r="Q1008" i="12" s="1"/>
  <c r="Q1009" i="12" a="1"/>
  <c r="Q1009" i="12" s="1"/>
  <c r="Q1010" i="12" a="1"/>
  <c r="Q1010" i="12" s="1"/>
  <c r="Q1011" i="12" a="1"/>
  <c r="Q1011" i="12" s="1"/>
  <c r="Q1012" i="12" a="1"/>
  <c r="Q1012" i="12" s="1"/>
  <c r="Q1013" i="12" a="1"/>
  <c r="Q1013" i="12" s="1"/>
  <c r="Q1014" i="12" a="1"/>
  <c r="Q1014" i="12" s="1"/>
  <c r="Q1015" i="12" a="1"/>
  <c r="Q1015" i="12" s="1"/>
  <c r="Q1016" i="12" a="1"/>
  <c r="Q1016" i="12" s="1"/>
  <c r="Q1017" i="12" a="1"/>
  <c r="Q1017" i="12" s="1"/>
  <c r="Q1018" i="12" a="1"/>
  <c r="Q1018" i="12" s="1"/>
  <c r="Q1019" i="12" a="1"/>
  <c r="Q1019" i="12" s="1"/>
  <c r="Q1020" i="12" a="1"/>
  <c r="Q1020" i="12" s="1"/>
  <c r="Q1021" i="12" a="1"/>
  <c r="Q1021" i="12" s="1"/>
  <c r="Q1022" i="12" a="1"/>
  <c r="Q1022" i="12" s="1"/>
  <c r="Q1023" i="12" a="1"/>
  <c r="Q1023" i="12" s="1"/>
  <c r="Q1024" i="12" a="1"/>
  <c r="Q1024" i="12" s="1"/>
  <c r="Q1025" i="12" a="1"/>
  <c r="Q1025" i="12" s="1"/>
  <c r="Q1026" i="12" a="1"/>
  <c r="Q1026" i="12" s="1"/>
  <c r="Q1027" i="12" a="1"/>
  <c r="Q1027" i="12" s="1"/>
  <c r="Q1028" i="12" a="1"/>
  <c r="Q1028" i="12" s="1"/>
  <c r="Q1029" i="12" a="1"/>
  <c r="Q1029" i="12" s="1"/>
  <c r="Q1030" i="12" a="1"/>
  <c r="Q1030" i="12" s="1"/>
  <c r="Q1031" i="12" a="1"/>
  <c r="Q1031" i="12" s="1"/>
  <c r="Q1032" i="12" a="1"/>
  <c r="Q1032" i="12" s="1"/>
  <c r="Q1033" i="12" a="1"/>
  <c r="Q1033" i="12" s="1"/>
  <c r="Q1034" i="12" a="1"/>
  <c r="Q1034" i="12" s="1"/>
  <c r="Q1035" i="12" a="1"/>
  <c r="Q1035" i="12" s="1"/>
  <c r="Q1036" i="12" a="1"/>
  <c r="Q1036" i="12" s="1"/>
  <c r="Q1037" i="12" a="1"/>
  <c r="Q1037" i="12" s="1"/>
  <c r="Q1038" i="12" a="1"/>
  <c r="Q1038" i="12" s="1"/>
  <c r="Q1039" i="12" a="1"/>
  <c r="Q1039" i="12" s="1"/>
  <c r="Q1040" i="12" a="1"/>
  <c r="Q1040" i="12" s="1"/>
  <c r="Q1041" i="12" a="1"/>
  <c r="Q1041" i="12" s="1"/>
  <c r="Q1042" i="12" a="1"/>
  <c r="Q1042" i="12" s="1"/>
  <c r="Q1043" i="12" a="1"/>
  <c r="Q1043" i="12" s="1"/>
  <c r="Q1044" i="12" a="1"/>
  <c r="Q1044" i="12" s="1"/>
  <c r="Q1045" i="12" a="1"/>
  <c r="Q1045" i="12" s="1"/>
  <c r="Q1046" i="12" a="1"/>
  <c r="Q1046" i="12" s="1"/>
  <c r="Q1047" i="12" a="1"/>
  <c r="Q1047" i="12" s="1"/>
  <c r="Q1048" i="12" a="1"/>
  <c r="Q1048" i="12" s="1"/>
  <c r="Q1049" i="12" a="1"/>
  <c r="Q1049" i="12" s="1"/>
  <c r="Q1050" i="12" a="1"/>
  <c r="Q1050" i="12" s="1"/>
  <c r="Q1051" i="12" a="1"/>
  <c r="Q1051" i="12" s="1"/>
  <c r="Q1052" i="12" a="1"/>
  <c r="Q1052" i="12" s="1"/>
  <c r="Q1053" i="12" a="1"/>
  <c r="Q1053" i="12" s="1"/>
  <c r="Q1054" i="12" a="1"/>
  <c r="Q1054" i="12" s="1"/>
  <c r="Q1055" i="12" a="1"/>
  <c r="Q1055" i="12" s="1"/>
  <c r="Q1056" i="12" a="1"/>
  <c r="Q1056" i="12" s="1"/>
  <c r="Q1057" i="12" a="1"/>
  <c r="Q1057" i="12" s="1"/>
  <c r="Q1058" i="12" a="1"/>
  <c r="Q1058" i="12" s="1"/>
  <c r="Q1059" i="12" a="1"/>
  <c r="Q1059" i="12" s="1"/>
  <c r="Q1060" i="12" a="1"/>
  <c r="Q1060" i="12" s="1"/>
  <c r="Q1061" i="12" a="1"/>
  <c r="Q1061" i="12" s="1"/>
  <c r="Q1062" i="12" a="1"/>
  <c r="Q1062" i="12" s="1"/>
  <c r="Q1063" i="12" a="1"/>
  <c r="Q1063" i="12" s="1"/>
  <c r="Q1064" i="12" a="1"/>
  <c r="Q1064" i="12" s="1"/>
  <c r="Q1065" i="12" a="1"/>
  <c r="Q1065" i="12" s="1"/>
  <c r="Q1066" i="12" a="1"/>
  <c r="Q1066" i="12" s="1"/>
  <c r="Q1067" i="12" a="1"/>
  <c r="Q1067" i="12" s="1"/>
  <c r="Q1068" i="12" a="1"/>
  <c r="Q1068" i="12" s="1"/>
  <c r="Q1069" i="12" a="1"/>
  <c r="Q1069" i="12" s="1"/>
  <c r="Q1070" i="12" a="1"/>
  <c r="Q1070" i="12" s="1"/>
  <c r="Q1071" i="12" a="1"/>
  <c r="Q1071" i="12" s="1"/>
  <c r="Q1072" i="12" a="1"/>
  <c r="Q1072" i="12" s="1"/>
  <c r="Q1073" i="12" a="1"/>
  <c r="Q1073" i="12" s="1"/>
  <c r="Q1074" i="12" a="1"/>
  <c r="Q1074" i="12" s="1"/>
  <c r="Q1075" i="12" a="1"/>
  <c r="Q1075" i="12" s="1"/>
  <c r="Q1076" i="12" a="1"/>
  <c r="Q1076" i="12" s="1"/>
  <c r="Q1077" i="12" a="1"/>
  <c r="Q1077" i="12" s="1"/>
  <c r="Q1078" i="12" a="1"/>
  <c r="Q1078" i="12" s="1"/>
  <c r="Q1079" i="12" a="1"/>
  <c r="Q1079" i="12" s="1"/>
  <c r="Q1080" i="12" a="1"/>
  <c r="Q1080" i="12" s="1"/>
  <c r="Q1081" i="12" a="1"/>
  <c r="Q1081" i="12" s="1"/>
  <c r="Q830" i="12" a="1"/>
  <c r="Q830" i="12" s="1"/>
  <c r="Q831" i="12" a="1"/>
  <c r="Q831" i="12" s="1"/>
  <c r="Q832" i="12" a="1"/>
  <c r="Q832" i="12" s="1"/>
  <c r="Q833" i="12" a="1"/>
  <c r="Q833" i="12" s="1"/>
  <c r="Q834" i="12" a="1"/>
  <c r="Q834" i="12" s="1"/>
  <c r="Q835" i="12" a="1"/>
  <c r="Q835" i="12" s="1"/>
  <c r="Q836" i="12" a="1"/>
  <c r="Q836" i="12" s="1"/>
  <c r="Q837" i="12" a="1"/>
  <c r="Q837" i="12" s="1"/>
  <c r="Q838" i="12" a="1"/>
  <c r="Q838" i="12" s="1"/>
  <c r="Q839" i="12" a="1"/>
  <c r="Q839" i="12" s="1"/>
  <c r="Q840" i="12" a="1"/>
  <c r="Q840" i="12" s="1"/>
  <c r="Q841" i="12" a="1"/>
  <c r="Q841" i="12" s="1"/>
  <c r="Q842" i="12" a="1"/>
  <c r="Q842" i="12" s="1"/>
  <c r="Q843" i="12" a="1"/>
  <c r="Q843" i="12" s="1"/>
  <c r="Q844" i="12" a="1"/>
  <c r="Q844" i="12" s="1"/>
  <c r="Q845" i="12" a="1"/>
  <c r="Q845" i="12" s="1"/>
  <c r="Q846" i="12" a="1"/>
  <c r="Q846" i="12" s="1"/>
  <c r="Q847" i="12" a="1"/>
  <c r="Q847" i="12" s="1"/>
  <c r="Q758" i="12" a="1"/>
  <c r="Q758" i="12" s="1"/>
  <c r="Q759" i="12" a="1"/>
  <c r="Q759" i="12" s="1"/>
  <c r="Q760" i="12" a="1"/>
  <c r="Q760" i="12" s="1"/>
  <c r="Q761" i="12" a="1"/>
  <c r="Q761" i="12" s="1"/>
  <c r="Q762" i="12" a="1"/>
  <c r="Q762" i="12" s="1"/>
  <c r="Q763" i="12" a="1"/>
  <c r="Q763" i="12" s="1"/>
  <c r="Q764" i="12" a="1"/>
  <c r="Q764" i="12" s="1"/>
  <c r="Q765" i="12" a="1"/>
  <c r="Q765" i="12" s="1"/>
  <c r="Q766" i="12" a="1"/>
  <c r="Q766" i="12" s="1"/>
  <c r="Q767" i="12" a="1"/>
  <c r="Q767" i="12" s="1"/>
  <c r="Q768" i="12" a="1"/>
  <c r="Q768" i="12" s="1"/>
  <c r="Q769" i="12" a="1"/>
  <c r="Q769" i="12" s="1"/>
  <c r="Q770" i="12" a="1"/>
  <c r="Q770" i="12" s="1"/>
  <c r="Q771" i="12" a="1"/>
  <c r="Q771" i="12" s="1"/>
  <c r="Q772" i="12" a="1"/>
  <c r="Q772" i="12" s="1"/>
  <c r="Q773" i="12" a="1"/>
  <c r="Q773" i="12" s="1"/>
  <c r="Q774" i="12" a="1"/>
  <c r="Q774" i="12" s="1"/>
  <c r="Q775" i="12" a="1"/>
  <c r="Q775" i="12" s="1"/>
  <c r="Q776" i="12" a="1"/>
  <c r="Q776" i="12" s="1"/>
  <c r="Q777" i="12" a="1"/>
  <c r="Q777" i="12" s="1"/>
  <c r="Q778" i="12" a="1"/>
  <c r="Q778" i="12" s="1"/>
  <c r="Q779" i="12" a="1"/>
  <c r="Q779" i="12" s="1"/>
  <c r="Q780" i="12" a="1"/>
  <c r="Q780" i="12" s="1"/>
  <c r="Q781" i="12" a="1"/>
  <c r="Q781" i="12" s="1"/>
  <c r="Q782" i="12" a="1"/>
  <c r="Q782" i="12" s="1"/>
  <c r="Q783" i="12" a="1"/>
  <c r="Q783" i="12" s="1"/>
  <c r="Q784" i="12" a="1"/>
  <c r="Q784" i="12" s="1"/>
  <c r="Q785" i="12" a="1"/>
  <c r="Q785" i="12" s="1"/>
  <c r="Q786" i="12" a="1"/>
  <c r="Q786" i="12" s="1"/>
  <c r="Q787" i="12" a="1"/>
  <c r="Q787" i="12" s="1"/>
  <c r="Q788" i="12" a="1"/>
  <c r="Q788" i="12" s="1"/>
  <c r="Q789" i="12" a="1"/>
  <c r="Q789" i="12" s="1"/>
  <c r="Q790" i="12" a="1"/>
  <c r="Q790" i="12" s="1"/>
  <c r="Q791" i="12" a="1"/>
  <c r="Q791" i="12" s="1"/>
  <c r="Q792" i="12" a="1"/>
  <c r="Q792" i="12" s="1"/>
  <c r="Q793" i="12" a="1"/>
  <c r="Q793" i="12" s="1"/>
  <c r="Q794" i="12" a="1"/>
  <c r="Q794" i="12" s="1"/>
  <c r="Q795" i="12" a="1"/>
  <c r="Q795" i="12" s="1"/>
  <c r="Q796" i="12" a="1"/>
  <c r="Q796" i="12" s="1"/>
  <c r="Q797" i="12" a="1"/>
  <c r="Q797" i="12" s="1"/>
  <c r="Q798" i="12" a="1"/>
  <c r="Q798" i="12" s="1"/>
  <c r="Q799" i="12" a="1"/>
  <c r="Q799" i="12" s="1"/>
  <c r="Q800" i="12" a="1"/>
  <c r="Q800" i="12" s="1"/>
  <c r="Q801" i="12" a="1"/>
  <c r="Q801" i="12" s="1"/>
  <c r="Q802" i="12" a="1"/>
  <c r="Q802" i="12" s="1"/>
  <c r="Q803" i="12" a="1"/>
  <c r="Q803" i="12" s="1"/>
  <c r="Q804" i="12" a="1"/>
  <c r="Q804" i="12" s="1"/>
  <c r="Q805" i="12" a="1"/>
  <c r="Q805" i="12" s="1"/>
  <c r="Q806" i="12" a="1"/>
  <c r="Q806" i="12" s="1"/>
  <c r="Q807" i="12" a="1"/>
  <c r="Q807" i="12" s="1"/>
  <c r="Q808" i="12" a="1"/>
  <c r="Q808" i="12" s="1"/>
  <c r="Q809" i="12" a="1"/>
  <c r="Q809" i="12" s="1"/>
  <c r="Q810" i="12" a="1"/>
  <c r="Q810" i="12" s="1"/>
  <c r="Q811" i="12" a="1"/>
  <c r="Q811" i="12" s="1"/>
  <c r="Q812" i="12" a="1"/>
  <c r="Q812" i="12" s="1"/>
  <c r="Q813" i="12" a="1"/>
  <c r="Q813" i="12" s="1"/>
  <c r="Q814" i="12" a="1"/>
  <c r="Q814" i="12" s="1"/>
  <c r="Q815" i="12" a="1"/>
  <c r="Q815" i="12" s="1"/>
  <c r="Q816" i="12" a="1"/>
  <c r="Q816" i="12" s="1"/>
  <c r="Q817" i="12" a="1"/>
  <c r="Q817" i="12" s="1"/>
  <c r="Q818" i="12" a="1"/>
  <c r="Q818" i="12" s="1"/>
  <c r="Q819" i="12" a="1"/>
  <c r="Q819" i="12" s="1"/>
  <c r="Q820" i="12" a="1"/>
  <c r="Q820" i="12" s="1"/>
  <c r="Q821" i="12" a="1"/>
  <c r="Q821" i="12" s="1"/>
  <c r="Q822" i="12" a="1"/>
  <c r="Q822" i="12" s="1"/>
  <c r="Q823" i="12" a="1"/>
  <c r="Q823" i="12" s="1"/>
  <c r="Q824" i="12" a="1"/>
  <c r="Q824" i="12" s="1"/>
  <c r="Q825" i="12" a="1"/>
  <c r="Q825" i="12" s="1"/>
  <c r="Q826" i="12" a="1"/>
  <c r="Q826" i="12" s="1"/>
  <c r="Q827" i="12" a="1"/>
  <c r="Q827" i="12" s="1"/>
  <c r="Q828" i="12" a="1"/>
  <c r="Q828" i="12" s="1"/>
  <c r="Q829" i="12" a="1"/>
  <c r="Q829" i="12" s="1"/>
  <c r="Q3" i="12" a="1"/>
  <c r="Q3" i="12" s="1"/>
  <c r="Q4" i="12" a="1"/>
  <c r="Q4" i="12" s="1"/>
  <c r="Q5" i="12" a="1"/>
  <c r="Q5" i="12" s="1"/>
  <c r="Q6" i="12" a="1"/>
  <c r="Q6" i="12" s="1"/>
  <c r="Q7" i="12" a="1"/>
  <c r="Q7" i="12" s="1"/>
  <c r="Q8" i="12" a="1"/>
  <c r="Q8" i="12" s="1"/>
  <c r="Q9" i="12" a="1"/>
  <c r="Q9" i="12" s="1"/>
  <c r="Q10" i="12" a="1"/>
  <c r="Q10" i="12" s="1"/>
  <c r="Q11" i="12" a="1"/>
  <c r="Q11" i="12" s="1"/>
  <c r="Q12" i="12" a="1"/>
  <c r="Q12" i="12" s="1"/>
  <c r="Q13" i="12" a="1"/>
  <c r="Q13" i="12" s="1"/>
  <c r="Q14" i="12" a="1"/>
  <c r="Q14" i="12" s="1"/>
  <c r="Q15" i="12" a="1"/>
  <c r="Q15" i="12" s="1"/>
  <c r="Q16" i="12" a="1"/>
  <c r="Q16" i="12" s="1"/>
  <c r="Q17" i="12" a="1"/>
  <c r="Q17" i="12" s="1"/>
  <c r="Q18" i="12" a="1"/>
  <c r="Q18" i="12" s="1"/>
  <c r="Q19" i="12" a="1"/>
  <c r="Q19" i="12" s="1"/>
  <c r="Q20" i="12" a="1"/>
  <c r="Q20" i="12" s="1"/>
  <c r="Q21" i="12" a="1"/>
  <c r="Q21" i="12" s="1"/>
  <c r="Q22" i="12" a="1"/>
  <c r="Q22" i="12" s="1"/>
  <c r="Q23" i="12" a="1"/>
  <c r="Q23" i="12" s="1"/>
  <c r="Q24" i="12" a="1"/>
  <c r="Q24" i="12" s="1"/>
  <c r="Q25" i="12" a="1"/>
  <c r="Q25" i="12" s="1"/>
  <c r="Q26" i="12" a="1"/>
  <c r="Q26" i="12" s="1"/>
  <c r="Q27" i="12" a="1"/>
  <c r="Q27" i="12" s="1"/>
  <c r="Q28" i="12" a="1"/>
  <c r="Q28" i="12" s="1"/>
  <c r="Q29" i="12" a="1"/>
  <c r="Q29" i="12" s="1"/>
  <c r="Q30" i="12" a="1"/>
  <c r="Q30" i="12" s="1"/>
  <c r="Q31" i="12" a="1"/>
  <c r="Q31" i="12" s="1"/>
  <c r="Q32" i="12" a="1"/>
  <c r="Q32" i="12" s="1"/>
  <c r="Q33" i="12" a="1"/>
  <c r="Q33" i="12" s="1"/>
  <c r="Q34" i="12" a="1"/>
  <c r="Q34" i="12" s="1"/>
  <c r="Q35" i="12" a="1"/>
  <c r="Q35" i="12" s="1"/>
  <c r="Q36" i="12" a="1"/>
  <c r="Q36" i="12" s="1"/>
  <c r="Q37" i="12" a="1"/>
  <c r="Q37" i="12" s="1"/>
  <c r="Q38" i="12" a="1"/>
  <c r="Q38" i="12" s="1"/>
  <c r="Q39" i="12" a="1"/>
  <c r="Q39" i="12" s="1"/>
  <c r="Q40" i="12" a="1"/>
  <c r="Q40" i="12" s="1"/>
  <c r="Q41" i="12" a="1"/>
  <c r="Q41" i="12" s="1"/>
  <c r="Q42" i="12" a="1"/>
  <c r="Q42" i="12" s="1"/>
  <c r="Q43" i="12" a="1"/>
  <c r="Q43" i="12" s="1"/>
  <c r="Q44" i="12" a="1"/>
  <c r="Q44" i="12" s="1"/>
  <c r="Q45" i="12" a="1"/>
  <c r="Q45" i="12" s="1"/>
  <c r="Q46" i="12" a="1"/>
  <c r="Q46" i="12" s="1"/>
  <c r="Q47" i="12" a="1"/>
  <c r="Q47" i="12" s="1"/>
  <c r="Q48" i="12" a="1"/>
  <c r="Q48" i="12" s="1"/>
  <c r="Q49" i="12" a="1"/>
  <c r="Q49" i="12" s="1"/>
  <c r="Q50" i="12" a="1"/>
  <c r="Q50" i="12" s="1"/>
  <c r="Q51" i="12" a="1"/>
  <c r="Q51" i="12" s="1"/>
  <c r="Q52" i="12" a="1"/>
  <c r="Q52" i="12" s="1"/>
  <c r="Q53" i="12" a="1"/>
  <c r="Q53" i="12" s="1"/>
  <c r="Q54" i="12" a="1"/>
  <c r="Q54" i="12" s="1"/>
  <c r="Q55" i="12" a="1"/>
  <c r="Q55" i="12" s="1"/>
  <c r="Q56" i="12" a="1"/>
  <c r="Q56" i="12" s="1"/>
  <c r="Q57" i="12" a="1"/>
  <c r="Q57" i="12" s="1"/>
  <c r="Q58" i="12" a="1"/>
  <c r="Q58" i="12" s="1"/>
  <c r="Q59" i="12" a="1"/>
  <c r="Q59" i="12" s="1"/>
  <c r="Q60" i="12" a="1"/>
  <c r="Q60" i="12" s="1"/>
  <c r="Q61" i="12" a="1"/>
  <c r="Q61" i="12" s="1"/>
  <c r="Q62" i="12" a="1"/>
  <c r="Q62" i="12" s="1"/>
  <c r="Q63" i="12" a="1"/>
  <c r="Q63" i="12" s="1"/>
  <c r="Q64" i="12" a="1"/>
  <c r="Q64" i="12" s="1"/>
  <c r="Q65" i="12" a="1"/>
  <c r="Q65" i="12" s="1"/>
  <c r="Q66" i="12" a="1"/>
  <c r="Q66" i="12" s="1"/>
  <c r="Q67" i="12" a="1"/>
  <c r="Q67" i="12" s="1"/>
  <c r="Q68" i="12" a="1"/>
  <c r="Q68" i="12" s="1"/>
  <c r="Q69" i="12" a="1"/>
  <c r="Q69" i="12" s="1"/>
  <c r="Q70" i="12" a="1"/>
  <c r="Q70" i="12" s="1"/>
  <c r="Q71" i="12" a="1"/>
  <c r="Q71" i="12" s="1"/>
  <c r="Q72" i="12" a="1"/>
  <c r="Q72" i="12" s="1"/>
  <c r="Q73" i="12" a="1"/>
  <c r="Q73" i="12" s="1"/>
  <c r="Q74" i="12" a="1"/>
  <c r="Q74" i="12" s="1"/>
  <c r="Q75" i="12" a="1"/>
  <c r="Q75" i="12" s="1"/>
  <c r="Q76" i="12" a="1"/>
  <c r="Q76" i="12" s="1"/>
  <c r="Q77" i="12" a="1"/>
  <c r="Q77" i="12" s="1"/>
  <c r="Q78" i="12" a="1"/>
  <c r="Q78" i="12" s="1"/>
  <c r="Q79" i="12" a="1"/>
  <c r="Q79" i="12" s="1"/>
  <c r="Q80" i="12" a="1"/>
  <c r="Q80" i="12" s="1"/>
  <c r="Q81" i="12" a="1"/>
  <c r="Q81" i="12" s="1"/>
  <c r="Q82" i="12" a="1"/>
  <c r="Q82" i="12" s="1"/>
  <c r="Q83" i="12" a="1"/>
  <c r="Q83" i="12" s="1"/>
  <c r="Q84" i="12" a="1"/>
  <c r="Q84" i="12" s="1"/>
  <c r="Q85" i="12" a="1"/>
  <c r="Q85" i="12" s="1"/>
  <c r="Q86" i="12" a="1"/>
  <c r="Q86" i="12" s="1"/>
  <c r="Q87" i="12" a="1"/>
  <c r="Q87" i="12" s="1"/>
  <c r="Q88" i="12" a="1"/>
  <c r="Q88" i="12" s="1"/>
  <c r="Q89" i="12" a="1"/>
  <c r="Q89" i="12" s="1"/>
  <c r="Q90" i="12" a="1"/>
  <c r="Q90" i="12" s="1"/>
  <c r="Q91" i="12" a="1"/>
  <c r="Q91" i="12" s="1"/>
  <c r="Q92" i="12" a="1"/>
  <c r="Q92" i="12" s="1"/>
  <c r="Q93" i="12" a="1"/>
  <c r="Q93" i="12" s="1"/>
  <c r="Q94" i="12" a="1"/>
  <c r="Q94" i="12" s="1"/>
  <c r="Q95" i="12" a="1"/>
  <c r="Q95" i="12" s="1"/>
  <c r="Q96" i="12" a="1"/>
  <c r="Q96" i="12" s="1"/>
  <c r="Q97" i="12" a="1"/>
  <c r="Q97" i="12" s="1"/>
  <c r="Q98" i="12" a="1"/>
  <c r="Q98" i="12" s="1"/>
  <c r="Q99" i="12" a="1"/>
  <c r="Q99" i="12" s="1"/>
  <c r="Q100" i="12" a="1"/>
  <c r="Q100" i="12" s="1"/>
  <c r="Q101" i="12" a="1"/>
  <c r="Q101" i="12" s="1"/>
  <c r="Q102" i="12" a="1"/>
  <c r="Q102" i="12" s="1"/>
  <c r="Q103" i="12" a="1"/>
  <c r="Q103" i="12" s="1"/>
  <c r="Q104" i="12" a="1"/>
  <c r="Q104" i="12" s="1"/>
  <c r="Q105" i="12" a="1"/>
  <c r="Q105" i="12" s="1"/>
  <c r="Q106" i="12" a="1"/>
  <c r="Q106" i="12" s="1"/>
  <c r="Q107" i="12" a="1"/>
  <c r="Q107" i="12" s="1"/>
  <c r="Q108" i="12" a="1"/>
  <c r="Q108" i="12" s="1"/>
  <c r="Q109" i="12" a="1"/>
  <c r="Q109" i="12" s="1"/>
  <c r="Q110" i="12" a="1"/>
  <c r="Q110" i="12" s="1"/>
  <c r="Q111" i="12" a="1"/>
  <c r="Q111" i="12" s="1"/>
  <c r="Q112" i="12" a="1"/>
  <c r="Q112" i="12" s="1"/>
  <c r="Q113" i="12" a="1"/>
  <c r="Q113" i="12" s="1"/>
  <c r="Q114" i="12" a="1"/>
  <c r="Q114" i="12" s="1"/>
  <c r="Q115" i="12" a="1"/>
  <c r="Q115" i="12" s="1"/>
  <c r="Q116" i="12" a="1"/>
  <c r="Q116" i="12" s="1"/>
  <c r="Q117" i="12" a="1"/>
  <c r="Q117" i="12" s="1"/>
  <c r="Q118" i="12" a="1"/>
  <c r="Q118" i="12" s="1"/>
  <c r="Q119" i="12" a="1"/>
  <c r="Q119" i="12" s="1"/>
  <c r="Q120" i="12" a="1"/>
  <c r="Q120" i="12" s="1"/>
  <c r="Q121" i="12" a="1"/>
  <c r="Q121" i="12" s="1"/>
  <c r="Q122" i="12" a="1"/>
  <c r="Q122" i="12" s="1"/>
  <c r="Q123" i="12" a="1"/>
  <c r="Q123" i="12" s="1"/>
  <c r="Q124" i="12" a="1"/>
  <c r="Q124" i="12" s="1"/>
  <c r="Q125" i="12" a="1"/>
  <c r="Q125" i="12" s="1"/>
  <c r="Q126" i="12" a="1"/>
  <c r="Q126" i="12" s="1"/>
  <c r="Q127" i="12" a="1"/>
  <c r="Q127" i="12" s="1"/>
  <c r="Q128" i="12" a="1"/>
  <c r="Q128" i="12" s="1"/>
  <c r="Q129" i="12" a="1"/>
  <c r="Q129" i="12" s="1"/>
  <c r="Q130" i="12" a="1"/>
  <c r="Q130" i="12" s="1"/>
  <c r="Q131" i="12" a="1"/>
  <c r="Q131" i="12" s="1"/>
  <c r="Q132" i="12" a="1"/>
  <c r="Q132" i="12" s="1"/>
  <c r="Q133" i="12" a="1"/>
  <c r="Q133" i="12" s="1"/>
  <c r="Q134" i="12" a="1"/>
  <c r="Q134" i="12" s="1"/>
  <c r="Q135" i="12" a="1"/>
  <c r="Q135" i="12" s="1"/>
  <c r="Q136" i="12" a="1"/>
  <c r="Q136" i="12" s="1"/>
  <c r="Q137" i="12" a="1"/>
  <c r="Q137" i="12" s="1"/>
  <c r="Q138" i="12" a="1"/>
  <c r="Q138" i="12" s="1"/>
  <c r="Q139" i="12" a="1"/>
  <c r="Q139" i="12" s="1"/>
  <c r="Q140" i="12" a="1"/>
  <c r="Q140" i="12" s="1"/>
  <c r="Q141" i="12" a="1"/>
  <c r="Q141" i="12" s="1"/>
  <c r="Q142" i="12" a="1"/>
  <c r="Q142" i="12" s="1"/>
  <c r="Q143" i="12" a="1"/>
  <c r="Q143" i="12" s="1"/>
  <c r="Q144" i="12" a="1"/>
  <c r="Q144" i="12" s="1"/>
  <c r="Q145" i="12" a="1"/>
  <c r="Q145" i="12" s="1"/>
  <c r="Q146" i="12" a="1"/>
  <c r="Q146" i="12" s="1"/>
  <c r="Q147" i="12" a="1"/>
  <c r="Q147" i="12" s="1"/>
  <c r="Q148" i="12" a="1"/>
  <c r="Q148" i="12" s="1"/>
  <c r="Q149" i="12" a="1"/>
  <c r="Q149" i="12" s="1"/>
  <c r="Q150" i="12" a="1"/>
  <c r="Q150" i="12" s="1"/>
  <c r="Q151" i="12" a="1"/>
  <c r="Q151" i="12" s="1"/>
  <c r="Q152" i="12" a="1"/>
  <c r="Q152" i="12" s="1"/>
  <c r="Q153" i="12" a="1"/>
  <c r="Q153" i="12" s="1"/>
  <c r="Q154" i="12" a="1"/>
  <c r="Q154" i="12" s="1"/>
  <c r="Q155" i="12" a="1"/>
  <c r="Q155" i="12" s="1"/>
  <c r="Q156" i="12" a="1"/>
  <c r="Q156" i="12" s="1"/>
  <c r="Q157" i="12" a="1"/>
  <c r="Q157" i="12" s="1"/>
  <c r="Q158" i="12" a="1"/>
  <c r="Q158" i="12" s="1"/>
  <c r="Q159" i="12" a="1"/>
  <c r="Q159" i="12" s="1"/>
  <c r="Q160" i="12" a="1"/>
  <c r="Q160" i="12" s="1"/>
  <c r="Q161" i="12" a="1"/>
  <c r="Q161" i="12" s="1"/>
  <c r="Q162" i="12" a="1"/>
  <c r="Q162" i="12" s="1"/>
  <c r="Q163" i="12" a="1"/>
  <c r="Q163" i="12" s="1"/>
  <c r="Q164" i="12" a="1"/>
  <c r="Q164" i="12" s="1"/>
  <c r="Q165" i="12" a="1"/>
  <c r="Q165" i="12" s="1"/>
  <c r="Q166" i="12" a="1"/>
  <c r="Q166" i="12" s="1"/>
  <c r="Q167" i="12" a="1"/>
  <c r="Q167" i="12" s="1"/>
  <c r="Q168" i="12" a="1"/>
  <c r="Q168" i="12" s="1"/>
  <c r="Q169" i="12" a="1"/>
  <c r="Q169" i="12" s="1"/>
  <c r="Q170" i="12" a="1"/>
  <c r="Q170" i="12" s="1"/>
  <c r="Q171" i="12" a="1"/>
  <c r="Q171" i="12" s="1"/>
  <c r="Q172" i="12" a="1"/>
  <c r="Q172" i="12" s="1"/>
  <c r="Q173" i="12" a="1"/>
  <c r="Q173" i="12" s="1"/>
  <c r="Q174" i="12" a="1"/>
  <c r="Q174" i="12" s="1"/>
  <c r="Q175" i="12" a="1"/>
  <c r="Q175" i="12" s="1"/>
  <c r="Q176" i="12" a="1"/>
  <c r="Q176" i="12" s="1"/>
  <c r="Q177" i="12" a="1"/>
  <c r="Q177" i="12" s="1"/>
  <c r="Q178" i="12" a="1"/>
  <c r="Q178" i="12" s="1"/>
  <c r="Q179" i="12" a="1"/>
  <c r="Q179" i="12" s="1"/>
  <c r="Q180" i="12" a="1"/>
  <c r="Q180" i="12" s="1"/>
  <c r="Q181" i="12" a="1"/>
  <c r="Q181" i="12" s="1"/>
  <c r="Q182" i="12" a="1"/>
  <c r="Q182" i="12" s="1"/>
  <c r="Q183" i="12" a="1"/>
  <c r="Q183" i="12" s="1"/>
  <c r="Q184" i="12" a="1"/>
  <c r="Q184" i="12" s="1"/>
  <c r="Q185" i="12" a="1"/>
  <c r="Q185" i="12" s="1"/>
  <c r="Q186" i="12" a="1"/>
  <c r="Q186" i="12" s="1"/>
  <c r="Q187" i="12" a="1"/>
  <c r="Q187" i="12" s="1"/>
  <c r="Q188" i="12" a="1"/>
  <c r="Q188" i="12" s="1"/>
  <c r="Q189" i="12" a="1"/>
  <c r="Q189" i="12" s="1"/>
  <c r="Q190" i="12" a="1"/>
  <c r="Q190" i="12" s="1"/>
  <c r="Q191" i="12" a="1"/>
  <c r="Q191" i="12" s="1"/>
  <c r="Q192" i="12" a="1"/>
  <c r="Q192" i="12" s="1"/>
  <c r="Q193" i="12" a="1"/>
  <c r="Q193" i="12" s="1"/>
  <c r="Q194" i="12" a="1"/>
  <c r="Q194" i="12" s="1"/>
  <c r="Q195" i="12" a="1"/>
  <c r="Q195" i="12" s="1"/>
  <c r="Q196" i="12" a="1"/>
  <c r="Q196" i="12" s="1"/>
  <c r="Q197" i="12" a="1"/>
  <c r="Q197" i="12" s="1"/>
  <c r="Q198" i="12" a="1"/>
  <c r="Q198" i="12" s="1"/>
  <c r="Q199" i="12" a="1"/>
  <c r="Q199" i="12" s="1"/>
  <c r="Q200" i="12" a="1"/>
  <c r="Q200" i="12" s="1"/>
  <c r="Q201" i="12" a="1"/>
  <c r="Q201" i="12" s="1"/>
  <c r="Q202" i="12" a="1"/>
  <c r="Q202" i="12" s="1"/>
  <c r="Q203" i="12" a="1"/>
  <c r="Q203" i="12" s="1"/>
  <c r="Q204" i="12" a="1"/>
  <c r="Q204" i="12" s="1"/>
  <c r="Q205" i="12" a="1"/>
  <c r="Q205" i="12" s="1"/>
  <c r="Q206" i="12" a="1"/>
  <c r="Q206" i="12" s="1"/>
  <c r="Q207" i="12" a="1"/>
  <c r="Q207" i="12" s="1"/>
  <c r="Q208" i="12" a="1"/>
  <c r="Q208" i="12" s="1"/>
  <c r="Q209" i="12" a="1"/>
  <c r="Q209" i="12" s="1"/>
  <c r="Q210" i="12" a="1"/>
  <c r="Q210" i="12" s="1"/>
  <c r="Q211" i="12" a="1"/>
  <c r="Q211" i="12" s="1"/>
  <c r="Q212" i="12" a="1"/>
  <c r="Q212" i="12" s="1"/>
  <c r="Q213" i="12" a="1"/>
  <c r="Q213" i="12" s="1"/>
  <c r="Q214" i="12" a="1"/>
  <c r="Q214" i="12" s="1"/>
  <c r="Q215" i="12" a="1"/>
  <c r="Q215" i="12" s="1"/>
  <c r="Q216" i="12" a="1"/>
  <c r="Q216" i="12" s="1"/>
  <c r="Q217" i="12" a="1"/>
  <c r="Q217" i="12" s="1"/>
  <c r="Q218" i="12" a="1"/>
  <c r="Q218" i="12" s="1"/>
  <c r="Q219" i="12" a="1"/>
  <c r="Q219" i="12" s="1"/>
  <c r="Q220" i="12" a="1"/>
  <c r="Q220" i="12" s="1"/>
  <c r="Q221" i="12" a="1"/>
  <c r="Q221" i="12" s="1"/>
  <c r="Q222" i="12" a="1"/>
  <c r="Q222" i="12" s="1"/>
  <c r="Q223" i="12" a="1"/>
  <c r="Q223" i="12" s="1"/>
  <c r="Q224" i="12" a="1"/>
  <c r="Q224" i="12" s="1"/>
  <c r="Q225" i="12" a="1"/>
  <c r="Q225" i="12" s="1"/>
  <c r="Q226" i="12" a="1"/>
  <c r="Q226" i="12" s="1"/>
  <c r="Q227" i="12" a="1"/>
  <c r="Q227" i="12" s="1"/>
  <c r="Q228" i="12" a="1"/>
  <c r="Q228" i="12" s="1"/>
  <c r="Q229" i="12" a="1"/>
  <c r="Q229" i="12" s="1"/>
  <c r="Q230" i="12" a="1"/>
  <c r="Q230" i="12" s="1"/>
  <c r="Q231" i="12" a="1"/>
  <c r="Q231" i="12" s="1"/>
  <c r="Q232" i="12" a="1"/>
  <c r="Q232" i="12" s="1"/>
  <c r="Q233" i="12" a="1"/>
  <c r="Q233" i="12" s="1"/>
  <c r="Q234" i="12" a="1"/>
  <c r="Q234" i="12" s="1"/>
  <c r="Q235" i="12" a="1"/>
  <c r="Q235" i="12" s="1"/>
  <c r="Q236" i="12" a="1"/>
  <c r="Q236" i="12" s="1"/>
  <c r="Q237" i="12" a="1"/>
  <c r="Q237" i="12" s="1"/>
  <c r="Q238" i="12" a="1"/>
  <c r="Q238" i="12" s="1"/>
  <c r="Q239" i="12" a="1"/>
  <c r="Q239" i="12" s="1"/>
  <c r="Q240" i="12" a="1"/>
  <c r="Q240" i="12" s="1"/>
  <c r="Q241" i="12" a="1"/>
  <c r="Q241" i="12" s="1"/>
  <c r="Q242" i="12" a="1"/>
  <c r="Q242" i="12" s="1"/>
  <c r="Q243" i="12" a="1"/>
  <c r="Q243" i="12" s="1"/>
  <c r="Q244" i="12" a="1"/>
  <c r="Q244" i="12" s="1"/>
  <c r="Q245" i="12" a="1"/>
  <c r="Q245" i="12" s="1"/>
  <c r="Q246" i="12" a="1"/>
  <c r="Q246" i="12" s="1"/>
  <c r="Q247" i="12" a="1"/>
  <c r="Q247" i="12" s="1"/>
  <c r="Q248" i="12" a="1"/>
  <c r="Q248" i="12" s="1"/>
  <c r="Q249" i="12" a="1"/>
  <c r="Q249" i="12" s="1"/>
  <c r="Q250" i="12" a="1"/>
  <c r="Q250" i="12" s="1"/>
  <c r="Q251" i="12" a="1"/>
  <c r="Q251" i="12" s="1"/>
  <c r="Q252" i="12" a="1"/>
  <c r="Q252" i="12" s="1"/>
  <c r="Q253" i="12" a="1"/>
  <c r="Q253" i="12" s="1"/>
  <c r="Q254" i="12" a="1"/>
  <c r="Q254" i="12" s="1"/>
  <c r="Q255" i="12" a="1"/>
  <c r="Q255" i="12" s="1"/>
  <c r="Q256" i="12" a="1"/>
  <c r="Q256" i="12" s="1"/>
  <c r="Q257" i="12" a="1"/>
  <c r="Q257" i="12" s="1"/>
  <c r="Q258" i="12" a="1"/>
  <c r="Q258" i="12" s="1"/>
  <c r="Q259" i="12" a="1"/>
  <c r="Q259" i="12" s="1"/>
  <c r="Q260" i="12" a="1"/>
  <c r="Q260" i="12" s="1"/>
  <c r="Q261" i="12" a="1"/>
  <c r="Q261" i="12" s="1"/>
  <c r="Q262" i="12" a="1"/>
  <c r="Q262" i="12" s="1"/>
  <c r="Q263" i="12" a="1"/>
  <c r="Q263" i="12" s="1"/>
  <c r="Q264" i="12" a="1"/>
  <c r="Q264" i="12" s="1"/>
  <c r="Q265" i="12" a="1"/>
  <c r="Q265" i="12" s="1"/>
  <c r="Q266" i="12" a="1"/>
  <c r="Q266" i="12" s="1"/>
  <c r="Q267" i="12" a="1"/>
  <c r="Q267" i="12" s="1"/>
  <c r="Q268" i="12" a="1"/>
  <c r="Q268" i="12" s="1"/>
  <c r="Q269" i="12" a="1"/>
  <c r="Q269" i="12" s="1"/>
  <c r="Q270" i="12" a="1"/>
  <c r="Q270" i="12" s="1"/>
  <c r="Q271" i="12" a="1"/>
  <c r="Q271" i="12" s="1"/>
  <c r="Q272" i="12" a="1"/>
  <c r="Q272" i="12" s="1"/>
  <c r="Q273" i="12" a="1"/>
  <c r="Q273" i="12" s="1"/>
  <c r="Q274" i="12" a="1"/>
  <c r="Q274" i="12" s="1"/>
  <c r="Q275" i="12" a="1"/>
  <c r="Q275" i="12" s="1"/>
  <c r="Q276" i="12" a="1"/>
  <c r="Q276" i="12" s="1"/>
  <c r="Q277" i="12" a="1"/>
  <c r="Q277" i="12" s="1"/>
  <c r="Q278" i="12" a="1"/>
  <c r="Q278" i="12" s="1"/>
  <c r="Q279" i="12" a="1"/>
  <c r="Q279" i="12" s="1"/>
  <c r="Q280" i="12" a="1"/>
  <c r="Q280" i="12" s="1"/>
  <c r="Q281" i="12" a="1"/>
  <c r="Q281" i="12" s="1"/>
  <c r="Q282" i="12" a="1"/>
  <c r="Q282" i="12" s="1"/>
  <c r="Q283" i="12" a="1"/>
  <c r="Q283" i="12" s="1"/>
  <c r="Q284" i="12" a="1"/>
  <c r="Q284" i="12" s="1"/>
  <c r="Q285" i="12" a="1"/>
  <c r="Q285" i="12" s="1"/>
  <c r="Q286" i="12" a="1"/>
  <c r="Q286" i="12" s="1"/>
  <c r="Q287" i="12" a="1"/>
  <c r="Q287" i="12" s="1"/>
  <c r="Q288" i="12" a="1"/>
  <c r="Q288" i="12" s="1"/>
  <c r="Q289" i="12" a="1"/>
  <c r="Q289" i="12" s="1"/>
  <c r="Q290" i="12" a="1"/>
  <c r="Q290" i="12" s="1"/>
  <c r="Q291" i="12" a="1"/>
  <c r="Q291" i="12" s="1"/>
  <c r="Q292" i="12" a="1"/>
  <c r="Q292" i="12" s="1"/>
  <c r="Q293" i="12" a="1"/>
  <c r="Q293" i="12" s="1"/>
  <c r="Q294" i="12" a="1"/>
  <c r="Q294" i="12" s="1"/>
  <c r="Q295" i="12" a="1"/>
  <c r="Q295" i="12" s="1"/>
  <c r="Q296" i="12" a="1"/>
  <c r="Q296" i="12" s="1"/>
  <c r="Q297" i="12" a="1"/>
  <c r="Q297" i="12" s="1"/>
  <c r="Q298" i="12" a="1"/>
  <c r="Q298" i="12" s="1"/>
  <c r="Q299" i="12" a="1"/>
  <c r="Q299" i="12" s="1"/>
  <c r="Q300" i="12" a="1"/>
  <c r="Q300" i="12" s="1"/>
  <c r="Q301" i="12" a="1"/>
  <c r="Q301" i="12" s="1"/>
  <c r="Q302" i="12" a="1"/>
  <c r="Q302" i="12" s="1"/>
  <c r="Q303" i="12" a="1"/>
  <c r="Q303" i="12" s="1"/>
  <c r="Q304" i="12" a="1"/>
  <c r="Q304" i="12" s="1"/>
  <c r="Q305" i="12" a="1"/>
  <c r="Q305" i="12" s="1"/>
  <c r="Q306" i="12" a="1"/>
  <c r="Q306" i="12" s="1"/>
  <c r="Q307" i="12" a="1"/>
  <c r="Q307" i="12" s="1"/>
  <c r="Q308" i="12" a="1"/>
  <c r="Q308" i="12" s="1"/>
  <c r="Q309" i="12" a="1"/>
  <c r="Q309" i="12" s="1"/>
  <c r="Q310" i="12" a="1"/>
  <c r="Q310" i="12" s="1"/>
  <c r="Q311" i="12" a="1"/>
  <c r="Q311" i="12" s="1"/>
  <c r="Q312" i="12" a="1"/>
  <c r="Q312" i="12" s="1"/>
  <c r="Q313" i="12" a="1"/>
  <c r="Q313" i="12" s="1"/>
  <c r="Q314" i="12" a="1"/>
  <c r="Q314" i="12" s="1"/>
  <c r="Q315" i="12" a="1"/>
  <c r="Q315" i="12" s="1"/>
  <c r="Q316" i="12" a="1"/>
  <c r="Q316" i="12" s="1"/>
  <c r="Q317" i="12" a="1"/>
  <c r="Q317" i="12" s="1"/>
  <c r="Q318" i="12" a="1"/>
  <c r="Q318" i="12" s="1"/>
  <c r="Q319" i="12" a="1"/>
  <c r="Q319" i="12" s="1"/>
  <c r="Q320" i="12" a="1"/>
  <c r="Q320" i="12" s="1"/>
  <c r="Q321" i="12" a="1"/>
  <c r="Q321" i="12" s="1"/>
  <c r="Q322" i="12" a="1"/>
  <c r="Q322" i="12" s="1"/>
  <c r="Q323" i="12" a="1"/>
  <c r="Q323" i="12" s="1"/>
  <c r="Q324" i="12" a="1"/>
  <c r="Q324" i="12" s="1"/>
  <c r="Q325" i="12" a="1"/>
  <c r="Q325" i="12" s="1"/>
  <c r="Q326" i="12" a="1"/>
  <c r="Q326" i="12" s="1"/>
  <c r="Q327" i="12" a="1"/>
  <c r="Q327" i="12" s="1"/>
  <c r="Q328" i="12" a="1"/>
  <c r="Q328" i="12" s="1"/>
  <c r="Q329" i="12" a="1"/>
  <c r="Q329" i="12" s="1"/>
  <c r="Q330" i="12" a="1"/>
  <c r="Q330" i="12" s="1"/>
  <c r="Q331" i="12" a="1"/>
  <c r="Q331" i="12" s="1"/>
  <c r="Q332" i="12" a="1"/>
  <c r="Q332" i="12" s="1"/>
  <c r="Q333" i="12" a="1"/>
  <c r="Q333" i="12" s="1"/>
  <c r="Q334" i="12" a="1"/>
  <c r="Q334" i="12" s="1"/>
  <c r="Q335" i="12" a="1"/>
  <c r="Q335" i="12" s="1"/>
  <c r="Q336" i="12" a="1"/>
  <c r="Q336" i="12" s="1"/>
  <c r="Q337" i="12" a="1"/>
  <c r="Q337" i="12" s="1"/>
  <c r="Q338" i="12" a="1"/>
  <c r="Q338" i="12" s="1"/>
  <c r="Q339" i="12" a="1"/>
  <c r="Q339" i="12" s="1"/>
  <c r="Q340" i="12" a="1"/>
  <c r="Q340" i="12" s="1"/>
  <c r="Q341" i="12" a="1"/>
  <c r="Q341" i="12" s="1"/>
  <c r="Q342" i="12" a="1"/>
  <c r="Q342" i="12" s="1"/>
  <c r="Q343" i="12" a="1"/>
  <c r="Q343" i="12" s="1"/>
  <c r="Q344" i="12" a="1"/>
  <c r="Q344" i="12" s="1"/>
  <c r="Q345" i="12" a="1"/>
  <c r="Q345" i="12" s="1"/>
  <c r="Q346" i="12" a="1"/>
  <c r="Q346" i="12" s="1"/>
  <c r="Q347" i="12" a="1"/>
  <c r="Q347" i="12" s="1"/>
  <c r="Q348" i="12" a="1"/>
  <c r="Q348" i="12" s="1"/>
  <c r="Q349" i="12" a="1"/>
  <c r="Q349" i="12" s="1"/>
  <c r="Q350" i="12" a="1"/>
  <c r="Q350" i="12" s="1"/>
  <c r="Q351" i="12" a="1"/>
  <c r="Q351" i="12" s="1"/>
  <c r="Q352" i="12" a="1"/>
  <c r="Q352" i="12" s="1"/>
  <c r="Q353" i="12" a="1"/>
  <c r="Q353" i="12" s="1"/>
  <c r="Q354" i="12" a="1"/>
  <c r="Q354" i="12" s="1"/>
  <c r="Q355" i="12" a="1"/>
  <c r="Q355" i="12" s="1"/>
  <c r="Q356" i="12" a="1"/>
  <c r="Q356" i="12" s="1"/>
  <c r="Q357" i="12" a="1"/>
  <c r="Q357" i="12" s="1"/>
  <c r="Q358" i="12" a="1"/>
  <c r="Q358" i="12" s="1"/>
  <c r="Q359" i="12" a="1"/>
  <c r="Q359" i="12" s="1"/>
  <c r="Q360" i="12" a="1"/>
  <c r="Q360" i="12" s="1"/>
  <c r="Q361" i="12" a="1"/>
  <c r="Q361" i="12" s="1"/>
  <c r="Q362" i="12" a="1"/>
  <c r="Q362" i="12" s="1"/>
  <c r="Q363" i="12" a="1"/>
  <c r="Q363" i="12" s="1"/>
  <c r="Q364" i="12" a="1"/>
  <c r="Q364" i="12" s="1"/>
  <c r="Q365" i="12" a="1"/>
  <c r="Q365" i="12" s="1"/>
  <c r="Q366" i="12" a="1"/>
  <c r="Q366" i="12" s="1"/>
  <c r="Q367" i="12" a="1"/>
  <c r="Q367" i="12" s="1"/>
  <c r="Q368" i="12" a="1"/>
  <c r="Q368" i="12" s="1"/>
  <c r="Q369" i="12" a="1"/>
  <c r="Q369" i="12" s="1"/>
  <c r="Q370" i="12" a="1"/>
  <c r="Q370" i="12" s="1"/>
  <c r="Q371" i="12" a="1"/>
  <c r="Q371" i="12" s="1"/>
  <c r="Q372" i="12" a="1"/>
  <c r="Q372" i="12" s="1"/>
  <c r="Q373" i="12" a="1"/>
  <c r="Q373" i="12" s="1"/>
  <c r="Q374" i="12" a="1"/>
  <c r="Q374" i="12" s="1"/>
  <c r="Q375" i="12" a="1"/>
  <c r="Q375" i="12" s="1"/>
  <c r="Q376" i="12" a="1"/>
  <c r="Q376" i="12" s="1"/>
  <c r="Q377" i="12" a="1"/>
  <c r="Q377" i="12" s="1"/>
  <c r="Q378" i="12" a="1"/>
  <c r="Q378" i="12" s="1"/>
  <c r="Q379" i="12" a="1"/>
  <c r="Q379" i="12" s="1"/>
  <c r="Q380" i="12" a="1"/>
  <c r="Q380" i="12" s="1"/>
  <c r="Q381" i="12" a="1"/>
  <c r="Q381" i="12" s="1"/>
  <c r="Q382" i="12" a="1"/>
  <c r="Q382" i="12" s="1"/>
  <c r="Q383" i="12" a="1"/>
  <c r="Q383" i="12" s="1"/>
  <c r="Q384" i="12" a="1"/>
  <c r="Q384" i="12" s="1"/>
  <c r="Q385" i="12" a="1"/>
  <c r="Q385" i="12" s="1"/>
  <c r="Q386" i="12" a="1"/>
  <c r="Q386" i="12" s="1"/>
  <c r="Q387" i="12" a="1"/>
  <c r="Q387" i="12" s="1"/>
  <c r="Q388" i="12" a="1"/>
  <c r="Q388" i="12" s="1"/>
  <c r="Q389" i="12" a="1"/>
  <c r="Q389" i="12" s="1"/>
  <c r="Q390" i="12" a="1"/>
  <c r="Q390" i="12" s="1"/>
  <c r="Q391" i="12" a="1"/>
  <c r="Q391" i="12" s="1"/>
  <c r="Q392" i="12" a="1"/>
  <c r="Q392" i="12" s="1"/>
  <c r="Q393" i="12" a="1"/>
  <c r="Q393" i="12" s="1"/>
  <c r="Q394" i="12" a="1"/>
  <c r="Q394" i="12" s="1"/>
  <c r="Q395" i="12" a="1"/>
  <c r="Q395" i="12" s="1"/>
  <c r="Q396" i="12" a="1"/>
  <c r="Q396" i="12" s="1"/>
  <c r="Q397" i="12" a="1"/>
  <c r="Q397" i="12" s="1"/>
  <c r="Q398" i="12" a="1"/>
  <c r="Q398" i="12" s="1"/>
  <c r="Q399" i="12" a="1"/>
  <c r="Q399" i="12" s="1"/>
  <c r="Q400" i="12" a="1"/>
  <c r="Q400" i="12" s="1"/>
  <c r="Q401" i="12" a="1"/>
  <c r="Q401" i="12" s="1"/>
  <c r="Q402" i="12" a="1"/>
  <c r="Q402" i="12" s="1"/>
  <c r="Q403" i="12" a="1"/>
  <c r="Q403" i="12" s="1"/>
  <c r="Q404" i="12" a="1"/>
  <c r="Q404" i="12" s="1"/>
  <c r="Q405" i="12" a="1"/>
  <c r="Q405" i="12" s="1"/>
  <c r="Q406" i="12" a="1"/>
  <c r="Q406" i="12" s="1"/>
  <c r="Q407" i="12" a="1"/>
  <c r="Q407" i="12" s="1"/>
  <c r="Q408" i="12" a="1"/>
  <c r="Q408" i="12" s="1"/>
  <c r="Q409" i="12" a="1"/>
  <c r="Q409" i="12" s="1"/>
  <c r="Q410" i="12" a="1"/>
  <c r="Q410" i="12" s="1"/>
  <c r="Q411" i="12" a="1"/>
  <c r="Q411" i="12" s="1"/>
  <c r="Q412" i="12" a="1"/>
  <c r="Q412" i="12" s="1"/>
  <c r="Q413" i="12" a="1"/>
  <c r="Q413" i="12" s="1"/>
  <c r="Q414" i="12" a="1"/>
  <c r="Q414" i="12" s="1"/>
  <c r="Q415" i="12" a="1"/>
  <c r="Q415" i="12" s="1"/>
  <c r="Q416" i="12" a="1"/>
  <c r="Q416" i="12" s="1"/>
  <c r="Q417" i="12" a="1"/>
  <c r="Q417" i="12" s="1"/>
  <c r="Q418" i="12" a="1"/>
  <c r="Q418" i="12" s="1"/>
  <c r="Q419" i="12" a="1"/>
  <c r="Q419" i="12" s="1"/>
  <c r="Q420" i="12" a="1"/>
  <c r="Q420" i="12" s="1"/>
  <c r="Q421" i="12" a="1"/>
  <c r="Q421" i="12" s="1"/>
  <c r="Q422" i="12" a="1"/>
  <c r="Q422" i="12" s="1"/>
  <c r="Q423" i="12" a="1"/>
  <c r="Q423" i="12" s="1"/>
  <c r="Q424" i="12" a="1"/>
  <c r="Q424" i="12" s="1"/>
  <c r="Q425" i="12" a="1"/>
  <c r="Q425" i="12" s="1"/>
  <c r="Q426" i="12" a="1"/>
  <c r="Q426" i="12" s="1"/>
  <c r="Q427" i="12" a="1"/>
  <c r="Q427" i="12" s="1"/>
  <c r="Q428" i="12" a="1"/>
  <c r="Q428" i="12" s="1"/>
  <c r="Q429" i="12" a="1"/>
  <c r="Q429" i="12" s="1"/>
  <c r="Q430" i="12" a="1"/>
  <c r="Q430" i="12" s="1"/>
  <c r="Q431" i="12" a="1"/>
  <c r="Q431" i="12" s="1"/>
  <c r="Q432" i="12" a="1"/>
  <c r="Q432" i="12" s="1"/>
  <c r="Q433" i="12" a="1"/>
  <c r="Q433" i="12" s="1"/>
  <c r="Q434" i="12" a="1"/>
  <c r="Q434" i="12" s="1"/>
  <c r="Q435" i="12" a="1"/>
  <c r="Q435" i="12" s="1"/>
  <c r="Q436" i="12" a="1"/>
  <c r="Q436" i="12" s="1"/>
  <c r="Q437" i="12" a="1"/>
  <c r="Q437" i="12" s="1"/>
  <c r="Q438" i="12" a="1"/>
  <c r="Q438" i="12" s="1"/>
  <c r="Q439" i="12" a="1"/>
  <c r="Q439" i="12" s="1"/>
  <c r="Q440" i="12" a="1"/>
  <c r="Q440" i="12" s="1"/>
  <c r="Q441" i="12" a="1"/>
  <c r="Q441" i="12" s="1"/>
  <c r="Q442" i="12" a="1"/>
  <c r="Q442" i="12" s="1"/>
  <c r="Q443" i="12" a="1"/>
  <c r="Q443" i="12" s="1"/>
  <c r="Q444" i="12" a="1"/>
  <c r="Q444" i="12" s="1"/>
  <c r="Q445" i="12" a="1"/>
  <c r="Q445" i="12" s="1"/>
  <c r="Q446" i="12" a="1"/>
  <c r="Q446" i="12" s="1"/>
  <c r="Q447" i="12" a="1"/>
  <c r="Q447" i="12" s="1"/>
  <c r="Q448" i="12" a="1"/>
  <c r="Q448" i="12" s="1"/>
  <c r="Q449" i="12" a="1"/>
  <c r="Q449" i="12" s="1"/>
  <c r="Q450" i="12" a="1"/>
  <c r="Q450" i="12" s="1"/>
  <c r="Q451" i="12" a="1"/>
  <c r="Q451" i="12" s="1"/>
  <c r="Q452" i="12" a="1"/>
  <c r="Q452" i="12" s="1"/>
  <c r="Q453" i="12" a="1"/>
  <c r="Q453" i="12" s="1"/>
  <c r="Q454" i="12" a="1"/>
  <c r="Q454" i="12" s="1"/>
  <c r="Q455" i="12" a="1"/>
  <c r="Q455" i="12" s="1"/>
  <c r="Q456" i="12" a="1"/>
  <c r="Q456" i="12" s="1"/>
  <c r="Q457" i="12" a="1"/>
  <c r="Q457" i="12" s="1"/>
  <c r="Q458" i="12" a="1"/>
  <c r="Q458" i="12" s="1"/>
  <c r="Q459" i="12" a="1"/>
  <c r="Q459" i="12" s="1"/>
  <c r="Q460" i="12" a="1"/>
  <c r="Q460" i="12" s="1"/>
  <c r="Q461" i="12" a="1"/>
  <c r="Q461" i="12" s="1"/>
  <c r="Q462" i="12" a="1"/>
  <c r="Q462" i="12" s="1"/>
  <c r="Q463" i="12" a="1"/>
  <c r="Q463" i="12" s="1"/>
  <c r="Q464" i="12" a="1"/>
  <c r="Q464" i="12" s="1"/>
  <c r="Q465" i="12" a="1"/>
  <c r="Q465" i="12" s="1"/>
  <c r="Q466" i="12" a="1"/>
  <c r="Q466" i="12" s="1"/>
  <c r="Q467" i="12" a="1"/>
  <c r="Q467" i="12" s="1"/>
  <c r="Q468" i="12" a="1"/>
  <c r="Q468" i="12" s="1"/>
  <c r="Q469" i="12" a="1"/>
  <c r="Q469" i="12" s="1"/>
  <c r="Q470" i="12" a="1"/>
  <c r="Q470" i="12" s="1"/>
  <c r="Q471" i="12" a="1"/>
  <c r="Q471" i="12" s="1"/>
  <c r="Q472" i="12" a="1"/>
  <c r="Q472" i="12" s="1"/>
  <c r="Q473" i="12" a="1"/>
  <c r="Q473" i="12" s="1"/>
  <c r="Q474" i="12" a="1"/>
  <c r="Q474" i="12" s="1"/>
  <c r="Q475" i="12" a="1"/>
  <c r="Q475" i="12" s="1"/>
  <c r="Q476" i="12" a="1"/>
  <c r="Q476" i="12" s="1"/>
  <c r="Q477" i="12" a="1"/>
  <c r="Q477" i="12" s="1"/>
  <c r="Q478" i="12" a="1"/>
  <c r="Q478" i="12" s="1"/>
  <c r="Q479" i="12" a="1"/>
  <c r="Q479" i="12" s="1"/>
  <c r="Q480" i="12" a="1"/>
  <c r="Q480" i="12" s="1"/>
  <c r="Q481" i="12" a="1"/>
  <c r="Q481" i="12" s="1"/>
  <c r="Q482" i="12" a="1"/>
  <c r="Q482" i="12" s="1"/>
  <c r="Q483" i="12" a="1"/>
  <c r="Q483" i="12" s="1"/>
  <c r="Q484" i="12" a="1"/>
  <c r="Q484" i="12" s="1"/>
  <c r="Q485" i="12" a="1"/>
  <c r="Q485" i="12" s="1"/>
  <c r="Q486" i="12" a="1"/>
  <c r="Q486" i="12" s="1"/>
  <c r="Q487" i="12" a="1"/>
  <c r="Q487" i="12" s="1"/>
  <c r="Q488" i="12" a="1"/>
  <c r="Q488" i="12" s="1"/>
  <c r="Q489" i="12" a="1"/>
  <c r="Q489" i="12" s="1"/>
  <c r="Q490" i="12" a="1"/>
  <c r="Q490" i="12" s="1"/>
  <c r="Q491" i="12" a="1"/>
  <c r="Q491" i="12" s="1"/>
  <c r="Q492" i="12" a="1"/>
  <c r="Q492" i="12" s="1"/>
  <c r="Q493" i="12" a="1"/>
  <c r="Q493" i="12" s="1"/>
  <c r="Q494" i="12" a="1"/>
  <c r="Q494" i="12" s="1"/>
  <c r="Q495" i="12" a="1"/>
  <c r="Q495" i="12" s="1"/>
  <c r="Q496" i="12" a="1"/>
  <c r="Q496" i="12" s="1"/>
  <c r="Q497" i="12" a="1"/>
  <c r="Q497" i="12" s="1"/>
  <c r="Q498" i="12" a="1"/>
  <c r="Q498" i="12" s="1"/>
  <c r="Q499" i="12" a="1"/>
  <c r="Q499" i="12" s="1"/>
  <c r="Q500" i="12" a="1"/>
  <c r="Q500" i="12" s="1"/>
  <c r="Q501" i="12" a="1"/>
  <c r="Q501" i="12" s="1"/>
  <c r="Q502" i="12" a="1"/>
  <c r="Q502" i="12" s="1"/>
  <c r="Q503" i="12" a="1"/>
  <c r="Q503" i="12" s="1"/>
  <c r="Q504" i="12" a="1"/>
  <c r="Q504" i="12" s="1"/>
  <c r="Q505" i="12" a="1"/>
  <c r="Q505" i="12" s="1"/>
  <c r="Q506" i="12" a="1"/>
  <c r="Q506" i="12" s="1"/>
  <c r="Q507" i="12" a="1"/>
  <c r="Q507" i="12" s="1"/>
  <c r="Q508" i="12" a="1"/>
  <c r="Q508" i="12" s="1"/>
  <c r="Q509" i="12" a="1"/>
  <c r="Q509" i="12" s="1"/>
  <c r="Q510" i="12" a="1"/>
  <c r="Q510" i="12" s="1"/>
  <c r="Q511" i="12" a="1"/>
  <c r="Q511" i="12" s="1"/>
  <c r="Q512" i="12" a="1"/>
  <c r="Q512" i="12" s="1"/>
  <c r="Q513" i="12" a="1"/>
  <c r="Q513" i="12" s="1"/>
  <c r="Q514" i="12" a="1"/>
  <c r="Q514" i="12" s="1"/>
  <c r="Q515" i="12" a="1"/>
  <c r="Q515" i="12" s="1"/>
  <c r="Q516" i="12" a="1"/>
  <c r="Q516" i="12" s="1"/>
  <c r="Q517" i="12" a="1"/>
  <c r="Q517" i="12" s="1"/>
  <c r="Q518" i="12" a="1"/>
  <c r="Q518" i="12" s="1"/>
  <c r="Q519" i="12" a="1"/>
  <c r="Q519" i="12" s="1"/>
  <c r="Q520" i="12" a="1"/>
  <c r="Q520" i="12" s="1"/>
  <c r="Q521" i="12" a="1"/>
  <c r="Q521" i="12" s="1"/>
  <c r="Q522" i="12" a="1"/>
  <c r="Q522" i="12" s="1"/>
  <c r="Q523" i="12" a="1"/>
  <c r="Q523" i="12" s="1"/>
  <c r="Q524" i="12" a="1"/>
  <c r="Q524" i="12" s="1"/>
  <c r="Q525" i="12" a="1"/>
  <c r="Q525" i="12" s="1"/>
  <c r="Q526" i="12" a="1"/>
  <c r="Q526" i="12" s="1"/>
  <c r="Q527" i="12" a="1"/>
  <c r="Q527" i="12" s="1"/>
  <c r="Q528" i="12" a="1"/>
  <c r="Q528" i="12" s="1"/>
  <c r="Q529" i="12" a="1"/>
  <c r="Q529" i="12" s="1"/>
  <c r="Q530" i="12" a="1"/>
  <c r="Q530" i="12" s="1"/>
  <c r="Q531" i="12" a="1"/>
  <c r="Q531" i="12" s="1"/>
  <c r="Q532" i="12" a="1"/>
  <c r="Q532" i="12" s="1"/>
  <c r="Q533" i="12" a="1"/>
  <c r="Q533" i="12" s="1"/>
  <c r="Q534" i="12" a="1"/>
  <c r="Q534" i="12" s="1"/>
  <c r="Q535" i="12" a="1"/>
  <c r="Q535" i="12" s="1"/>
  <c r="Q536" i="12" a="1"/>
  <c r="Q536" i="12" s="1"/>
  <c r="Q537" i="12" a="1"/>
  <c r="Q537" i="12" s="1"/>
  <c r="Q538" i="12" a="1"/>
  <c r="Q538" i="12" s="1"/>
  <c r="Q539" i="12" a="1"/>
  <c r="Q539" i="12" s="1"/>
  <c r="Q540" i="12" a="1"/>
  <c r="Q540" i="12" s="1"/>
  <c r="Q541" i="12" a="1"/>
  <c r="Q541" i="12" s="1"/>
  <c r="Q542" i="12" a="1"/>
  <c r="Q542" i="12" s="1"/>
  <c r="Q543" i="12" a="1"/>
  <c r="Q543" i="12" s="1"/>
  <c r="Q544" i="12" a="1"/>
  <c r="Q544" i="12" s="1"/>
  <c r="Q545" i="12" a="1"/>
  <c r="Q545" i="12" s="1"/>
  <c r="Q546" i="12" a="1"/>
  <c r="Q546" i="12" s="1"/>
  <c r="Q547" i="12" a="1"/>
  <c r="Q547" i="12" s="1"/>
  <c r="Q548" i="12" a="1"/>
  <c r="Q548" i="12" s="1"/>
  <c r="Q549" i="12" a="1"/>
  <c r="Q549" i="12" s="1"/>
  <c r="Q550" i="12" a="1"/>
  <c r="Q550" i="12" s="1"/>
  <c r="Q551" i="12" a="1"/>
  <c r="Q551" i="12" s="1"/>
  <c r="Q552" i="12" a="1"/>
  <c r="Q552" i="12" s="1"/>
  <c r="Q553" i="12" a="1"/>
  <c r="Q553" i="12" s="1"/>
  <c r="Q554" i="12" a="1"/>
  <c r="Q554" i="12" s="1"/>
  <c r="Q555" i="12" a="1"/>
  <c r="Q555" i="12" s="1"/>
  <c r="Q556" i="12" a="1"/>
  <c r="Q556" i="12" s="1"/>
  <c r="Q557" i="12" a="1"/>
  <c r="Q557" i="12" s="1"/>
  <c r="Q558" i="12" a="1"/>
  <c r="Q558" i="12" s="1"/>
  <c r="Q559" i="12" a="1"/>
  <c r="Q559" i="12" s="1"/>
  <c r="Q560" i="12" a="1"/>
  <c r="Q560" i="12" s="1"/>
  <c r="Q561" i="12" a="1"/>
  <c r="Q561" i="12" s="1"/>
  <c r="Q562" i="12" a="1"/>
  <c r="Q562" i="12" s="1"/>
  <c r="Q563" i="12" a="1"/>
  <c r="Q563" i="12" s="1"/>
  <c r="Q564" i="12" a="1"/>
  <c r="Q564" i="12" s="1"/>
  <c r="Q565" i="12" a="1"/>
  <c r="Q565" i="12" s="1"/>
  <c r="Q566" i="12" a="1"/>
  <c r="Q566" i="12" s="1"/>
  <c r="Q567" i="12" a="1"/>
  <c r="Q567" i="12" s="1"/>
  <c r="Q568" i="12" a="1"/>
  <c r="Q568" i="12" s="1"/>
  <c r="Q569" i="12" a="1"/>
  <c r="Q569" i="12" s="1"/>
  <c r="Q570" i="12" a="1"/>
  <c r="Q570" i="12" s="1"/>
  <c r="Q571" i="12" a="1"/>
  <c r="Q571" i="12" s="1"/>
  <c r="Q572" i="12" a="1"/>
  <c r="Q572" i="12" s="1"/>
  <c r="Q573" i="12" a="1"/>
  <c r="Q573" i="12" s="1"/>
  <c r="Q574" i="12" a="1"/>
  <c r="Q574" i="12" s="1"/>
  <c r="Q575" i="12" a="1"/>
  <c r="Q575" i="12" s="1"/>
  <c r="Q576" i="12" a="1"/>
  <c r="Q576" i="12" s="1"/>
  <c r="Q577" i="12" a="1"/>
  <c r="Q577" i="12" s="1"/>
  <c r="Q578" i="12" a="1"/>
  <c r="Q578" i="12" s="1"/>
  <c r="Q579" i="12" a="1"/>
  <c r="Q579" i="12" s="1"/>
  <c r="Q580" i="12" a="1"/>
  <c r="Q580" i="12" s="1"/>
  <c r="Q581" i="12" a="1"/>
  <c r="Q581" i="12" s="1"/>
  <c r="Q582" i="12" a="1"/>
  <c r="Q582" i="12" s="1"/>
  <c r="Q583" i="12" a="1"/>
  <c r="Q583" i="12" s="1"/>
  <c r="Q584" i="12" a="1"/>
  <c r="Q584" i="12" s="1"/>
  <c r="Q585" i="12" a="1"/>
  <c r="Q585" i="12" s="1"/>
  <c r="Q586" i="12" a="1"/>
  <c r="Q586" i="12" s="1"/>
  <c r="Q587" i="12" a="1"/>
  <c r="Q587" i="12" s="1"/>
  <c r="Q588" i="12" a="1"/>
  <c r="Q588" i="12" s="1"/>
  <c r="Q589" i="12" a="1"/>
  <c r="Q589" i="12" s="1"/>
  <c r="Q590" i="12" a="1"/>
  <c r="Q590" i="12" s="1"/>
  <c r="Q591" i="12" a="1"/>
  <c r="Q591" i="12" s="1"/>
  <c r="Q592" i="12" a="1"/>
  <c r="Q592" i="12" s="1"/>
  <c r="Q593" i="12" a="1"/>
  <c r="Q593" i="12" s="1"/>
  <c r="Q594" i="12" a="1"/>
  <c r="Q594" i="12" s="1"/>
  <c r="Q595" i="12" a="1"/>
  <c r="Q595" i="12" s="1"/>
  <c r="Q596" i="12" a="1"/>
  <c r="Q596" i="12" s="1"/>
  <c r="Q597" i="12" a="1"/>
  <c r="Q597" i="12" s="1"/>
  <c r="Q598" i="12" a="1"/>
  <c r="Q598" i="12" s="1"/>
  <c r="Q599" i="12" a="1"/>
  <c r="Q599" i="12" s="1"/>
  <c r="Q600" i="12" a="1"/>
  <c r="Q600" i="12" s="1"/>
  <c r="Q601" i="12" a="1"/>
  <c r="Q601" i="12" s="1"/>
  <c r="Q602" i="12" a="1"/>
  <c r="Q602" i="12" s="1"/>
  <c r="Q603" i="12" a="1"/>
  <c r="Q603" i="12" s="1"/>
  <c r="Q604" i="12" a="1"/>
  <c r="Q604" i="12" s="1"/>
  <c r="Q605" i="12" a="1"/>
  <c r="Q605" i="12" s="1"/>
  <c r="Q606" i="12" a="1"/>
  <c r="Q606" i="12" s="1"/>
  <c r="Q607" i="12" a="1"/>
  <c r="Q607" i="12" s="1"/>
  <c r="Q608" i="12" a="1"/>
  <c r="Q608" i="12" s="1"/>
  <c r="Q609" i="12" a="1"/>
  <c r="Q609" i="12" s="1"/>
  <c r="Q610" i="12" a="1"/>
  <c r="Q610" i="12" s="1"/>
  <c r="Q611" i="12" a="1"/>
  <c r="Q611" i="12" s="1"/>
  <c r="Q612" i="12" a="1"/>
  <c r="Q612" i="12" s="1"/>
  <c r="Q613" i="12" a="1"/>
  <c r="Q613" i="12" s="1"/>
  <c r="Q614" i="12" a="1"/>
  <c r="Q614" i="12" s="1"/>
  <c r="Q615" i="12" a="1"/>
  <c r="Q615" i="12" s="1"/>
  <c r="Q616" i="12" a="1"/>
  <c r="Q616" i="12" s="1"/>
  <c r="Q617" i="12" a="1"/>
  <c r="Q617" i="12" s="1"/>
  <c r="Q618" i="12" a="1"/>
  <c r="Q618" i="12" s="1"/>
  <c r="Q619" i="12" a="1"/>
  <c r="Q619" i="12" s="1"/>
  <c r="Q620" i="12" a="1"/>
  <c r="Q620" i="12" s="1"/>
  <c r="Q621" i="12" a="1"/>
  <c r="Q621" i="12" s="1"/>
  <c r="Q622" i="12" a="1"/>
  <c r="Q622" i="12" s="1"/>
  <c r="Q623" i="12" a="1"/>
  <c r="Q623" i="12" s="1"/>
  <c r="Q624" i="12" a="1"/>
  <c r="Q624" i="12" s="1"/>
  <c r="Q625" i="12" a="1"/>
  <c r="Q625" i="12" s="1"/>
  <c r="Q626" i="12" a="1"/>
  <c r="Q626" i="12" s="1"/>
  <c r="Q627" i="12" a="1"/>
  <c r="Q627" i="12" s="1"/>
  <c r="Q628" i="12" a="1"/>
  <c r="Q628" i="12" s="1"/>
  <c r="Q629" i="12" a="1"/>
  <c r="Q629" i="12" s="1"/>
  <c r="Q630" i="12" a="1"/>
  <c r="Q630" i="12" s="1"/>
  <c r="Q631" i="12" a="1"/>
  <c r="Q631" i="12" s="1"/>
  <c r="Q632" i="12" a="1"/>
  <c r="Q632" i="12" s="1"/>
  <c r="Q633" i="12" a="1"/>
  <c r="Q633" i="12" s="1"/>
  <c r="Q634" i="12" a="1"/>
  <c r="Q634" i="12" s="1"/>
  <c r="Q635" i="12" a="1"/>
  <c r="Q635" i="12" s="1"/>
  <c r="Q636" i="12" a="1"/>
  <c r="Q636" i="12" s="1"/>
  <c r="Q637" i="12" a="1"/>
  <c r="Q637" i="12" s="1"/>
  <c r="Q638" i="12" a="1"/>
  <c r="Q638" i="12" s="1"/>
  <c r="Q639" i="12" a="1"/>
  <c r="Q639" i="12" s="1"/>
  <c r="Q640" i="12" a="1"/>
  <c r="Q640" i="12" s="1"/>
  <c r="Q641" i="12" a="1"/>
  <c r="Q641" i="12" s="1"/>
  <c r="Q642" i="12" a="1"/>
  <c r="Q642" i="12" s="1"/>
  <c r="Q643" i="12" a="1"/>
  <c r="Q643" i="12" s="1"/>
  <c r="Q644" i="12" a="1"/>
  <c r="Q644" i="12" s="1"/>
  <c r="Q645" i="12" a="1"/>
  <c r="Q645" i="12" s="1"/>
  <c r="Q646" i="12" a="1"/>
  <c r="Q646" i="12" s="1"/>
  <c r="Q647" i="12" a="1"/>
  <c r="Q647" i="12" s="1"/>
  <c r="Q648" i="12" a="1"/>
  <c r="Q648" i="12" s="1"/>
  <c r="Q649" i="12" a="1"/>
  <c r="Q649" i="12" s="1"/>
  <c r="Q650" i="12" a="1"/>
  <c r="Q650" i="12" s="1"/>
  <c r="Q651" i="12" a="1"/>
  <c r="Q651" i="12" s="1"/>
  <c r="Q652" i="12" a="1"/>
  <c r="Q652" i="12" s="1"/>
  <c r="Q653" i="12" a="1"/>
  <c r="Q653" i="12" s="1"/>
  <c r="Q654" i="12" a="1"/>
  <c r="Q654" i="12" s="1"/>
  <c r="Q655" i="12" a="1"/>
  <c r="Q655" i="12" s="1"/>
  <c r="Q656" i="12" a="1"/>
  <c r="Q656" i="12" s="1"/>
  <c r="Q657" i="12" a="1"/>
  <c r="Q657" i="12" s="1"/>
  <c r="Q658" i="12" a="1"/>
  <c r="Q658" i="12" s="1"/>
  <c r="Q659" i="12" a="1"/>
  <c r="Q659" i="12" s="1"/>
  <c r="Q660" i="12" a="1"/>
  <c r="Q660" i="12" s="1"/>
  <c r="Q661" i="12" a="1"/>
  <c r="Q661" i="12" s="1"/>
  <c r="Q662" i="12" a="1"/>
  <c r="Q662" i="12" s="1"/>
  <c r="Q663" i="12" a="1"/>
  <c r="Q663" i="12" s="1"/>
  <c r="Q664" i="12" a="1"/>
  <c r="Q664" i="12" s="1"/>
  <c r="Q665" i="12" a="1"/>
  <c r="Q665" i="12" s="1"/>
  <c r="Q666" i="12" a="1"/>
  <c r="Q666" i="12" s="1"/>
  <c r="Q667" i="12" a="1"/>
  <c r="Q667" i="12" s="1"/>
  <c r="Q668" i="12" a="1"/>
  <c r="Q668" i="12" s="1"/>
  <c r="Q669" i="12" a="1"/>
  <c r="Q669" i="12" s="1"/>
  <c r="Q670" i="12" a="1"/>
  <c r="Q670" i="12" s="1"/>
  <c r="Q671" i="12" a="1"/>
  <c r="Q671" i="12" s="1"/>
  <c r="Q672" i="12" a="1"/>
  <c r="Q672" i="12" s="1"/>
  <c r="Q673" i="12" a="1"/>
  <c r="Q673" i="12" s="1"/>
  <c r="Q674" i="12" a="1"/>
  <c r="Q674" i="12" s="1"/>
  <c r="Q675" i="12" a="1"/>
  <c r="Q675" i="12" s="1"/>
  <c r="Q676" i="12" a="1"/>
  <c r="Q676" i="12" s="1"/>
  <c r="Q677" i="12" a="1"/>
  <c r="Q677" i="12" s="1"/>
  <c r="Q678" i="12" a="1"/>
  <c r="Q678" i="12" s="1"/>
  <c r="Q679" i="12" a="1"/>
  <c r="Q679" i="12" s="1"/>
  <c r="Q680" i="12" a="1"/>
  <c r="Q680" i="12" s="1"/>
  <c r="Q681" i="12" a="1"/>
  <c r="Q681" i="12" s="1"/>
  <c r="Q682" i="12" a="1"/>
  <c r="Q682" i="12" s="1"/>
  <c r="Q683" i="12" a="1"/>
  <c r="Q683" i="12" s="1"/>
  <c r="Q684" i="12" a="1"/>
  <c r="Q684" i="12" s="1"/>
  <c r="Q685" i="12" a="1"/>
  <c r="Q685" i="12" s="1"/>
  <c r="Q686" i="12" a="1"/>
  <c r="Q686" i="12" s="1"/>
  <c r="Q687" i="12" a="1"/>
  <c r="Q687" i="12" s="1"/>
  <c r="Q688" i="12" a="1"/>
  <c r="Q688" i="12" s="1"/>
  <c r="Q689" i="12" a="1"/>
  <c r="Q689" i="12" s="1"/>
  <c r="Q690" i="12" a="1"/>
  <c r="Q690" i="12" s="1"/>
  <c r="Q691" i="12" a="1"/>
  <c r="Q691" i="12" s="1"/>
  <c r="Q692" i="12" a="1"/>
  <c r="Q692" i="12" s="1"/>
  <c r="Q693" i="12" a="1"/>
  <c r="Q693" i="12" s="1"/>
  <c r="Q694" i="12" a="1"/>
  <c r="Q694" i="12" s="1"/>
  <c r="Q695" i="12" a="1"/>
  <c r="Q695" i="12" s="1"/>
  <c r="Q696" i="12" a="1"/>
  <c r="Q696" i="12" s="1"/>
  <c r="Q697" i="12" a="1"/>
  <c r="Q697" i="12" s="1"/>
  <c r="Q698" i="12" a="1"/>
  <c r="Q698" i="12" s="1"/>
  <c r="Q699" i="12" a="1"/>
  <c r="Q699" i="12" s="1"/>
  <c r="Q700" i="12" a="1"/>
  <c r="Q700" i="12" s="1"/>
  <c r="Q701" i="12" a="1"/>
  <c r="Q701" i="12" s="1"/>
  <c r="Q702" i="12" a="1"/>
  <c r="Q702" i="12" s="1"/>
  <c r="Q703" i="12" a="1"/>
  <c r="Q703" i="12" s="1"/>
  <c r="Q704" i="12" a="1"/>
  <c r="Q704" i="12" s="1"/>
  <c r="Q705" i="12" a="1"/>
  <c r="Q705" i="12" s="1"/>
  <c r="Q706" i="12" a="1"/>
  <c r="Q706" i="12" s="1"/>
  <c r="Q707" i="12" a="1"/>
  <c r="Q707" i="12" s="1"/>
  <c r="Q708" i="12" a="1"/>
  <c r="Q708" i="12" s="1"/>
  <c r="Q709" i="12" a="1"/>
  <c r="Q709" i="12" s="1"/>
  <c r="Q710" i="12" a="1"/>
  <c r="Q710" i="12" s="1"/>
  <c r="Q711" i="12" a="1"/>
  <c r="Q711" i="12" s="1"/>
  <c r="Q712" i="12" a="1"/>
  <c r="Q712" i="12" s="1"/>
  <c r="Q713" i="12" a="1"/>
  <c r="Q713" i="12" s="1"/>
  <c r="Q714" i="12" a="1"/>
  <c r="Q714" i="12" s="1"/>
  <c r="Q715" i="12" a="1"/>
  <c r="Q715" i="12" s="1"/>
  <c r="Q716" i="12" a="1"/>
  <c r="Q716" i="12" s="1"/>
  <c r="Q717" i="12" a="1"/>
  <c r="Q717" i="12" s="1"/>
  <c r="Q718" i="12" a="1"/>
  <c r="Q718" i="12" s="1"/>
  <c r="Q719" i="12" a="1"/>
  <c r="Q719" i="12" s="1"/>
  <c r="Q720" i="12" a="1"/>
  <c r="Q720" i="12" s="1"/>
  <c r="Q721" i="12" a="1"/>
  <c r="Q721" i="12" s="1"/>
  <c r="Q722" i="12" a="1"/>
  <c r="Q722" i="12" s="1"/>
  <c r="Q723" i="12" a="1"/>
  <c r="Q723" i="12" s="1"/>
  <c r="Q724" i="12" a="1"/>
  <c r="Q724" i="12" s="1"/>
  <c r="Q725" i="12" a="1"/>
  <c r="Q725" i="12" s="1"/>
  <c r="Q726" i="12" a="1"/>
  <c r="Q726" i="12" s="1"/>
  <c r="Q727" i="12" a="1"/>
  <c r="Q727" i="12" s="1"/>
  <c r="Q728" i="12" a="1"/>
  <c r="Q728" i="12" s="1"/>
  <c r="Q729" i="12" a="1"/>
  <c r="Q729" i="12" s="1"/>
  <c r="Q730" i="12" a="1"/>
  <c r="Q730" i="12" s="1"/>
  <c r="Q731" i="12" a="1"/>
  <c r="Q731" i="12" s="1"/>
  <c r="Q732" i="12" a="1"/>
  <c r="Q732" i="12" s="1"/>
  <c r="Q733" i="12" a="1"/>
  <c r="Q733" i="12" s="1"/>
  <c r="Q734" i="12" a="1"/>
  <c r="Q734" i="12" s="1"/>
  <c r="Q735" i="12" a="1"/>
  <c r="Q735" i="12" s="1"/>
  <c r="Q736" i="12" a="1"/>
  <c r="Q736" i="12" s="1"/>
  <c r="Q737" i="12" a="1"/>
  <c r="Q737" i="12" s="1"/>
  <c r="Q738" i="12" a="1"/>
  <c r="Q738" i="12" s="1"/>
  <c r="Q739" i="12" a="1"/>
  <c r="Q739" i="12" s="1"/>
  <c r="Q740" i="12" a="1"/>
  <c r="Q740" i="12" s="1"/>
  <c r="Q741" i="12" a="1"/>
  <c r="Q741" i="12" s="1"/>
  <c r="Q742" i="12" a="1"/>
  <c r="Q742" i="12" s="1"/>
  <c r="Q743" i="12" a="1"/>
  <c r="Q743" i="12" s="1"/>
  <c r="Q744" i="12" a="1"/>
  <c r="Q744" i="12" s="1"/>
  <c r="Q745" i="12" a="1"/>
  <c r="Q745" i="12" s="1"/>
  <c r="Q746" i="12" a="1"/>
  <c r="Q746" i="12" s="1"/>
  <c r="Q747" i="12" a="1"/>
  <c r="Q747" i="12" s="1"/>
  <c r="Q748" i="12" a="1"/>
  <c r="Q748" i="12" s="1"/>
  <c r="Q749" i="12" a="1"/>
  <c r="Q749" i="12" s="1"/>
  <c r="Q750" i="12" a="1"/>
  <c r="Q750" i="12" s="1"/>
  <c r="Q751" i="12" a="1"/>
  <c r="Q751" i="12" s="1"/>
  <c r="Q752" i="12" a="1"/>
  <c r="Q752" i="12" s="1"/>
  <c r="Q753" i="12" a="1"/>
  <c r="Q753" i="12" s="1"/>
  <c r="Q754" i="12" a="1"/>
  <c r="Q754" i="12" s="1"/>
  <c r="Q755" i="12" a="1"/>
  <c r="Q755" i="12" s="1"/>
  <c r="Q756" i="12" a="1"/>
  <c r="Q756" i="12" s="1"/>
  <c r="Q757" i="12" a="1"/>
  <c r="Q757" i="12" s="1"/>
  <c r="Q2" i="12" a="1"/>
  <c r="Q2" i="12" s="1"/>
  <c r="D70" i="9"/>
  <c r="W70" i="9" s="1"/>
  <c r="P1221" i="12" a="1"/>
  <c r="P1221" i="12" s="1"/>
  <c r="P1172" i="12" a="1"/>
  <c r="P1172" i="12" s="1"/>
  <c r="P1173" i="12" a="1"/>
  <c r="P1173" i="12" s="1"/>
  <c r="P1174" i="12" a="1"/>
  <c r="P1174" i="12" s="1"/>
  <c r="P1175" i="12" a="1"/>
  <c r="P1175" i="12" s="1"/>
  <c r="P1176" i="12" a="1"/>
  <c r="P1176" i="12" s="1"/>
  <c r="P1177" i="12" a="1"/>
  <c r="P1177" i="12" s="1"/>
  <c r="P1178" i="12" a="1"/>
  <c r="P1178" i="12" s="1"/>
  <c r="P1179" i="12" a="1"/>
  <c r="P1179" i="12" s="1"/>
  <c r="P1180" i="12" a="1"/>
  <c r="P1180" i="12" s="1"/>
  <c r="P1182" i="12" a="1"/>
  <c r="P1182" i="12" s="1"/>
  <c r="P1183" i="12" a="1"/>
  <c r="P1183" i="12" s="1"/>
  <c r="P1184" i="12" a="1"/>
  <c r="P1184" i="12" s="1"/>
  <c r="P1185" i="12" a="1"/>
  <c r="P1185" i="12" s="1"/>
  <c r="P1187" i="12" a="1"/>
  <c r="P1187" i="12" s="1"/>
  <c r="P1188" i="12" a="1"/>
  <c r="P1188" i="12" s="1"/>
  <c r="P1189" i="12" a="1"/>
  <c r="P1189" i="12" s="1"/>
  <c r="P1190" i="12" a="1"/>
  <c r="P1190" i="12" s="1"/>
  <c r="P1191" i="12" a="1"/>
  <c r="P1191" i="12" s="1"/>
  <c r="P1192" i="12" a="1"/>
  <c r="P1192" i="12" s="1"/>
  <c r="P1193" i="12" a="1"/>
  <c r="P1193" i="12" s="1"/>
  <c r="P1194" i="12" a="1"/>
  <c r="P1194" i="12" s="1"/>
  <c r="P1195" i="12" a="1"/>
  <c r="P1195" i="12" s="1"/>
  <c r="P1196" i="12" a="1"/>
  <c r="P1196" i="12" s="1"/>
  <c r="P1198" i="12" a="1"/>
  <c r="P1198" i="12" s="1"/>
  <c r="P1199" i="12" a="1"/>
  <c r="P1199" i="12" s="1"/>
  <c r="P1200" i="12" a="1"/>
  <c r="P1200" i="12" s="1"/>
  <c r="P1201" i="12" a="1"/>
  <c r="P1201" i="12" s="1"/>
  <c r="P1203" i="12" a="1"/>
  <c r="P1203" i="12" s="1"/>
  <c r="P1204" i="12" a="1"/>
  <c r="P1204" i="12" s="1"/>
  <c r="P1205" i="12" a="1"/>
  <c r="P1205" i="12" s="1"/>
  <c r="P1206" i="12" a="1"/>
  <c r="P1206" i="12" s="1"/>
  <c r="P1207" i="12" a="1"/>
  <c r="P1207" i="12" s="1"/>
  <c r="P1163" i="12" a="1"/>
  <c r="P1163" i="12" s="1"/>
  <c r="P1164" i="12" a="1"/>
  <c r="P1164" i="12" s="1"/>
  <c r="P1145" i="12" a="1"/>
  <c r="P1145" i="12" s="1"/>
  <c r="P1146" i="12" a="1"/>
  <c r="P1146" i="12" s="1"/>
  <c r="P1136" i="12" a="1"/>
  <c r="P1136" i="12" s="1"/>
  <c r="P1137" i="12" a="1"/>
  <c r="P1137" i="12" s="1"/>
  <c r="P1138" i="12" a="1"/>
  <c r="P1138" i="12" s="1"/>
  <c r="P1139" i="12" a="1"/>
  <c r="P1139" i="12" s="1"/>
  <c r="P1141" i="12" a="1"/>
  <c r="P1141" i="12" s="1"/>
  <c r="P1142" i="12" a="1"/>
  <c r="P1142" i="12" s="1"/>
  <c r="P1143" i="12" a="1"/>
  <c r="P1143" i="12" s="1"/>
  <c r="P1144" i="12" a="1"/>
  <c r="P1144" i="12" s="1"/>
  <c r="P1147" i="12" a="1"/>
  <c r="P1147" i="12" s="1"/>
  <c r="P1148" i="12" a="1"/>
  <c r="P1148" i="12" s="1"/>
  <c r="P1149" i="12" a="1"/>
  <c r="P1149" i="12" s="1"/>
  <c r="P1150" i="12" a="1"/>
  <c r="P1150" i="12" s="1"/>
  <c r="P1151" i="12" a="1"/>
  <c r="P1151" i="12" s="1"/>
  <c r="P1152" i="12" a="1"/>
  <c r="P1152" i="12" s="1"/>
  <c r="P1153" i="12" a="1"/>
  <c r="P1153" i="12" s="1"/>
  <c r="P1154" i="12" a="1"/>
  <c r="P1154" i="12" s="1"/>
  <c r="P1155" i="12" a="1"/>
  <c r="P1155" i="12" s="1"/>
  <c r="P1158" i="12" a="1"/>
  <c r="P1158" i="12" s="1"/>
  <c r="P1159" i="12" a="1"/>
  <c r="P1159" i="12" s="1"/>
  <c r="P1161" i="12" a="1"/>
  <c r="P1161" i="12" s="1"/>
  <c r="P1162" i="12" a="1"/>
  <c r="P1162" i="12" s="1"/>
  <c r="P1166" i="12" a="1"/>
  <c r="P1166" i="12" s="1"/>
  <c r="P1167" i="12" a="1"/>
  <c r="P1167" i="12" s="1"/>
  <c r="P1168" i="12" a="1"/>
  <c r="P1168" i="12" s="1"/>
  <c r="P1169" i="12" a="1"/>
  <c r="P1169" i="12" s="1"/>
  <c r="P1170" i="12" a="1"/>
  <c r="P1170" i="12" s="1"/>
  <c r="P1171" i="12" a="1"/>
  <c r="P1171" i="12" s="1"/>
  <c r="P1160" i="12" a="1"/>
  <c r="P1160" i="12" s="1"/>
  <c r="P1165" i="12" a="1"/>
  <c r="P1165" i="12" s="1"/>
  <c r="P1140" i="12" a="1"/>
  <c r="P1140" i="12" s="1"/>
  <c r="P1157" i="12" a="1"/>
  <c r="P1157" i="12" s="1"/>
  <c r="P1156" i="12" a="1"/>
  <c r="P1156" i="12" s="1"/>
  <c r="P1186" i="12" a="1"/>
  <c r="P1186" i="12" s="1"/>
  <c r="P1181" i="12" a="1"/>
  <c r="P1181" i="12" s="1"/>
  <c r="P1202" i="12" a="1"/>
  <c r="P1202" i="12" s="1"/>
  <c r="P1197" i="12" a="1"/>
  <c r="P1197" i="12" s="1"/>
  <c r="P1082" i="12" a="1"/>
  <c r="P1082" i="12" s="1"/>
  <c r="P1083" i="12" a="1"/>
  <c r="P1083" i="12" s="1"/>
  <c r="P1084" i="12" a="1"/>
  <c r="P1084" i="12" s="1"/>
  <c r="P1085" i="12" a="1"/>
  <c r="P1085" i="12" s="1"/>
  <c r="P1086" i="12" a="1"/>
  <c r="P1086" i="12" s="1"/>
  <c r="P1087" i="12" a="1"/>
  <c r="P1087" i="12" s="1"/>
  <c r="P1088" i="12" a="1"/>
  <c r="P1088" i="12" s="1"/>
  <c r="P1089" i="12" a="1"/>
  <c r="P1089" i="12" s="1"/>
  <c r="P1090" i="12" a="1"/>
  <c r="P1090" i="12" s="1"/>
  <c r="P1091" i="12" a="1"/>
  <c r="P1091" i="12" s="1"/>
  <c r="P1092" i="12" a="1"/>
  <c r="P1092" i="12" s="1"/>
  <c r="P1093" i="12" a="1"/>
  <c r="P1093" i="12" s="1"/>
  <c r="P1094" i="12" a="1"/>
  <c r="P1094" i="12" s="1"/>
  <c r="P1095" i="12" a="1"/>
  <c r="P1095" i="12" s="1"/>
  <c r="P1096" i="12" a="1"/>
  <c r="P1096" i="12" s="1"/>
  <c r="P1097" i="12" a="1"/>
  <c r="P1097" i="12" s="1"/>
  <c r="P1098" i="12" a="1"/>
  <c r="P1098" i="12" s="1"/>
  <c r="P1099" i="12" a="1"/>
  <c r="P1099" i="12" s="1"/>
  <c r="P1100" i="12" a="1"/>
  <c r="P1100" i="12" s="1"/>
  <c r="P1101" i="12" a="1"/>
  <c r="P1101" i="12" s="1"/>
  <c r="P1102" i="12" a="1"/>
  <c r="P1102" i="12" s="1"/>
  <c r="P1103" i="12" a="1"/>
  <c r="P1103" i="12" s="1"/>
  <c r="P1104" i="12" a="1"/>
  <c r="P1104" i="12" s="1"/>
  <c r="P1105" i="12" a="1"/>
  <c r="P1105" i="12" s="1"/>
  <c r="P1106" i="12" a="1"/>
  <c r="P1106" i="12" s="1"/>
  <c r="P1107" i="12" a="1"/>
  <c r="P1107" i="12" s="1"/>
  <c r="P1108" i="12" a="1"/>
  <c r="P1108" i="12" s="1"/>
  <c r="P1109" i="12" a="1"/>
  <c r="P1109" i="12" s="1"/>
  <c r="P1110" i="12" a="1"/>
  <c r="P1110" i="12" s="1"/>
  <c r="P1111" i="12" a="1"/>
  <c r="P1111" i="12" s="1"/>
  <c r="P1112" i="12" a="1"/>
  <c r="P1112" i="12" s="1"/>
  <c r="P1113" i="12" a="1"/>
  <c r="P1113" i="12" s="1"/>
  <c r="P1114" i="12" a="1"/>
  <c r="P1114" i="12" s="1"/>
  <c r="P1115" i="12" a="1"/>
  <c r="P1115" i="12" s="1"/>
  <c r="P1116" i="12" a="1"/>
  <c r="P1116" i="12" s="1"/>
  <c r="P1117" i="12" a="1"/>
  <c r="P1117" i="12" s="1"/>
  <c r="P1118" i="12" a="1"/>
  <c r="P1118" i="12" s="1"/>
  <c r="P1119" i="12" a="1"/>
  <c r="P1119" i="12" s="1"/>
  <c r="P1120" i="12" a="1"/>
  <c r="P1120" i="12" s="1"/>
  <c r="P1121" i="12" a="1"/>
  <c r="P1121" i="12" s="1"/>
  <c r="P1122" i="12" a="1"/>
  <c r="P1122" i="12" s="1"/>
  <c r="P1123" i="12" a="1"/>
  <c r="P1123" i="12" s="1"/>
  <c r="P1124" i="12" a="1"/>
  <c r="P1124" i="12" s="1"/>
  <c r="P1125" i="12" a="1"/>
  <c r="P1125" i="12" s="1"/>
  <c r="P1126" i="12" a="1"/>
  <c r="P1126" i="12" s="1"/>
  <c r="P1127" i="12" a="1"/>
  <c r="P1127" i="12" s="1"/>
  <c r="P1128" i="12" a="1"/>
  <c r="P1128" i="12" s="1"/>
  <c r="P1129" i="12" a="1"/>
  <c r="P1129" i="12" s="1"/>
  <c r="P1130" i="12" a="1"/>
  <c r="P1130" i="12" s="1"/>
  <c r="P1131" i="12" a="1"/>
  <c r="P1131" i="12" s="1"/>
  <c r="P1132" i="12" a="1"/>
  <c r="P1132" i="12" s="1"/>
  <c r="P1133" i="12" a="1"/>
  <c r="P1133" i="12" s="1"/>
  <c r="P1134" i="12" a="1"/>
  <c r="P1134" i="12" s="1"/>
  <c r="P1135" i="12" a="1"/>
  <c r="P1135" i="12" s="1"/>
  <c r="P848" i="12" a="1"/>
  <c r="P848" i="12" s="1"/>
  <c r="P849" i="12" a="1"/>
  <c r="P849" i="12" s="1"/>
  <c r="P850" i="12" a="1"/>
  <c r="P850" i="12" s="1"/>
  <c r="P851" i="12" a="1"/>
  <c r="P851" i="12" s="1"/>
  <c r="P852" i="12" a="1"/>
  <c r="P852" i="12" s="1"/>
  <c r="P853" i="12" a="1"/>
  <c r="P853" i="12" s="1"/>
  <c r="P854" i="12" a="1"/>
  <c r="P854" i="12" s="1"/>
  <c r="P855" i="12" a="1"/>
  <c r="P855" i="12" s="1"/>
  <c r="P856" i="12" a="1"/>
  <c r="P856" i="12" s="1"/>
  <c r="P857" i="12" a="1"/>
  <c r="P857" i="12" s="1"/>
  <c r="P858" i="12" a="1"/>
  <c r="P858" i="12" s="1"/>
  <c r="P859" i="12" a="1"/>
  <c r="P859" i="12" s="1"/>
  <c r="P860" i="12" a="1"/>
  <c r="P860" i="12" s="1"/>
  <c r="P861" i="12" a="1"/>
  <c r="P861" i="12" s="1"/>
  <c r="P862" i="12" a="1"/>
  <c r="P862" i="12" s="1"/>
  <c r="P863" i="12" a="1"/>
  <c r="P863" i="12" s="1"/>
  <c r="P864" i="12" a="1"/>
  <c r="P864" i="12" s="1"/>
  <c r="P865" i="12" a="1"/>
  <c r="P865" i="12" s="1"/>
  <c r="P866" i="12" a="1"/>
  <c r="P866" i="12" s="1"/>
  <c r="P867" i="12" a="1"/>
  <c r="P867" i="12" s="1"/>
  <c r="P868" i="12" a="1"/>
  <c r="P868" i="12" s="1"/>
  <c r="P869" i="12" a="1"/>
  <c r="P869" i="12" s="1"/>
  <c r="P870" i="12" a="1"/>
  <c r="P870" i="12" s="1"/>
  <c r="P871" i="12" a="1"/>
  <c r="P871" i="12" s="1"/>
  <c r="P872" i="12" a="1"/>
  <c r="P872" i="12" s="1"/>
  <c r="P873" i="12" a="1"/>
  <c r="P873" i="12" s="1"/>
  <c r="P874" i="12" a="1"/>
  <c r="P874" i="12" s="1"/>
  <c r="P875" i="12" a="1"/>
  <c r="P875" i="12" s="1"/>
  <c r="P876" i="12" a="1"/>
  <c r="P876" i="12" s="1"/>
  <c r="P877" i="12" a="1"/>
  <c r="P877" i="12" s="1"/>
  <c r="P878" i="12" a="1"/>
  <c r="P878" i="12" s="1"/>
  <c r="P879" i="12" a="1"/>
  <c r="P879" i="12" s="1"/>
  <c r="P880" i="12" a="1"/>
  <c r="P880" i="12" s="1"/>
  <c r="P881" i="12" a="1"/>
  <c r="P881" i="12" s="1"/>
  <c r="P882" i="12" a="1"/>
  <c r="P882" i="12" s="1"/>
  <c r="P883" i="12" a="1"/>
  <c r="P883" i="12" s="1"/>
  <c r="P884" i="12" a="1"/>
  <c r="P884" i="12" s="1"/>
  <c r="P885" i="12" a="1"/>
  <c r="P885" i="12" s="1"/>
  <c r="P886" i="12" a="1"/>
  <c r="P886" i="12" s="1"/>
  <c r="P887" i="12" a="1"/>
  <c r="P887" i="12" s="1"/>
  <c r="P888" i="12" a="1"/>
  <c r="P888" i="12" s="1"/>
  <c r="P889" i="12" a="1"/>
  <c r="P889" i="12" s="1"/>
  <c r="P890" i="12" a="1"/>
  <c r="P890" i="12" s="1"/>
  <c r="P891" i="12" a="1"/>
  <c r="P891" i="12" s="1"/>
  <c r="P892" i="12" a="1"/>
  <c r="P892" i="12" s="1"/>
  <c r="P893" i="12" a="1"/>
  <c r="P893" i="12" s="1"/>
  <c r="P894" i="12" a="1"/>
  <c r="P894" i="12" s="1"/>
  <c r="P895" i="12" a="1"/>
  <c r="P895" i="12" s="1"/>
  <c r="P896" i="12" a="1"/>
  <c r="P896" i="12" s="1"/>
  <c r="P897" i="12" a="1"/>
  <c r="P897" i="12" s="1"/>
  <c r="P898" i="12" a="1"/>
  <c r="P898" i="12" s="1"/>
  <c r="P899" i="12" a="1"/>
  <c r="P899" i="12" s="1"/>
  <c r="P900" i="12" a="1"/>
  <c r="P900" i="12" s="1"/>
  <c r="P901" i="12" a="1"/>
  <c r="P901" i="12" s="1"/>
  <c r="P902" i="12" a="1"/>
  <c r="P902" i="12" s="1"/>
  <c r="P903" i="12" a="1"/>
  <c r="P903" i="12" s="1"/>
  <c r="P904" i="12" a="1"/>
  <c r="P904" i="12" s="1"/>
  <c r="P905" i="12" a="1"/>
  <c r="P905" i="12" s="1"/>
  <c r="P906" i="12" a="1"/>
  <c r="P906" i="12" s="1"/>
  <c r="P907" i="12" a="1"/>
  <c r="P907" i="12" s="1"/>
  <c r="P908" i="12" a="1"/>
  <c r="P908" i="12" s="1"/>
  <c r="P909" i="12" a="1"/>
  <c r="P909" i="12" s="1"/>
  <c r="P910" i="12" a="1"/>
  <c r="P910" i="12" s="1"/>
  <c r="P911" i="12" a="1"/>
  <c r="P911" i="12" s="1"/>
  <c r="P912" i="12" a="1"/>
  <c r="P912" i="12" s="1"/>
  <c r="P913" i="12" a="1"/>
  <c r="P913" i="12" s="1"/>
  <c r="P914" i="12" a="1"/>
  <c r="P914" i="12" s="1"/>
  <c r="P915" i="12" a="1"/>
  <c r="P915" i="12" s="1"/>
  <c r="P916" i="12" a="1"/>
  <c r="P916" i="12" s="1"/>
  <c r="P917" i="12" a="1"/>
  <c r="P917" i="12" s="1"/>
  <c r="P918" i="12" a="1"/>
  <c r="P918" i="12" s="1"/>
  <c r="P919" i="12" a="1"/>
  <c r="P919" i="12" s="1"/>
  <c r="P920" i="12" a="1"/>
  <c r="P920" i="12" s="1"/>
  <c r="P921" i="12" a="1"/>
  <c r="P921" i="12" s="1"/>
  <c r="P922" i="12" a="1"/>
  <c r="P922" i="12" s="1"/>
  <c r="P923" i="12" a="1"/>
  <c r="P923" i="12" s="1"/>
  <c r="P924" i="12" a="1"/>
  <c r="P924" i="12" s="1"/>
  <c r="P925" i="12" a="1"/>
  <c r="P925" i="12" s="1"/>
  <c r="P926" i="12" a="1"/>
  <c r="P926" i="12" s="1"/>
  <c r="P927" i="12" a="1"/>
  <c r="P927" i="12" s="1"/>
  <c r="P928" i="12" a="1"/>
  <c r="P928" i="12" s="1"/>
  <c r="P929" i="12" a="1"/>
  <c r="P929" i="12" s="1"/>
  <c r="P930" i="12" a="1"/>
  <c r="P930" i="12" s="1"/>
  <c r="P931" i="12" a="1"/>
  <c r="P931" i="12" s="1"/>
  <c r="P932" i="12" a="1"/>
  <c r="P932" i="12" s="1"/>
  <c r="P933" i="12" a="1"/>
  <c r="P933" i="12" s="1"/>
  <c r="P934" i="12" a="1"/>
  <c r="P934" i="12" s="1"/>
  <c r="P935" i="12" a="1"/>
  <c r="P935" i="12" s="1"/>
  <c r="P936" i="12" a="1"/>
  <c r="P936" i="12" s="1"/>
  <c r="P937" i="12" a="1"/>
  <c r="P937" i="12" s="1"/>
  <c r="P938" i="12" a="1"/>
  <c r="P938" i="12" s="1"/>
  <c r="P939" i="12" a="1"/>
  <c r="P939" i="12" s="1"/>
  <c r="P940" i="12" a="1"/>
  <c r="P940" i="12" s="1"/>
  <c r="P941" i="12" a="1"/>
  <c r="P941" i="12" s="1"/>
  <c r="P942" i="12" a="1"/>
  <c r="P942" i="12" s="1"/>
  <c r="P943" i="12" a="1"/>
  <c r="P943" i="12" s="1"/>
  <c r="P944" i="12" a="1"/>
  <c r="P944" i="12" s="1"/>
  <c r="P945" i="12" a="1"/>
  <c r="P945" i="12" s="1"/>
  <c r="P946" i="12" a="1"/>
  <c r="P946" i="12" s="1"/>
  <c r="P947" i="12" a="1"/>
  <c r="P947" i="12" s="1"/>
  <c r="P948" i="12" a="1"/>
  <c r="P948" i="12" s="1"/>
  <c r="P949" i="12" a="1"/>
  <c r="P949" i="12" s="1"/>
  <c r="P950" i="12" a="1"/>
  <c r="P950" i="12" s="1"/>
  <c r="P951" i="12" a="1"/>
  <c r="P951" i="12" s="1"/>
  <c r="P952" i="12" a="1"/>
  <c r="P952" i="12" s="1"/>
  <c r="P953" i="12" a="1"/>
  <c r="P953" i="12" s="1"/>
  <c r="P954" i="12" a="1"/>
  <c r="P954" i="12" s="1"/>
  <c r="P955" i="12" a="1"/>
  <c r="P955" i="12" s="1"/>
  <c r="P956" i="12" a="1"/>
  <c r="P956" i="12" s="1"/>
  <c r="P957" i="12" a="1"/>
  <c r="P957" i="12" s="1"/>
  <c r="P958" i="12" a="1"/>
  <c r="P958" i="12" s="1"/>
  <c r="P959" i="12" a="1"/>
  <c r="P959" i="12" s="1"/>
  <c r="P960" i="12" a="1"/>
  <c r="P960" i="12" s="1"/>
  <c r="P961" i="12" a="1"/>
  <c r="P961" i="12" s="1"/>
  <c r="P962" i="12" a="1"/>
  <c r="P962" i="12" s="1"/>
  <c r="P963" i="12" a="1"/>
  <c r="P963" i="12" s="1"/>
  <c r="P964" i="12" a="1"/>
  <c r="P964" i="12" s="1"/>
  <c r="P965" i="12" a="1"/>
  <c r="P965" i="12" s="1"/>
  <c r="P966" i="12" a="1"/>
  <c r="P966" i="12" s="1"/>
  <c r="P967" i="12" a="1"/>
  <c r="P967" i="12" s="1"/>
  <c r="P968" i="12" a="1"/>
  <c r="P968" i="12" s="1"/>
  <c r="P969" i="12" a="1"/>
  <c r="P969" i="12" s="1"/>
  <c r="P970" i="12" a="1"/>
  <c r="P970" i="12" s="1"/>
  <c r="P971" i="12" a="1"/>
  <c r="P971" i="12" s="1"/>
  <c r="P972" i="12" a="1"/>
  <c r="P972" i="12" s="1"/>
  <c r="P973" i="12" a="1"/>
  <c r="P973" i="12" s="1"/>
  <c r="P974" i="12" a="1"/>
  <c r="P974" i="12" s="1"/>
  <c r="P975" i="12" a="1"/>
  <c r="P975" i="12" s="1"/>
  <c r="P976" i="12" a="1"/>
  <c r="P976" i="12" s="1"/>
  <c r="P977" i="12" a="1"/>
  <c r="P977" i="12" s="1"/>
  <c r="P978" i="12" a="1"/>
  <c r="P978" i="12" s="1"/>
  <c r="P979" i="12" a="1"/>
  <c r="P979" i="12" s="1"/>
  <c r="P980" i="12" a="1"/>
  <c r="P980" i="12" s="1"/>
  <c r="P981" i="12" a="1"/>
  <c r="P981" i="12" s="1"/>
  <c r="P982" i="12" a="1"/>
  <c r="P982" i="12" s="1"/>
  <c r="P983" i="12" a="1"/>
  <c r="P983" i="12" s="1"/>
  <c r="P984" i="12" a="1"/>
  <c r="P984" i="12" s="1"/>
  <c r="P985" i="12" a="1"/>
  <c r="P985" i="12" s="1"/>
  <c r="P986" i="12" a="1"/>
  <c r="P986" i="12" s="1"/>
  <c r="P987" i="12" a="1"/>
  <c r="P987" i="12" s="1"/>
  <c r="P988" i="12" a="1"/>
  <c r="P988" i="12" s="1"/>
  <c r="P989" i="12" a="1"/>
  <c r="P989" i="12" s="1"/>
  <c r="P990" i="12" a="1"/>
  <c r="P990" i="12" s="1"/>
  <c r="P991" i="12" a="1"/>
  <c r="P991" i="12" s="1"/>
  <c r="P992" i="12" a="1"/>
  <c r="P992" i="12" s="1"/>
  <c r="P993" i="12" a="1"/>
  <c r="P993" i="12" s="1"/>
  <c r="P994" i="12" a="1"/>
  <c r="P994" i="12" s="1"/>
  <c r="P995" i="12" a="1"/>
  <c r="P995" i="12" s="1"/>
  <c r="P996" i="12" a="1"/>
  <c r="P996" i="12" s="1"/>
  <c r="P997" i="12" a="1"/>
  <c r="P997" i="12" s="1"/>
  <c r="P998" i="12" a="1"/>
  <c r="P998" i="12" s="1"/>
  <c r="P999" i="12" a="1"/>
  <c r="P999" i="12" s="1"/>
  <c r="P1000" i="12" a="1"/>
  <c r="P1000" i="12" s="1"/>
  <c r="P1001" i="12" a="1"/>
  <c r="P1001" i="12" s="1"/>
  <c r="P1002" i="12" a="1"/>
  <c r="P1002" i="12" s="1"/>
  <c r="P1003" i="12" a="1"/>
  <c r="P1003" i="12" s="1"/>
  <c r="P1004" i="12" a="1"/>
  <c r="P1004" i="12" s="1"/>
  <c r="P1005" i="12" a="1"/>
  <c r="P1005" i="12" s="1"/>
  <c r="P1006" i="12" a="1"/>
  <c r="P1006" i="12" s="1"/>
  <c r="P1007" i="12" a="1"/>
  <c r="P1007" i="12" s="1"/>
  <c r="P1008" i="12" a="1"/>
  <c r="P1008" i="12" s="1"/>
  <c r="P1009" i="12" a="1"/>
  <c r="P1009" i="12" s="1"/>
  <c r="P1010" i="12" a="1"/>
  <c r="P1010" i="12" s="1"/>
  <c r="P1011" i="12" a="1"/>
  <c r="P1011" i="12" s="1"/>
  <c r="P1012" i="12" a="1"/>
  <c r="P1012" i="12" s="1"/>
  <c r="P1013" i="12" a="1"/>
  <c r="P1013" i="12" s="1"/>
  <c r="P1014" i="12" a="1"/>
  <c r="P1014" i="12" s="1"/>
  <c r="P1015" i="12" a="1"/>
  <c r="P1015" i="12" s="1"/>
  <c r="P1016" i="12" a="1"/>
  <c r="P1016" i="12" s="1"/>
  <c r="P1017" i="12" a="1"/>
  <c r="P1017" i="12" s="1"/>
  <c r="P1018" i="12" a="1"/>
  <c r="P1018" i="12" s="1"/>
  <c r="P1019" i="12" a="1"/>
  <c r="P1019" i="12" s="1"/>
  <c r="P1020" i="12" a="1"/>
  <c r="P1020" i="12" s="1"/>
  <c r="P1021" i="12" a="1"/>
  <c r="P1021" i="12" s="1"/>
  <c r="P1022" i="12" a="1"/>
  <c r="P1022" i="12" s="1"/>
  <c r="P1023" i="12" a="1"/>
  <c r="P1023" i="12" s="1"/>
  <c r="P1024" i="12" a="1"/>
  <c r="P1024" i="12" s="1"/>
  <c r="P1025" i="12" a="1"/>
  <c r="P1025" i="12" s="1"/>
  <c r="P1026" i="12" a="1"/>
  <c r="P1026" i="12" s="1"/>
  <c r="P1027" i="12" a="1"/>
  <c r="P1027" i="12" s="1"/>
  <c r="P1028" i="12" a="1"/>
  <c r="P1028" i="12" s="1"/>
  <c r="P1029" i="12" a="1"/>
  <c r="P1029" i="12" s="1"/>
  <c r="P1030" i="12" a="1"/>
  <c r="P1030" i="12" s="1"/>
  <c r="P1031" i="12" a="1"/>
  <c r="P1031" i="12" s="1"/>
  <c r="P1032" i="12" a="1"/>
  <c r="P1032" i="12" s="1"/>
  <c r="P1033" i="12" a="1"/>
  <c r="P1033" i="12" s="1"/>
  <c r="P1034" i="12" a="1"/>
  <c r="P1034" i="12" s="1"/>
  <c r="P1035" i="12" a="1"/>
  <c r="P1035" i="12" s="1"/>
  <c r="P1036" i="12" a="1"/>
  <c r="P1036" i="12" s="1"/>
  <c r="P1037" i="12" a="1"/>
  <c r="P1037" i="12" s="1"/>
  <c r="P1038" i="12" a="1"/>
  <c r="P1038" i="12" s="1"/>
  <c r="P1039" i="12" a="1"/>
  <c r="P1039" i="12" s="1"/>
  <c r="P1040" i="12" a="1"/>
  <c r="P1040" i="12" s="1"/>
  <c r="P1041" i="12" a="1"/>
  <c r="P1041" i="12" s="1"/>
  <c r="P1042" i="12" a="1"/>
  <c r="P1042" i="12" s="1"/>
  <c r="P1043" i="12" a="1"/>
  <c r="P1043" i="12" s="1"/>
  <c r="P1044" i="12" a="1"/>
  <c r="P1044" i="12" s="1"/>
  <c r="P1045" i="12" a="1"/>
  <c r="P1045" i="12" s="1"/>
  <c r="P1046" i="12" a="1"/>
  <c r="P1046" i="12" s="1"/>
  <c r="P1047" i="12" a="1"/>
  <c r="P1047" i="12" s="1"/>
  <c r="P1048" i="12" a="1"/>
  <c r="P1048" i="12" s="1"/>
  <c r="P1049" i="12" a="1"/>
  <c r="P1049" i="12" s="1"/>
  <c r="P1050" i="12" a="1"/>
  <c r="P1050" i="12" s="1"/>
  <c r="P1051" i="12" a="1"/>
  <c r="P1051" i="12" s="1"/>
  <c r="P1052" i="12" a="1"/>
  <c r="P1052" i="12" s="1"/>
  <c r="P1053" i="12" a="1"/>
  <c r="P1053" i="12" s="1"/>
  <c r="P1054" i="12" a="1"/>
  <c r="P1054" i="12" s="1"/>
  <c r="P1055" i="12" a="1"/>
  <c r="P1055" i="12" s="1"/>
  <c r="P1056" i="12" a="1"/>
  <c r="P1056" i="12" s="1"/>
  <c r="P1057" i="12" a="1"/>
  <c r="P1057" i="12" s="1"/>
  <c r="P1058" i="12" a="1"/>
  <c r="P1058" i="12" s="1"/>
  <c r="P1059" i="12" a="1"/>
  <c r="P1059" i="12" s="1"/>
  <c r="P1060" i="12" a="1"/>
  <c r="P1060" i="12" s="1"/>
  <c r="P1061" i="12" a="1"/>
  <c r="P1061" i="12" s="1"/>
  <c r="P1062" i="12" a="1"/>
  <c r="P1062" i="12" s="1"/>
  <c r="P1063" i="12" a="1"/>
  <c r="P1063" i="12" s="1"/>
  <c r="P1064" i="12" a="1"/>
  <c r="P1064" i="12" s="1"/>
  <c r="P1065" i="12" a="1"/>
  <c r="P1065" i="12" s="1"/>
  <c r="P1066" i="12" a="1"/>
  <c r="P1066" i="12" s="1"/>
  <c r="P1067" i="12" a="1"/>
  <c r="P1067" i="12" s="1"/>
  <c r="P1068" i="12" a="1"/>
  <c r="P1068" i="12" s="1"/>
  <c r="P1069" i="12" a="1"/>
  <c r="P1069" i="12" s="1"/>
  <c r="P1070" i="12" a="1"/>
  <c r="P1070" i="12" s="1"/>
  <c r="P1071" i="12" a="1"/>
  <c r="P1071" i="12" s="1"/>
  <c r="P1072" i="12" a="1"/>
  <c r="P1072" i="12" s="1"/>
  <c r="P1073" i="12" a="1"/>
  <c r="P1073" i="12" s="1"/>
  <c r="P1074" i="12" a="1"/>
  <c r="P1074" i="12" s="1"/>
  <c r="P1075" i="12" a="1"/>
  <c r="P1075" i="12" s="1"/>
  <c r="P1076" i="12" a="1"/>
  <c r="P1076" i="12" s="1"/>
  <c r="P1077" i="12" a="1"/>
  <c r="P1077" i="12" s="1"/>
  <c r="P1078" i="12" a="1"/>
  <c r="P1078" i="12" s="1"/>
  <c r="P1079" i="12" a="1"/>
  <c r="P1079" i="12" s="1"/>
  <c r="P1080" i="12" a="1"/>
  <c r="P1080" i="12" s="1"/>
  <c r="P1081" i="12" a="1"/>
  <c r="P1081" i="12" s="1"/>
  <c r="P830" i="12" a="1"/>
  <c r="P830" i="12" s="1"/>
  <c r="P831" i="12" a="1"/>
  <c r="P831" i="12" s="1"/>
  <c r="P832" i="12" a="1"/>
  <c r="P832" i="12" s="1"/>
  <c r="P833" i="12" a="1"/>
  <c r="P833" i="12" s="1"/>
  <c r="P834" i="12" a="1"/>
  <c r="P834" i="12" s="1"/>
  <c r="P835" i="12" a="1"/>
  <c r="P835" i="12" s="1"/>
  <c r="P836" i="12" a="1"/>
  <c r="P836" i="12" s="1"/>
  <c r="P837" i="12" a="1"/>
  <c r="P837" i="12" s="1"/>
  <c r="P838" i="12" a="1"/>
  <c r="P838" i="12" s="1"/>
  <c r="P839" i="12" a="1"/>
  <c r="P839" i="12" s="1"/>
  <c r="P840" i="12" a="1"/>
  <c r="P840" i="12" s="1"/>
  <c r="P841" i="12" a="1"/>
  <c r="P841" i="12" s="1"/>
  <c r="P842" i="12" a="1"/>
  <c r="P842" i="12" s="1"/>
  <c r="P843" i="12" a="1"/>
  <c r="P843" i="12" s="1"/>
  <c r="P844" i="12" a="1"/>
  <c r="P844" i="12" s="1"/>
  <c r="P845" i="12" a="1"/>
  <c r="P845" i="12" s="1"/>
  <c r="P846" i="12" a="1"/>
  <c r="P846" i="12" s="1"/>
  <c r="P847" i="12" a="1"/>
  <c r="P847" i="12" s="1"/>
  <c r="P758" i="12" a="1"/>
  <c r="P758" i="12" s="1"/>
  <c r="P759" i="12" a="1"/>
  <c r="P759" i="12" s="1"/>
  <c r="P760" i="12" a="1"/>
  <c r="P760" i="12" s="1"/>
  <c r="P761" i="12" a="1"/>
  <c r="P761" i="12" s="1"/>
  <c r="P762" i="12" a="1"/>
  <c r="P762" i="12" s="1"/>
  <c r="P763" i="12" a="1"/>
  <c r="P763" i="12" s="1"/>
  <c r="P764" i="12" a="1"/>
  <c r="P764" i="12" s="1"/>
  <c r="P765" i="12" a="1"/>
  <c r="P765" i="12" s="1"/>
  <c r="P766" i="12" a="1"/>
  <c r="P766" i="12" s="1"/>
  <c r="P767" i="12" a="1"/>
  <c r="P767" i="12" s="1"/>
  <c r="P768" i="12" a="1"/>
  <c r="P768" i="12" s="1"/>
  <c r="P769" i="12" a="1"/>
  <c r="P769" i="12" s="1"/>
  <c r="P770" i="12" a="1"/>
  <c r="P770" i="12" s="1"/>
  <c r="P771" i="12" a="1"/>
  <c r="P771" i="12" s="1"/>
  <c r="P772" i="12" a="1"/>
  <c r="P772" i="12" s="1"/>
  <c r="P773" i="12" a="1"/>
  <c r="P773" i="12" s="1"/>
  <c r="P774" i="12" a="1"/>
  <c r="P774" i="12" s="1"/>
  <c r="P775" i="12" a="1"/>
  <c r="P775" i="12" s="1"/>
  <c r="P776" i="12" a="1"/>
  <c r="P776" i="12" s="1"/>
  <c r="P777" i="12" a="1"/>
  <c r="P777" i="12" s="1"/>
  <c r="P778" i="12" a="1"/>
  <c r="P778" i="12" s="1"/>
  <c r="P779" i="12" a="1"/>
  <c r="P779" i="12" s="1"/>
  <c r="P780" i="12" a="1"/>
  <c r="P780" i="12" s="1"/>
  <c r="P781" i="12" a="1"/>
  <c r="P781" i="12" s="1"/>
  <c r="P782" i="12" a="1"/>
  <c r="P782" i="12" s="1"/>
  <c r="P783" i="12" a="1"/>
  <c r="P783" i="12" s="1"/>
  <c r="P784" i="12" a="1"/>
  <c r="P784" i="12" s="1"/>
  <c r="P785" i="12" a="1"/>
  <c r="P785" i="12" s="1"/>
  <c r="P786" i="12" a="1"/>
  <c r="P786" i="12" s="1"/>
  <c r="P787" i="12" a="1"/>
  <c r="P787" i="12" s="1"/>
  <c r="P788" i="12" a="1"/>
  <c r="P788" i="12" s="1"/>
  <c r="P789" i="12" a="1"/>
  <c r="P789" i="12" s="1"/>
  <c r="P790" i="12" a="1"/>
  <c r="P790" i="12" s="1"/>
  <c r="P791" i="12" a="1"/>
  <c r="P791" i="12" s="1"/>
  <c r="P792" i="12" a="1"/>
  <c r="P792" i="12" s="1"/>
  <c r="P793" i="12" a="1"/>
  <c r="P793" i="12" s="1"/>
  <c r="P794" i="12" a="1"/>
  <c r="P794" i="12" s="1"/>
  <c r="P795" i="12" a="1"/>
  <c r="P795" i="12" s="1"/>
  <c r="P796" i="12" a="1"/>
  <c r="P796" i="12" s="1"/>
  <c r="P797" i="12" a="1"/>
  <c r="P797" i="12" s="1"/>
  <c r="P798" i="12" a="1"/>
  <c r="P798" i="12" s="1"/>
  <c r="P799" i="12" a="1"/>
  <c r="P799" i="12" s="1"/>
  <c r="P800" i="12" a="1"/>
  <c r="P800" i="12" s="1"/>
  <c r="P801" i="12" a="1"/>
  <c r="P801" i="12" s="1"/>
  <c r="P802" i="12" a="1"/>
  <c r="P802" i="12" s="1"/>
  <c r="P803" i="12" a="1"/>
  <c r="P803" i="12" s="1"/>
  <c r="P804" i="12" a="1"/>
  <c r="P804" i="12" s="1"/>
  <c r="P805" i="12" a="1"/>
  <c r="P805" i="12" s="1"/>
  <c r="P806" i="12" a="1"/>
  <c r="P806" i="12" s="1"/>
  <c r="P807" i="12" a="1"/>
  <c r="P807" i="12" s="1"/>
  <c r="P808" i="12" a="1"/>
  <c r="P808" i="12" s="1"/>
  <c r="P809" i="12" a="1"/>
  <c r="P809" i="12" s="1"/>
  <c r="P810" i="12" a="1"/>
  <c r="P810" i="12" s="1"/>
  <c r="P811" i="12" a="1"/>
  <c r="P811" i="12" s="1"/>
  <c r="P812" i="12" a="1"/>
  <c r="P812" i="12" s="1"/>
  <c r="P813" i="12" a="1"/>
  <c r="P813" i="12" s="1"/>
  <c r="P814" i="12" a="1"/>
  <c r="P814" i="12" s="1"/>
  <c r="P815" i="12" a="1"/>
  <c r="P815" i="12" s="1"/>
  <c r="P816" i="12" a="1"/>
  <c r="P816" i="12" s="1"/>
  <c r="P817" i="12" a="1"/>
  <c r="P817" i="12" s="1"/>
  <c r="P818" i="12" a="1"/>
  <c r="P818" i="12" s="1"/>
  <c r="P819" i="12" a="1"/>
  <c r="P819" i="12" s="1"/>
  <c r="P820" i="12" a="1"/>
  <c r="P820" i="12" s="1"/>
  <c r="P821" i="12" a="1"/>
  <c r="P821" i="12" s="1"/>
  <c r="P822" i="12" a="1"/>
  <c r="P822" i="12" s="1"/>
  <c r="P823" i="12" a="1"/>
  <c r="P823" i="12" s="1"/>
  <c r="P824" i="12" a="1"/>
  <c r="P824" i="12" s="1"/>
  <c r="P825" i="12" a="1"/>
  <c r="P825" i="12" s="1"/>
  <c r="P826" i="12" a="1"/>
  <c r="P826" i="12" s="1"/>
  <c r="P827" i="12" a="1"/>
  <c r="P827" i="12" s="1"/>
  <c r="P828" i="12" a="1"/>
  <c r="P828" i="12" s="1"/>
  <c r="P829" i="12" a="1"/>
  <c r="P829" i="12" s="1"/>
  <c r="P740" i="12" a="1"/>
  <c r="P740" i="12" s="1"/>
  <c r="P741" i="12" a="1"/>
  <c r="P741" i="12" s="1"/>
  <c r="P742" i="12" a="1"/>
  <c r="P742" i="12" s="1"/>
  <c r="P743" i="12" a="1"/>
  <c r="P743" i="12" s="1"/>
  <c r="P744" i="12" a="1"/>
  <c r="P744" i="12" s="1"/>
  <c r="P745" i="12" a="1"/>
  <c r="P745" i="12" s="1"/>
  <c r="P746" i="12" a="1"/>
  <c r="P746" i="12" s="1"/>
  <c r="P747" i="12" a="1"/>
  <c r="P747" i="12" s="1"/>
  <c r="P748" i="12" a="1"/>
  <c r="P748" i="12" s="1"/>
  <c r="P749" i="12" a="1"/>
  <c r="P749" i="12" s="1"/>
  <c r="P750" i="12" a="1"/>
  <c r="P750" i="12" s="1"/>
  <c r="P751" i="12" a="1"/>
  <c r="P751" i="12" s="1"/>
  <c r="P752" i="12" a="1"/>
  <c r="P752" i="12" s="1"/>
  <c r="P753" i="12" a="1"/>
  <c r="P753" i="12" s="1"/>
  <c r="P754" i="12" a="1"/>
  <c r="P754" i="12" s="1"/>
  <c r="P755" i="12" a="1"/>
  <c r="P755" i="12" s="1"/>
  <c r="P756" i="12" a="1"/>
  <c r="P756" i="12" s="1"/>
  <c r="P757" i="12" a="1"/>
  <c r="P757" i="12" s="1"/>
  <c r="P722" i="12" a="1"/>
  <c r="P722" i="12" s="1"/>
  <c r="P723" i="12" a="1"/>
  <c r="P723" i="12" s="1"/>
  <c r="P724" i="12" a="1"/>
  <c r="P724" i="12" s="1"/>
  <c r="P725" i="12" a="1"/>
  <c r="P725" i="12" s="1"/>
  <c r="P726" i="12" a="1"/>
  <c r="P726" i="12" s="1"/>
  <c r="P727" i="12" a="1"/>
  <c r="P727" i="12" s="1"/>
  <c r="P728" i="12" a="1"/>
  <c r="P728" i="12" s="1"/>
  <c r="P729" i="12" a="1"/>
  <c r="P729" i="12" s="1"/>
  <c r="P730" i="12" a="1"/>
  <c r="P730" i="12" s="1"/>
  <c r="P731" i="12" a="1"/>
  <c r="P731" i="12" s="1"/>
  <c r="P732" i="12" a="1"/>
  <c r="P732" i="12" s="1"/>
  <c r="P733" i="12" a="1"/>
  <c r="P733" i="12" s="1"/>
  <c r="P734" i="12" a="1"/>
  <c r="P734" i="12" s="1"/>
  <c r="P735" i="12" a="1"/>
  <c r="P735" i="12" s="1"/>
  <c r="P736" i="12" a="1"/>
  <c r="P736" i="12" s="1"/>
  <c r="P737" i="12" a="1"/>
  <c r="P737" i="12" s="1"/>
  <c r="P738" i="12" a="1"/>
  <c r="P738" i="12" s="1"/>
  <c r="P739" i="12" a="1"/>
  <c r="P739" i="12" s="1"/>
  <c r="P704" i="12" a="1"/>
  <c r="P704" i="12" s="1"/>
  <c r="P705" i="12" a="1"/>
  <c r="P705" i="12" s="1"/>
  <c r="P706" i="12" a="1"/>
  <c r="P706" i="12" s="1"/>
  <c r="P707" i="12" a="1"/>
  <c r="P707" i="12" s="1"/>
  <c r="P708" i="12" a="1"/>
  <c r="P708" i="12" s="1"/>
  <c r="P709" i="12" a="1"/>
  <c r="P709" i="12" s="1"/>
  <c r="P710" i="12" a="1"/>
  <c r="P710" i="12" s="1"/>
  <c r="P711" i="12" a="1"/>
  <c r="P711" i="12" s="1"/>
  <c r="P712" i="12" a="1"/>
  <c r="P712" i="12" s="1"/>
  <c r="P713" i="12" a="1"/>
  <c r="P713" i="12" s="1"/>
  <c r="P714" i="12" a="1"/>
  <c r="P714" i="12" s="1"/>
  <c r="P715" i="12" a="1"/>
  <c r="P715" i="12" s="1"/>
  <c r="P716" i="12" a="1"/>
  <c r="P716" i="12" s="1"/>
  <c r="P717" i="12" a="1"/>
  <c r="P717" i="12" s="1"/>
  <c r="P718" i="12" a="1"/>
  <c r="P718" i="12" s="1"/>
  <c r="P719" i="12" a="1"/>
  <c r="P719" i="12" s="1"/>
  <c r="P720" i="12" a="1"/>
  <c r="P720" i="12" s="1"/>
  <c r="P721" i="12" a="1"/>
  <c r="P721" i="12" s="1"/>
  <c r="P686" i="12" a="1"/>
  <c r="P686" i="12" s="1"/>
  <c r="P687" i="12" a="1"/>
  <c r="P687" i="12" s="1"/>
  <c r="P688" i="12" a="1"/>
  <c r="P688" i="12" s="1"/>
  <c r="P689" i="12" a="1"/>
  <c r="P689" i="12" s="1"/>
  <c r="P690" i="12" a="1"/>
  <c r="P690" i="12" s="1"/>
  <c r="P691" i="12" a="1"/>
  <c r="P691" i="12" s="1"/>
  <c r="P692" i="12" a="1"/>
  <c r="P692" i="12" s="1"/>
  <c r="P693" i="12" a="1"/>
  <c r="P693" i="12" s="1"/>
  <c r="P694" i="12" a="1"/>
  <c r="P694" i="12" s="1"/>
  <c r="P695" i="12" a="1"/>
  <c r="P695" i="12" s="1"/>
  <c r="P696" i="12" a="1"/>
  <c r="P696" i="12" s="1"/>
  <c r="P697" i="12" a="1"/>
  <c r="P697" i="12" s="1"/>
  <c r="P698" i="12" a="1"/>
  <c r="P698" i="12" s="1"/>
  <c r="P699" i="12" a="1"/>
  <c r="P699" i="12" s="1"/>
  <c r="P700" i="12" a="1"/>
  <c r="P700" i="12" s="1"/>
  <c r="P701" i="12" a="1"/>
  <c r="P701" i="12" s="1"/>
  <c r="P702" i="12" a="1"/>
  <c r="P702" i="12" s="1"/>
  <c r="P703" i="12" a="1"/>
  <c r="P703" i="12" s="1"/>
  <c r="P668" i="12" a="1"/>
  <c r="P668" i="12" s="1"/>
  <c r="P669" i="12" a="1"/>
  <c r="P669" i="12" s="1"/>
  <c r="P670" i="12" a="1"/>
  <c r="P670" i="12" s="1"/>
  <c r="P671" i="12" a="1"/>
  <c r="P671" i="12" s="1"/>
  <c r="P672" i="12" a="1"/>
  <c r="P672" i="12" s="1"/>
  <c r="P673" i="12" a="1"/>
  <c r="P673" i="12" s="1"/>
  <c r="P674" i="12" a="1"/>
  <c r="P674" i="12" s="1"/>
  <c r="P675" i="12" a="1"/>
  <c r="P675" i="12" s="1"/>
  <c r="P676" i="12" a="1"/>
  <c r="P676" i="12" s="1"/>
  <c r="P677" i="12" a="1"/>
  <c r="P677" i="12" s="1"/>
  <c r="P678" i="12" a="1"/>
  <c r="P678" i="12" s="1"/>
  <c r="P679" i="12" a="1"/>
  <c r="P679" i="12" s="1"/>
  <c r="P680" i="12" a="1"/>
  <c r="P680" i="12" s="1"/>
  <c r="P681" i="12" a="1"/>
  <c r="P681" i="12" s="1"/>
  <c r="P682" i="12" a="1"/>
  <c r="P682" i="12" s="1"/>
  <c r="P683" i="12" a="1"/>
  <c r="P683" i="12" s="1"/>
  <c r="P684" i="12" a="1"/>
  <c r="P684" i="12" s="1"/>
  <c r="P685" i="12" a="1"/>
  <c r="P685" i="12" s="1"/>
  <c r="P650" i="12" a="1"/>
  <c r="P650" i="12" s="1"/>
  <c r="P651" i="12" a="1"/>
  <c r="P651" i="12" s="1"/>
  <c r="P652" i="12" a="1"/>
  <c r="P652" i="12" s="1"/>
  <c r="P653" i="12" a="1"/>
  <c r="P653" i="12" s="1"/>
  <c r="P654" i="12" a="1"/>
  <c r="P654" i="12" s="1"/>
  <c r="P655" i="12" a="1"/>
  <c r="P655" i="12" s="1"/>
  <c r="P656" i="12" a="1"/>
  <c r="P656" i="12" s="1"/>
  <c r="P657" i="12" a="1"/>
  <c r="P657" i="12" s="1"/>
  <c r="P658" i="12" a="1"/>
  <c r="P658" i="12" s="1"/>
  <c r="P659" i="12" a="1"/>
  <c r="P659" i="12" s="1"/>
  <c r="P660" i="12" a="1"/>
  <c r="P660" i="12" s="1"/>
  <c r="P661" i="12" a="1"/>
  <c r="P661" i="12" s="1"/>
  <c r="P662" i="12" a="1"/>
  <c r="P662" i="12" s="1"/>
  <c r="P663" i="12" a="1"/>
  <c r="P663" i="12" s="1"/>
  <c r="P664" i="12" a="1"/>
  <c r="P664" i="12" s="1"/>
  <c r="P665" i="12" a="1"/>
  <c r="P665" i="12" s="1"/>
  <c r="P666" i="12" a="1"/>
  <c r="P666" i="12" s="1"/>
  <c r="P667" i="12" a="1"/>
  <c r="P667" i="12" s="1"/>
  <c r="P632" i="12" a="1"/>
  <c r="P632" i="12" s="1"/>
  <c r="P633" i="12" a="1"/>
  <c r="P633" i="12" s="1"/>
  <c r="P634" i="12" a="1"/>
  <c r="P634" i="12" s="1"/>
  <c r="P635" i="12" a="1"/>
  <c r="P635" i="12" s="1"/>
  <c r="P636" i="12" a="1"/>
  <c r="P636" i="12" s="1"/>
  <c r="P637" i="12" a="1"/>
  <c r="P637" i="12" s="1"/>
  <c r="P638" i="12" a="1"/>
  <c r="P638" i="12" s="1"/>
  <c r="P639" i="12" a="1"/>
  <c r="P639" i="12" s="1"/>
  <c r="P640" i="12" a="1"/>
  <c r="P640" i="12" s="1"/>
  <c r="P641" i="12" a="1"/>
  <c r="P641" i="12" s="1"/>
  <c r="P642" i="12" a="1"/>
  <c r="P642" i="12" s="1"/>
  <c r="P643" i="12" a="1"/>
  <c r="P643" i="12" s="1"/>
  <c r="P644" i="12" a="1"/>
  <c r="P644" i="12" s="1"/>
  <c r="P645" i="12" a="1"/>
  <c r="P645" i="12" s="1"/>
  <c r="P646" i="12" a="1"/>
  <c r="P646" i="12" s="1"/>
  <c r="P647" i="12" a="1"/>
  <c r="P647" i="12" s="1"/>
  <c r="P648" i="12" a="1"/>
  <c r="P648" i="12" s="1"/>
  <c r="P649" i="12" a="1"/>
  <c r="P649" i="12" s="1"/>
  <c r="P614" i="12" a="1"/>
  <c r="P614" i="12" s="1"/>
  <c r="P615" i="12" a="1"/>
  <c r="P615" i="12" s="1"/>
  <c r="P616" i="12" a="1"/>
  <c r="P616" i="12" s="1"/>
  <c r="P617" i="12" a="1"/>
  <c r="P617" i="12" s="1"/>
  <c r="P618" i="12" a="1"/>
  <c r="P618" i="12" s="1"/>
  <c r="P619" i="12" a="1"/>
  <c r="P619" i="12" s="1"/>
  <c r="P620" i="12" a="1"/>
  <c r="P620" i="12" s="1"/>
  <c r="P621" i="12" a="1"/>
  <c r="P621" i="12" s="1"/>
  <c r="P622" i="12" a="1"/>
  <c r="P622" i="12" s="1"/>
  <c r="P623" i="12" a="1"/>
  <c r="P623" i="12" s="1"/>
  <c r="P624" i="12" a="1"/>
  <c r="P624" i="12" s="1"/>
  <c r="P625" i="12" a="1"/>
  <c r="P625" i="12" s="1"/>
  <c r="P626" i="12" a="1"/>
  <c r="P626" i="12" s="1"/>
  <c r="P627" i="12" a="1"/>
  <c r="P627" i="12" s="1"/>
  <c r="P628" i="12" a="1"/>
  <c r="P628" i="12" s="1"/>
  <c r="P629" i="12" a="1"/>
  <c r="P629" i="12" s="1"/>
  <c r="P630" i="12" a="1"/>
  <c r="P630" i="12" s="1"/>
  <c r="P631" i="12" a="1"/>
  <c r="P631" i="12" s="1"/>
  <c r="P596" i="12" a="1"/>
  <c r="P596" i="12" s="1"/>
  <c r="P597" i="12" a="1"/>
  <c r="P597" i="12" s="1"/>
  <c r="P598" i="12" a="1"/>
  <c r="P598" i="12" s="1"/>
  <c r="P599" i="12" a="1"/>
  <c r="P599" i="12" s="1"/>
  <c r="P600" i="12" a="1"/>
  <c r="P600" i="12" s="1"/>
  <c r="P601" i="12" a="1"/>
  <c r="P601" i="12" s="1"/>
  <c r="P602" i="12" a="1"/>
  <c r="P602" i="12" s="1"/>
  <c r="P603" i="12" a="1"/>
  <c r="P603" i="12" s="1"/>
  <c r="P604" i="12" a="1"/>
  <c r="P604" i="12" s="1"/>
  <c r="P605" i="12" a="1"/>
  <c r="P605" i="12" s="1"/>
  <c r="P606" i="12" a="1"/>
  <c r="P606" i="12" s="1"/>
  <c r="P607" i="12" a="1"/>
  <c r="P607" i="12" s="1"/>
  <c r="P608" i="12" a="1"/>
  <c r="P608" i="12" s="1"/>
  <c r="P609" i="12" a="1"/>
  <c r="P609" i="12" s="1"/>
  <c r="P610" i="12" a="1"/>
  <c r="P610" i="12" s="1"/>
  <c r="P611" i="12" a="1"/>
  <c r="P611" i="12" s="1"/>
  <c r="P612" i="12" a="1"/>
  <c r="P612" i="12" s="1"/>
  <c r="P613" i="12" a="1"/>
  <c r="P613" i="12" s="1"/>
  <c r="P578" i="12" a="1"/>
  <c r="P578" i="12" s="1"/>
  <c r="P579" i="12" a="1"/>
  <c r="P579" i="12" s="1"/>
  <c r="P580" i="12" a="1"/>
  <c r="P580" i="12" s="1"/>
  <c r="P581" i="12" a="1"/>
  <c r="P581" i="12" s="1"/>
  <c r="P582" i="12" a="1"/>
  <c r="P582" i="12" s="1"/>
  <c r="P583" i="12" a="1"/>
  <c r="P583" i="12" s="1"/>
  <c r="P584" i="12" a="1"/>
  <c r="P584" i="12" s="1"/>
  <c r="P585" i="12" a="1"/>
  <c r="P585" i="12" s="1"/>
  <c r="P586" i="12" a="1"/>
  <c r="P586" i="12" s="1"/>
  <c r="P587" i="12" a="1"/>
  <c r="P587" i="12" s="1"/>
  <c r="P588" i="12" a="1"/>
  <c r="P588" i="12" s="1"/>
  <c r="P589" i="12" a="1"/>
  <c r="P589" i="12" s="1"/>
  <c r="P590" i="12" a="1"/>
  <c r="P590" i="12" s="1"/>
  <c r="P591" i="12" a="1"/>
  <c r="P591" i="12" s="1"/>
  <c r="P592" i="12" a="1"/>
  <c r="P592" i="12" s="1"/>
  <c r="P593" i="12" a="1"/>
  <c r="P593" i="12" s="1"/>
  <c r="P594" i="12" a="1"/>
  <c r="P594" i="12" s="1"/>
  <c r="P595" i="12" a="1"/>
  <c r="P595" i="12" s="1"/>
  <c r="P470" i="12" a="1"/>
  <c r="P470" i="12" s="1"/>
  <c r="P471" i="12" a="1"/>
  <c r="P471" i="12" s="1"/>
  <c r="P472" i="12" a="1"/>
  <c r="P472" i="12" s="1"/>
  <c r="P473" i="12" a="1"/>
  <c r="P473" i="12" s="1"/>
  <c r="P474" i="12" a="1"/>
  <c r="P474" i="12" s="1"/>
  <c r="P475" i="12" a="1"/>
  <c r="P475" i="12" s="1"/>
  <c r="P476" i="12" a="1"/>
  <c r="P476" i="12" s="1"/>
  <c r="P477" i="12" a="1"/>
  <c r="P477" i="12" s="1"/>
  <c r="P478" i="12" a="1"/>
  <c r="P478" i="12" s="1"/>
  <c r="P479" i="12" a="1"/>
  <c r="P479" i="12" s="1"/>
  <c r="P480" i="12" a="1"/>
  <c r="P480" i="12" s="1"/>
  <c r="P481" i="12" a="1"/>
  <c r="P481" i="12" s="1"/>
  <c r="P482" i="12" a="1"/>
  <c r="P482" i="12" s="1"/>
  <c r="P483" i="12" a="1"/>
  <c r="P483" i="12" s="1"/>
  <c r="P484" i="12" a="1"/>
  <c r="P484" i="12" s="1"/>
  <c r="P485" i="12" a="1"/>
  <c r="P485" i="12" s="1"/>
  <c r="P486" i="12" a="1"/>
  <c r="P486" i="12" s="1"/>
  <c r="P487" i="12" a="1"/>
  <c r="P487" i="12" s="1"/>
  <c r="P488" i="12" a="1"/>
  <c r="P488" i="12" s="1"/>
  <c r="P489" i="12" a="1"/>
  <c r="P489" i="12" s="1"/>
  <c r="P490" i="12" a="1"/>
  <c r="P490" i="12" s="1"/>
  <c r="P491" i="12" a="1"/>
  <c r="P491" i="12" s="1"/>
  <c r="P492" i="12" a="1"/>
  <c r="P492" i="12" s="1"/>
  <c r="P493" i="12" a="1"/>
  <c r="P493" i="12" s="1"/>
  <c r="P494" i="12" a="1"/>
  <c r="P494" i="12" s="1"/>
  <c r="P495" i="12" a="1"/>
  <c r="P495" i="12" s="1"/>
  <c r="P496" i="12" a="1"/>
  <c r="P496" i="12" s="1"/>
  <c r="P497" i="12" a="1"/>
  <c r="P497" i="12" s="1"/>
  <c r="P498" i="12" a="1"/>
  <c r="P498" i="12" s="1"/>
  <c r="P499" i="12" a="1"/>
  <c r="P499" i="12" s="1"/>
  <c r="P500" i="12" a="1"/>
  <c r="P500" i="12" s="1"/>
  <c r="P501" i="12" a="1"/>
  <c r="P501" i="12" s="1"/>
  <c r="P502" i="12" a="1"/>
  <c r="P502" i="12" s="1"/>
  <c r="P503" i="12" a="1"/>
  <c r="P503" i="12" s="1"/>
  <c r="P504" i="12" a="1"/>
  <c r="P504" i="12" s="1"/>
  <c r="P505" i="12" a="1"/>
  <c r="P505" i="12" s="1"/>
  <c r="P506" i="12" a="1"/>
  <c r="P506" i="12" s="1"/>
  <c r="P507" i="12" a="1"/>
  <c r="P507" i="12" s="1"/>
  <c r="P508" i="12" a="1"/>
  <c r="P508" i="12" s="1"/>
  <c r="P509" i="12" a="1"/>
  <c r="P509" i="12" s="1"/>
  <c r="P510" i="12" a="1"/>
  <c r="P510" i="12" s="1"/>
  <c r="P511" i="12" a="1"/>
  <c r="P511" i="12" s="1"/>
  <c r="P512" i="12" a="1"/>
  <c r="P512" i="12" s="1"/>
  <c r="P513" i="12" a="1"/>
  <c r="P513" i="12" s="1"/>
  <c r="P514" i="12" a="1"/>
  <c r="P514" i="12" s="1"/>
  <c r="P515" i="12" a="1"/>
  <c r="P515" i="12" s="1"/>
  <c r="P516" i="12" a="1"/>
  <c r="P516" i="12" s="1"/>
  <c r="P517" i="12" a="1"/>
  <c r="P517" i="12" s="1"/>
  <c r="P518" i="12" a="1"/>
  <c r="P518" i="12" s="1"/>
  <c r="P519" i="12" a="1"/>
  <c r="P519" i="12" s="1"/>
  <c r="P520" i="12" a="1"/>
  <c r="P520" i="12" s="1"/>
  <c r="P521" i="12" a="1"/>
  <c r="P521" i="12" s="1"/>
  <c r="P522" i="12" a="1"/>
  <c r="P522" i="12" s="1"/>
  <c r="P523" i="12" a="1"/>
  <c r="P523" i="12" s="1"/>
  <c r="P524" i="12" a="1"/>
  <c r="P524" i="12" s="1"/>
  <c r="P525" i="12" a="1"/>
  <c r="P525" i="12" s="1"/>
  <c r="P526" i="12" a="1"/>
  <c r="P526" i="12" s="1"/>
  <c r="P527" i="12" a="1"/>
  <c r="P527" i="12" s="1"/>
  <c r="P528" i="12" a="1"/>
  <c r="P528" i="12" s="1"/>
  <c r="P529" i="12" a="1"/>
  <c r="P529" i="12" s="1"/>
  <c r="P530" i="12" a="1"/>
  <c r="P530" i="12" s="1"/>
  <c r="P531" i="12" a="1"/>
  <c r="P531" i="12" s="1"/>
  <c r="P532" i="12" a="1"/>
  <c r="P532" i="12" s="1"/>
  <c r="P533" i="12" a="1"/>
  <c r="P533" i="12" s="1"/>
  <c r="P534" i="12" a="1"/>
  <c r="P534" i="12" s="1"/>
  <c r="P535" i="12" a="1"/>
  <c r="P535" i="12" s="1"/>
  <c r="P536" i="12" a="1"/>
  <c r="P536" i="12" s="1"/>
  <c r="P537" i="12" a="1"/>
  <c r="P537" i="12" s="1"/>
  <c r="P538" i="12" a="1"/>
  <c r="P538" i="12" s="1"/>
  <c r="P539" i="12" a="1"/>
  <c r="P539" i="12" s="1"/>
  <c r="P540" i="12" a="1"/>
  <c r="P540" i="12" s="1"/>
  <c r="P541" i="12" a="1"/>
  <c r="P541" i="12" s="1"/>
  <c r="P542" i="12" a="1"/>
  <c r="P542" i="12" s="1"/>
  <c r="P543" i="12" a="1"/>
  <c r="P543" i="12" s="1"/>
  <c r="P544" i="12" a="1"/>
  <c r="P544" i="12" s="1"/>
  <c r="P545" i="12" a="1"/>
  <c r="P545" i="12" s="1"/>
  <c r="P546" i="12" a="1"/>
  <c r="P546" i="12" s="1"/>
  <c r="P547" i="12" a="1"/>
  <c r="P547" i="12" s="1"/>
  <c r="P548" i="12" a="1"/>
  <c r="P548" i="12" s="1"/>
  <c r="P549" i="12" a="1"/>
  <c r="P549" i="12" s="1"/>
  <c r="P550" i="12" a="1"/>
  <c r="P550" i="12" s="1"/>
  <c r="P551" i="12" a="1"/>
  <c r="P551" i="12" s="1"/>
  <c r="P552" i="12" a="1"/>
  <c r="P552" i="12" s="1"/>
  <c r="P553" i="12" a="1"/>
  <c r="P553" i="12" s="1"/>
  <c r="P554" i="12" a="1"/>
  <c r="P554" i="12" s="1"/>
  <c r="P555" i="12" a="1"/>
  <c r="P555" i="12" s="1"/>
  <c r="P556" i="12" a="1"/>
  <c r="P556" i="12" s="1"/>
  <c r="P557" i="12" a="1"/>
  <c r="P557" i="12" s="1"/>
  <c r="P558" i="12" a="1"/>
  <c r="P558" i="12" s="1"/>
  <c r="P559" i="12" a="1"/>
  <c r="P559" i="12" s="1"/>
  <c r="P560" i="12" a="1"/>
  <c r="P560" i="12" s="1"/>
  <c r="P561" i="12" a="1"/>
  <c r="P561" i="12" s="1"/>
  <c r="P562" i="12" a="1"/>
  <c r="P562" i="12" s="1"/>
  <c r="P563" i="12" a="1"/>
  <c r="P563" i="12" s="1"/>
  <c r="P564" i="12" a="1"/>
  <c r="P564" i="12" s="1"/>
  <c r="P565" i="12" a="1"/>
  <c r="P565" i="12" s="1"/>
  <c r="P566" i="12" a="1"/>
  <c r="P566" i="12" s="1"/>
  <c r="P567" i="12" a="1"/>
  <c r="P567" i="12" s="1"/>
  <c r="P568" i="12" a="1"/>
  <c r="P568" i="12" s="1"/>
  <c r="P569" i="12" a="1"/>
  <c r="P569" i="12" s="1"/>
  <c r="P570" i="12" a="1"/>
  <c r="P570" i="12" s="1"/>
  <c r="P571" i="12" a="1"/>
  <c r="P571" i="12" s="1"/>
  <c r="P572" i="12" a="1"/>
  <c r="P572" i="12" s="1"/>
  <c r="P573" i="12" a="1"/>
  <c r="P573" i="12" s="1"/>
  <c r="P574" i="12" a="1"/>
  <c r="P574" i="12" s="1"/>
  <c r="P575" i="12" a="1"/>
  <c r="P575" i="12" s="1"/>
  <c r="P576" i="12" a="1"/>
  <c r="P576" i="12" s="1"/>
  <c r="P577" i="12" a="1"/>
  <c r="P577" i="12" s="1"/>
  <c r="P128" i="12" a="1"/>
  <c r="P128" i="12" s="1"/>
  <c r="P129" i="12" a="1"/>
  <c r="P129" i="12" s="1"/>
  <c r="P130" i="12" a="1"/>
  <c r="P130" i="12" s="1"/>
  <c r="P131" i="12" a="1"/>
  <c r="P131" i="12" s="1"/>
  <c r="P132" i="12" a="1"/>
  <c r="P132" i="12" s="1"/>
  <c r="P133" i="12" a="1"/>
  <c r="P133" i="12" s="1"/>
  <c r="P134" i="12" a="1"/>
  <c r="P134" i="12" s="1"/>
  <c r="P135" i="12" a="1"/>
  <c r="P135" i="12" s="1"/>
  <c r="P136" i="12" a="1"/>
  <c r="P136" i="12" s="1"/>
  <c r="P137" i="12" a="1"/>
  <c r="P137" i="12" s="1"/>
  <c r="P138" i="12" a="1"/>
  <c r="P138" i="12" s="1"/>
  <c r="P139" i="12" a="1"/>
  <c r="P139" i="12" s="1"/>
  <c r="P140" i="12" a="1"/>
  <c r="P140" i="12" s="1"/>
  <c r="P141" i="12" a="1"/>
  <c r="P141" i="12" s="1"/>
  <c r="P142" i="12" a="1"/>
  <c r="P142" i="12" s="1"/>
  <c r="P143" i="12" a="1"/>
  <c r="P143" i="12" s="1"/>
  <c r="P144" i="12" a="1"/>
  <c r="P144" i="12" s="1"/>
  <c r="P145" i="12" a="1"/>
  <c r="P145" i="12" s="1"/>
  <c r="P146" i="12" a="1"/>
  <c r="P146" i="12" s="1"/>
  <c r="P147" i="12" a="1"/>
  <c r="P147" i="12" s="1"/>
  <c r="P148" i="12" a="1"/>
  <c r="P148" i="12" s="1"/>
  <c r="P149" i="12" a="1"/>
  <c r="P149" i="12" s="1"/>
  <c r="P150" i="12" a="1"/>
  <c r="P150" i="12" s="1"/>
  <c r="P151" i="12" a="1"/>
  <c r="P151" i="12" s="1"/>
  <c r="P152" i="12" a="1"/>
  <c r="P152" i="12" s="1"/>
  <c r="P153" i="12" a="1"/>
  <c r="P153" i="12" s="1"/>
  <c r="P154" i="12" a="1"/>
  <c r="P154" i="12" s="1"/>
  <c r="P155" i="12" a="1"/>
  <c r="P155" i="12" s="1"/>
  <c r="P156" i="12" a="1"/>
  <c r="P156" i="12" s="1"/>
  <c r="P157" i="12" a="1"/>
  <c r="P157" i="12" s="1"/>
  <c r="P158" i="12" a="1"/>
  <c r="P158" i="12" s="1"/>
  <c r="P159" i="12" a="1"/>
  <c r="P159" i="12" s="1"/>
  <c r="P160" i="12" a="1"/>
  <c r="P160" i="12" s="1"/>
  <c r="P161" i="12" a="1"/>
  <c r="P161" i="12" s="1"/>
  <c r="P162" i="12" a="1"/>
  <c r="P162" i="12" s="1"/>
  <c r="P163" i="12" a="1"/>
  <c r="P163" i="12" s="1"/>
  <c r="P164" i="12" a="1"/>
  <c r="P164" i="12" s="1"/>
  <c r="P165" i="12" a="1"/>
  <c r="P165" i="12" s="1"/>
  <c r="P166" i="12" a="1"/>
  <c r="P166" i="12" s="1"/>
  <c r="P167" i="12" a="1"/>
  <c r="P167" i="12" s="1"/>
  <c r="P168" i="12" a="1"/>
  <c r="P168" i="12" s="1"/>
  <c r="P169" i="12" a="1"/>
  <c r="P169" i="12" s="1"/>
  <c r="P170" i="12" a="1"/>
  <c r="P170" i="12" s="1"/>
  <c r="P171" i="12" a="1"/>
  <c r="P171" i="12" s="1"/>
  <c r="P172" i="12" a="1"/>
  <c r="P172" i="12" s="1"/>
  <c r="P173" i="12" a="1"/>
  <c r="P173" i="12" s="1"/>
  <c r="P174" i="12" a="1"/>
  <c r="P174" i="12" s="1"/>
  <c r="P175" i="12" a="1"/>
  <c r="P175" i="12" s="1"/>
  <c r="P176" i="12" a="1"/>
  <c r="P176" i="12" s="1"/>
  <c r="P177" i="12" a="1"/>
  <c r="P177" i="12" s="1"/>
  <c r="P178" i="12" a="1"/>
  <c r="P178" i="12" s="1"/>
  <c r="P179" i="12" a="1"/>
  <c r="P179" i="12" s="1"/>
  <c r="P180" i="12" a="1"/>
  <c r="P180" i="12" s="1"/>
  <c r="P181" i="12" a="1"/>
  <c r="P181" i="12" s="1"/>
  <c r="P182" i="12" a="1"/>
  <c r="P182" i="12" s="1"/>
  <c r="P183" i="12" a="1"/>
  <c r="P183" i="12" s="1"/>
  <c r="P184" i="12" a="1"/>
  <c r="P184" i="12" s="1"/>
  <c r="P185" i="12" a="1"/>
  <c r="P185" i="12" s="1"/>
  <c r="P186" i="12" a="1"/>
  <c r="P186" i="12" s="1"/>
  <c r="P187" i="12" a="1"/>
  <c r="P187" i="12" s="1"/>
  <c r="P188" i="12" a="1"/>
  <c r="P188" i="12" s="1"/>
  <c r="P189" i="12" a="1"/>
  <c r="P189" i="12" s="1"/>
  <c r="P190" i="12" a="1"/>
  <c r="P190" i="12" s="1"/>
  <c r="P191" i="12" a="1"/>
  <c r="P191" i="12" s="1"/>
  <c r="P192" i="12" a="1"/>
  <c r="P192" i="12" s="1"/>
  <c r="P193" i="12" a="1"/>
  <c r="P193" i="12" s="1"/>
  <c r="P194" i="12" a="1"/>
  <c r="P194" i="12" s="1"/>
  <c r="P195" i="12" a="1"/>
  <c r="P195" i="12" s="1"/>
  <c r="P196" i="12" a="1"/>
  <c r="P196" i="12" s="1"/>
  <c r="P197" i="12" a="1"/>
  <c r="P197" i="12" s="1"/>
  <c r="P198" i="12" a="1"/>
  <c r="P198" i="12" s="1"/>
  <c r="P199" i="12" a="1"/>
  <c r="P199" i="12" s="1"/>
  <c r="P200" i="12" a="1"/>
  <c r="P200" i="12" s="1"/>
  <c r="P201" i="12" a="1"/>
  <c r="P201" i="12" s="1"/>
  <c r="P202" i="12" a="1"/>
  <c r="P202" i="12" s="1"/>
  <c r="P203" i="12" a="1"/>
  <c r="P203" i="12" s="1"/>
  <c r="P204" i="12" a="1"/>
  <c r="P204" i="12" s="1"/>
  <c r="P205" i="12" a="1"/>
  <c r="P205" i="12" s="1"/>
  <c r="P206" i="12" a="1"/>
  <c r="P206" i="12" s="1"/>
  <c r="P207" i="12" a="1"/>
  <c r="P207" i="12" s="1"/>
  <c r="P208" i="12" a="1"/>
  <c r="P208" i="12" s="1"/>
  <c r="P209" i="12" a="1"/>
  <c r="P209" i="12" s="1"/>
  <c r="P210" i="12" a="1"/>
  <c r="P210" i="12" s="1"/>
  <c r="P211" i="12" a="1"/>
  <c r="P211" i="12" s="1"/>
  <c r="P212" i="12" a="1"/>
  <c r="P212" i="12" s="1"/>
  <c r="P213" i="12" a="1"/>
  <c r="P213" i="12" s="1"/>
  <c r="P214" i="12" a="1"/>
  <c r="P214" i="12" s="1"/>
  <c r="P215" i="12" a="1"/>
  <c r="P215" i="12" s="1"/>
  <c r="P216" i="12" a="1"/>
  <c r="P216" i="12" s="1"/>
  <c r="P217" i="12" a="1"/>
  <c r="P217" i="12" s="1"/>
  <c r="P218" i="12" a="1"/>
  <c r="P218" i="12" s="1"/>
  <c r="P219" i="12" a="1"/>
  <c r="P219" i="12" s="1"/>
  <c r="P220" i="12" a="1"/>
  <c r="P220" i="12" s="1"/>
  <c r="P221" i="12" a="1"/>
  <c r="P221" i="12" s="1"/>
  <c r="P222" i="12" a="1"/>
  <c r="P222" i="12" s="1"/>
  <c r="P223" i="12" a="1"/>
  <c r="P223" i="12" s="1"/>
  <c r="P224" i="12" a="1"/>
  <c r="P224" i="12" s="1"/>
  <c r="P225" i="12" a="1"/>
  <c r="P225" i="12" s="1"/>
  <c r="P226" i="12" a="1"/>
  <c r="P226" i="12" s="1"/>
  <c r="P227" i="12" a="1"/>
  <c r="P227" i="12" s="1"/>
  <c r="P228" i="12" a="1"/>
  <c r="P228" i="12" s="1"/>
  <c r="P229" i="12" a="1"/>
  <c r="P229" i="12" s="1"/>
  <c r="P230" i="12" a="1"/>
  <c r="P230" i="12" s="1"/>
  <c r="P231" i="12" a="1"/>
  <c r="P231" i="12" s="1"/>
  <c r="P232" i="12" a="1"/>
  <c r="P232" i="12" s="1"/>
  <c r="P233" i="12" a="1"/>
  <c r="P233" i="12" s="1"/>
  <c r="P234" i="12" a="1"/>
  <c r="P234" i="12" s="1"/>
  <c r="P235" i="12" a="1"/>
  <c r="P235" i="12" s="1"/>
  <c r="P236" i="12" a="1"/>
  <c r="P236" i="12" s="1"/>
  <c r="P237" i="12" a="1"/>
  <c r="P237" i="12" s="1"/>
  <c r="P238" i="12" a="1"/>
  <c r="P238" i="12" s="1"/>
  <c r="P239" i="12" a="1"/>
  <c r="P239" i="12" s="1"/>
  <c r="P240" i="12" a="1"/>
  <c r="P240" i="12" s="1"/>
  <c r="P241" i="12" a="1"/>
  <c r="P241" i="12" s="1"/>
  <c r="P242" i="12" a="1"/>
  <c r="P242" i="12" s="1"/>
  <c r="P243" i="12" a="1"/>
  <c r="P243" i="12" s="1"/>
  <c r="P244" i="12" a="1"/>
  <c r="P244" i="12" s="1"/>
  <c r="P245" i="12" a="1"/>
  <c r="P245" i="12" s="1"/>
  <c r="P246" i="12" a="1"/>
  <c r="P246" i="12" s="1"/>
  <c r="P247" i="12" a="1"/>
  <c r="P247" i="12" s="1"/>
  <c r="P248" i="12" a="1"/>
  <c r="P248" i="12" s="1"/>
  <c r="P249" i="12" a="1"/>
  <c r="P249" i="12" s="1"/>
  <c r="P250" i="12" a="1"/>
  <c r="P250" i="12" s="1"/>
  <c r="P251" i="12" a="1"/>
  <c r="P251" i="12" s="1"/>
  <c r="P252" i="12" a="1"/>
  <c r="P252" i="12" s="1"/>
  <c r="P253" i="12" a="1"/>
  <c r="P253" i="12" s="1"/>
  <c r="P254" i="12" a="1"/>
  <c r="P254" i="12" s="1"/>
  <c r="P255" i="12" a="1"/>
  <c r="P255" i="12" s="1"/>
  <c r="P256" i="12" a="1"/>
  <c r="P256" i="12" s="1"/>
  <c r="P257" i="12" a="1"/>
  <c r="P257" i="12" s="1"/>
  <c r="P258" i="12" a="1"/>
  <c r="P258" i="12" s="1"/>
  <c r="P259" i="12" a="1"/>
  <c r="P259" i="12" s="1"/>
  <c r="P260" i="12" a="1"/>
  <c r="P260" i="12" s="1"/>
  <c r="P261" i="12" a="1"/>
  <c r="P261" i="12" s="1"/>
  <c r="P262" i="12" a="1"/>
  <c r="P262" i="12" s="1"/>
  <c r="P263" i="12" a="1"/>
  <c r="P263" i="12" s="1"/>
  <c r="P264" i="12" a="1"/>
  <c r="P264" i="12" s="1"/>
  <c r="P265" i="12" a="1"/>
  <c r="P265" i="12" s="1"/>
  <c r="P266" i="12" a="1"/>
  <c r="P266" i="12" s="1"/>
  <c r="P267" i="12" a="1"/>
  <c r="P267" i="12" s="1"/>
  <c r="P268" i="12" a="1"/>
  <c r="P268" i="12" s="1"/>
  <c r="P269" i="12" a="1"/>
  <c r="P269" i="12" s="1"/>
  <c r="P270" i="12" a="1"/>
  <c r="P270" i="12" s="1"/>
  <c r="P271" i="12" a="1"/>
  <c r="P271" i="12" s="1"/>
  <c r="P272" i="12" a="1"/>
  <c r="P272" i="12" s="1"/>
  <c r="P273" i="12" a="1"/>
  <c r="P273" i="12" s="1"/>
  <c r="P274" i="12" a="1"/>
  <c r="P274" i="12" s="1"/>
  <c r="P275" i="12" a="1"/>
  <c r="P275" i="12" s="1"/>
  <c r="P276" i="12" a="1"/>
  <c r="P276" i="12" s="1"/>
  <c r="P277" i="12" a="1"/>
  <c r="P277" i="12" s="1"/>
  <c r="P278" i="12" a="1"/>
  <c r="P278" i="12" s="1"/>
  <c r="P279" i="12" a="1"/>
  <c r="P279" i="12" s="1"/>
  <c r="P280" i="12" a="1"/>
  <c r="P280" i="12" s="1"/>
  <c r="P281" i="12" a="1"/>
  <c r="P281" i="12" s="1"/>
  <c r="P282" i="12" a="1"/>
  <c r="P282" i="12" s="1"/>
  <c r="P283" i="12" a="1"/>
  <c r="P283" i="12" s="1"/>
  <c r="P284" i="12" a="1"/>
  <c r="P284" i="12" s="1"/>
  <c r="P285" i="12" a="1"/>
  <c r="P285" i="12" s="1"/>
  <c r="P286" i="12" a="1"/>
  <c r="P286" i="12" s="1"/>
  <c r="P287" i="12" a="1"/>
  <c r="P287" i="12" s="1"/>
  <c r="P288" i="12" a="1"/>
  <c r="P288" i="12" s="1"/>
  <c r="P289" i="12" a="1"/>
  <c r="P289" i="12" s="1"/>
  <c r="P290" i="12" a="1"/>
  <c r="P290" i="12" s="1"/>
  <c r="P291" i="12" a="1"/>
  <c r="P291" i="12" s="1"/>
  <c r="P292" i="12" a="1"/>
  <c r="P292" i="12" s="1"/>
  <c r="P293" i="12" a="1"/>
  <c r="P293" i="12" s="1"/>
  <c r="P294" i="12" a="1"/>
  <c r="P294" i="12" s="1"/>
  <c r="P295" i="12" a="1"/>
  <c r="P295" i="12" s="1"/>
  <c r="P296" i="12" a="1"/>
  <c r="P296" i="12" s="1"/>
  <c r="P297" i="12" a="1"/>
  <c r="P297" i="12" s="1"/>
  <c r="P298" i="12" a="1"/>
  <c r="P298" i="12" s="1"/>
  <c r="P299" i="12" a="1"/>
  <c r="P299" i="12" s="1"/>
  <c r="P300" i="12" a="1"/>
  <c r="P300" i="12" s="1"/>
  <c r="P301" i="12" a="1"/>
  <c r="P301" i="12" s="1"/>
  <c r="P302" i="12" a="1"/>
  <c r="P302" i="12" s="1"/>
  <c r="P303" i="12" a="1"/>
  <c r="P303" i="12" s="1"/>
  <c r="P304" i="12" a="1"/>
  <c r="P304" i="12" s="1"/>
  <c r="P305" i="12" a="1"/>
  <c r="P305" i="12" s="1"/>
  <c r="P306" i="12" a="1"/>
  <c r="P306" i="12" s="1"/>
  <c r="P307" i="12" a="1"/>
  <c r="P307" i="12" s="1"/>
  <c r="P308" i="12" a="1"/>
  <c r="P308" i="12" s="1"/>
  <c r="P309" i="12" a="1"/>
  <c r="P309" i="12" s="1"/>
  <c r="P310" i="12" a="1"/>
  <c r="P310" i="12" s="1"/>
  <c r="P311" i="12" a="1"/>
  <c r="P311" i="12" s="1"/>
  <c r="P312" i="12" a="1"/>
  <c r="P312" i="12" s="1"/>
  <c r="P313" i="12" a="1"/>
  <c r="P313" i="12" s="1"/>
  <c r="P314" i="12" a="1"/>
  <c r="P314" i="12" s="1"/>
  <c r="P315" i="12" a="1"/>
  <c r="P315" i="12" s="1"/>
  <c r="P316" i="12" a="1"/>
  <c r="P316" i="12" s="1"/>
  <c r="P317" i="12" a="1"/>
  <c r="P317" i="12" s="1"/>
  <c r="P318" i="12" a="1"/>
  <c r="P318" i="12" s="1"/>
  <c r="P319" i="12" a="1"/>
  <c r="P319" i="12" s="1"/>
  <c r="P320" i="12" a="1"/>
  <c r="P320" i="12" s="1"/>
  <c r="P321" i="12" a="1"/>
  <c r="P321" i="12" s="1"/>
  <c r="P322" i="12" a="1"/>
  <c r="P322" i="12" s="1"/>
  <c r="P323" i="12" a="1"/>
  <c r="P323" i="12" s="1"/>
  <c r="P324" i="12" a="1"/>
  <c r="P324" i="12" s="1"/>
  <c r="P325" i="12" a="1"/>
  <c r="P325" i="12" s="1"/>
  <c r="P326" i="12" a="1"/>
  <c r="P326" i="12" s="1"/>
  <c r="P327" i="12" a="1"/>
  <c r="P327" i="12" s="1"/>
  <c r="P328" i="12" a="1"/>
  <c r="P328" i="12" s="1"/>
  <c r="P329" i="12" a="1"/>
  <c r="P329" i="12" s="1"/>
  <c r="P330" i="12" a="1"/>
  <c r="P330" i="12" s="1"/>
  <c r="P331" i="12" a="1"/>
  <c r="P331" i="12" s="1"/>
  <c r="P332" i="12" a="1"/>
  <c r="P332" i="12" s="1"/>
  <c r="P333" i="12" a="1"/>
  <c r="P333" i="12" s="1"/>
  <c r="P334" i="12" a="1"/>
  <c r="P334" i="12" s="1"/>
  <c r="P335" i="12" a="1"/>
  <c r="P335" i="12" s="1"/>
  <c r="P336" i="12" a="1"/>
  <c r="P336" i="12" s="1"/>
  <c r="P337" i="12" a="1"/>
  <c r="P337" i="12" s="1"/>
  <c r="P338" i="12" a="1"/>
  <c r="P338" i="12" s="1"/>
  <c r="P339" i="12" a="1"/>
  <c r="P339" i="12" s="1"/>
  <c r="P340" i="12" a="1"/>
  <c r="P340" i="12" s="1"/>
  <c r="P341" i="12" a="1"/>
  <c r="P341" i="12" s="1"/>
  <c r="P342" i="12" a="1"/>
  <c r="P342" i="12" s="1"/>
  <c r="P343" i="12" a="1"/>
  <c r="P343" i="12" s="1"/>
  <c r="P344" i="12" a="1"/>
  <c r="P344" i="12" s="1"/>
  <c r="P345" i="12" a="1"/>
  <c r="P345" i="12" s="1"/>
  <c r="P346" i="12" a="1"/>
  <c r="P346" i="12" s="1"/>
  <c r="P347" i="12" a="1"/>
  <c r="P347" i="12" s="1"/>
  <c r="P348" i="12" a="1"/>
  <c r="P348" i="12" s="1"/>
  <c r="P349" i="12" a="1"/>
  <c r="P349" i="12" s="1"/>
  <c r="P350" i="12" a="1"/>
  <c r="P350" i="12" s="1"/>
  <c r="P351" i="12" a="1"/>
  <c r="P351" i="12" s="1"/>
  <c r="P352" i="12" a="1"/>
  <c r="P352" i="12" s="1"/>
  <c r="P353" i="12" a="1"/>
  <c r="P353" i="12" s="1"/>
  <c r="P354" i="12" a="1"/>
  <c r="P354" i="12" s="1"/>
  <c r="P355" i="12" a="1"/>
  <c r="P355" i="12" s="1"/>
  <c r="P356" i="12" a="1"/>
  <c r="P356" i="12" s="1"/>
  <c r="P357" i="12" a="1"/>
  <c r="P357" i="12" s="1"/>
  <c r="P358" i="12" a="1"/>
  <c r="P358" i="12" s="1"/>
  <c r="P359" i="12" a="1"/>
  <c r="P359" i="12" s="1"/>
  <c r="P360" i="12" a="1"/>
  <c r="P360" i="12" s="1"/>
  <c r="P361" i="12" a="1"/>
  <c r="P361" i="12" s="1"/>
  <c r="P362" i="12" a="1"/>
  <c r="P362" i="12" s="1"/>
  <c r="P363" i="12" a="1"/>
  <c r="P363" i="12" s="1"/>
  <c r="P364" i="12" a="1"/>
  <c r="P364" i="12" s="1"/>
  <c r="P365" i="12" a="1"/>
  <c r="P365" i="12" s="1"/>
  <c r="P366" i="12" a="1"/>
  <c r="P366" i="12" s="1"/>
  <c r="P367" i="12" a="1"/>
  <c r="P367" i="12" s="1"/>
  <c r="P368" i="12" a="1"/>
  <c r="P368" i="12" s="1"/>
  <c r="P369" i="12" a="1"/>
  <c r="P369" i="12" s="1"/>
  <c r="P370" i="12" a="1"/>
  <c r="P370" i="12" s="1"/>
  <c r="P371" i="12" a="1"/>
  <c r="P371" i="12" s="1"/>
  <c r="P372" i="12" a="1"/>
  <c r="P372" i="12" s="1"/>
  <c r="P373" i="12" a="1"/>
  <c r="P373" i="12" s="1"/>
  <c r="P374" i="12" a="1"/>
  <c r="P374" i="12" s="1"/>
  <c r="P375" i="12" a="1"/>
  <c r="P375" i="12" s="1"/>
  <c r="P376" i="12" a="1"/>
  <c r="P376" i="12" s="1"/>
  <c r="P377" i="12" a="1"/>
  <c r="P377" i="12" s="1"/>
  <c r="P378" i="12" a="1"/>
  <c r="P378" i="12" s="1"/>
  <c r="P379" i="12" a="1"/>
  <c r="P379" i="12" s="1"/>
  <c r="P380" i="12" a="1"/>
  <c r="P380" i="12" s="1"/>
  <c r="P381" i="12" a="1"/>
  <c r="P381" i="12" s="1"/>
  <c r="P382" i="12" a="1"/>
  <c r="P382" i="12" s="1"/>
  <c r="P383" i="12" a="1"/>
  <c r="P383" i="12" s="1"/>
  <c r="P384" i="12" a="1"/>
  <c r="P384" i="12" s="1"/>
  <c r="P385" i="12" a="1"/>
  <c r="P385" i="12" s="1"/>
  <c r="P386" i="12" a="1"/>
  <c r="P386" i="12" s="1"/>
  <c r="P387" i="12" a="1"/>
  <c r="P387" i="12" s="1"/>
  <c r="P388" i="12" a="1"/>
  <c r="P388" i="12" s="1"/>
  <c r="P389" i="12" a="1"/>
  <c r="P389" i="12" s="1"/>
  <c r="P390" i="12" a="1"/>
  <c r="P390" i="12" s="1"/>
  <c r="P391" i="12" a="1"/>
  <c r="P391" i="12" s="1"/>
  <c r="P392" i="12" a="1"/>
  <c r="P392" i="12" s="1"/>
  <c r="P393" i="12" a="1"/>
  <c r="P393" i="12" s="1"/>
  <c r="P394" i="12" a="1"/>
  <c r="P394" i="12" s="1"/>
  <c r="P395" i="12" a="1"/>
  <c r="P395" i="12" s="1"/>
  <c r="P396" i="12" a="1"/>
  <c r="P396" i="12" s="1"/>
  <c r="P397" i="12" a="1"/>
  <c r="P397" i="12" s="1"/>
  <c r="P398" i="12" a="1"/>
  <c r="P398" i="12" s="1"/>
  <c r="P399" i="12" a="1"/>
  <c r="P399" i="12" s="1"/>
  <c r="P400" i="12" a="1"/>
  <c r="P400" i="12" s="1"/>
  <c r="P401" i="12" a="1"/>
  <c r="P401" i="12" s="1"/>
  <c r="P402" i="12" a="1"/>
  <c r="P402" i="12" s="1"/>
  <c r="P403" i="12" a="1"/>
  <c r="P403" i="12" s="1"/>
  <c r="P404" i="12" a="1"/>
  <c r="P404" i="12" s="1"/>
  <c r="P405" i="12" a="1"/>
  <c r="P405" i="12" s="1"/>
  <c r="P406" i="12" a="1"/>
  <c r="P406" i="12" s="1"/>
  <c r="P407" i="12" a="1"/>
  <c r="P407" i="12" s="1"/>
  <c r="P408" i="12" a="1"/>
  <c r="P408" i="12" s="1"/>
  <c r="P409" i="12" a="1"/>
  <c r="P409" i="12" s="1"/>
  <c r="P410" i="12" a="1"/>
  <c r="P410" i="12" s="1"/>
  <c r="P411" i="12" a="1"/>
  <c r="P411" i="12" s="1"/>
  <c r="P412" i="12" a="1"/>
  <c r="P412" i="12" s="1"/>
  <c r="P413" i="12" a="1"/>
  <c r="P413" i="12" s="1"/>
  <c r="P414" i="12" a="1"/>
  <c r="P414" i="12" s="1"/>
  <c r="P415" i="12" a="1"/>
  <c r="P415" i="12" s="1"/>
  <c r="P416" i="12" a="1"/>
  <c r="P416" i="12" s="1"/>
  <c r="P417" i="12" a="1"/>
  <c r="P417" i="12" s="1"/>
  <c r="P418" i="12" a="1"/>
  <c r="P418" i="12" s="1"/>
  <c r="P419" i="12" a="1"/>
  <c r="P419" i="12" s="1"/>
  <c r="P420" i="12" a="1"/>
  <c r="P420" i="12" s="1"/>
  <c r="P421" i="12" a="1"/>
  <c r="P421" i="12" s="1"/>
  <c r="P422" i="12" a="1"/>
  <c r="P422" i="12" s="1"/>
  <c r="P423" i="12" a="1"/>
  <c r="P423" i="12" s="1"/>
  <c r="P424" i="12" a="1"/>
  <c r="P424" i="12" s="1"/>
  <c r="P425" i="12" a="1"/>
  <c r="P425" i="12" s="1"/>
  <c r="P426" i="12" a="1"/>
  <c r="P426" i="12" s="1"/>
  <c r="P427" i="12" a="1"/>
  <c r="P427" i="12" s="1"/>
  <c r="P428" i="12" a="1"/>
  <c r="P428" i="12" s="1"/>
  <c r="P429" i="12" a="1"/>
  <c r="P429" i="12" s="1"/>
  <c r="P430" i="12" a="1"/>
  <c r="P430" i="12" s="1"/>
  <c r="P431" i="12" a="1"/>
  <c r="P431" i="12" s="1"/>
  <c r="P432" i="12" a="1"/>
  <c r="P432" i="12" s="1"/>
  <c r="P433" i="12" a="1"/>
  <c r="P433" i="12" s="1"/>
  <c r="P434" i="12" a="1"/>
  <c r="P434" i="12" s="1"/>
  <c r="P435" i="12" a="1"/>
  <c r="P435" i="12" s="1"/>
  <c r="P436" i="12" a="1"/>
  <c r="P436" i="12" s="1"/>
  <c r="P437" i="12" a="1"/>
  <c r="P437" i="12" s="1"/>
  <c r="P438" i="12" a="1"/>
  <c r="P438" i="12" s="1"/>
  <c r="P439" i="12" a="1"/>
  <c r="P439" i="12" s="1"/>
  <c r="P440" i="12" a="1"/>
  <c r="P440" i="12" s="1"/>
  <c r="P441" i="12" a="1"/>
  <c r="P441" i="12" s="1"/>
  <c r="P442" i="12" a="1"/>
  <c r="P442" i="12" s="1"/>
  <c r="P443" i="12" a="1"/>
  <c r="P443" i="12" s="1"/>
  <c r="P444" i="12" a="1"/>
  <c r="P444" i="12" s="1"/>
  <c r="P445" i="12" a="1"/>
  <c r="P445" i="12" s="1"/>
  <c r="P446" i="12" a="1"/>
  <c r="P446" i="12" s="1"/>
  <c r="P447" i="12" a="1"/>
  <c r="P447" i="12" s="1"/>
  <c r="P448" i="12" a="1"/>
  <c r="P448" i="12" s="1"/>
  <c r="P449" i="12" a="1"/>
  <c r="P449" i="12" s="1"/>
  <c r="P450" i="12" a="1"/>
  <c r="P450" i="12" s="1"/>
  <c r="P451" i="12" a="1"/>
  <c r="P451" i="12" s="1"/>
  <c r="P452" i="12" a="1"/>
  <c r="P452" i="12" s="1"/>
  <c r="P453" i="12" a="1"/>
  <c r="P453" i="12" s="1"/>
  <c r="P454" i="12" a="1"/>
  <c r="P454" i="12" s="1"/>
  <c r="P455" i="12" a="1"/>
  <c r="P455" i="12" s="1"/>
  <c r="P456" i="12" a="1"/>
  <c r="P456" i="12" s="1"/>
  <c r="P457" i="12" a="1"/>
  <c r="P457" i="12" s="1"/>
  <c r="P458" i="12" a="1"/>
  <c r="P458" i="12" s="1"/>
  <c r="P459" i="12" a="1"/>
  <c r="P459" i="12" s="1"/>
  <c r="P460" i="12" a="1"/>
  <c r="P460" i="12" s="1"/>
  <c r="P461" i="12" a="1"/>
  <c r="P461" i="12" s="1"/>
  <c r="P462" i="12" a="1"/>
  <c r="P462" i="12" s="1"/>
  <c r="P463" i="12" a="1"/>
  <c r="P463" i="12" s="1"/>
  <c r="P464" i="12" a="1"/>
  <c r="P464" i="12" s="1"/>
  <c r="P465" i="12" a="1"/>
  <c r="P465" i="12" s="1"/>
  <c r="P466" i="12" a="1"/>
  <c r="P466" i="12" s="1"/>
  <c r="P467" i="12" a="1"/>
  <c r="P467" i="12" s="1"/>
  <c r="P468" i="12" a="1"/>
  <c r="P468" i="12" s="1"/>
  <c r="P469" i="12" a="1"/>
  <c r="P469" i="12" s="1"/>
  <c r="P118" i="12" a="1"/>
  <c r="P118" i="12" s="1"/>
  <c r="P119" i="12" a="1"/>
  <c r="P119" i="12" s="1"/>
  <c r="P120" i="12" a="1"/>
  <c r="P120" i="12" s="1"/>
  <c r="P121" i="12" a="1"/>
  <c r="P121" i="12" s="1"/>
  <c r="P122" i="12" a="1"/>
  <c r="P122" i="12" s="1"/>
  <c r="P123" i="12" a="1"/>
  <c r="P123" i="12" s="1"/>
  <c r="P124" i="12" a="1"/>
  <c r="P124" i="12" s="1"/>
  <c r="P125" i="12" a="1"/>
  <c r="P125" i="12" s="1"/>
  <c r="P126" i="12" a="1"/>
  <c r="P126" i="12" s="1"/>
  <c r="P127" i="12" a="1"/>
  <c r="P127" i="12" s="1"/>
  <c r="P108" i="12" a="1"/>
  <c r="P108" i="12" s="1"/>
  <c r="P109" i="12" a="1"/>
  <c r="P109" i="12" s="1"/>
  <c r="P93" i="12" a="1"/>
  <c r="P93" i="12" s="1"/>
  <c r="P94" i="12" a="1"/>
  <c r="P94" i="12" s="1"/>
  <c r="P95" i="12" a="1"/>
  <c r="P95" i="12" s="1"/>
  <c r="P96" i="12" a="1"/>
  <c r="P96" i="12" s="1"/>
  <c r="P97" i="12" a="1"/>
  <c r="P97" i="12" s="1"/>
  <c r="P98" i="12" a="1"/>
  <c r="P98" i="12" s="1"/>
  <c r="P99" i="12" a="1"/>
  <c r="P99" i="12" s="1"/>
  <c r="P100" i="12" a="1"/>
  <c r="P100" i="12" s="1"/>
  <c r="P101" i="12" a="1"/>
  <c r="P101" i="12" s="1"/>
  <c r="P102" i="12" a="1"/>
  <c r="P102" i="12" s="1"/>
  <c r="P103" i="12" a="1"/>
  <c r="P103" i="12" s="1"/>
  <c r="P104" i="12" a="1"/>
  <c r="P104" i="12" s="1"/>
  <c r="P105" i="12" a="1"/>
  <c r="P105" i="12" s="1"/>
  <c r="P106" i="12" a="1"/>
  <c r="P106" i="12" s="1"/>
  <c r="P107" i="12" a="1"/>
  <c r="P107" i="12" s="1"/>
  <c r="P74" i="12" a="1"/>
  <c r="P74" i="12" s="1"/>
  <c r="P75" i="12" a="1"/>
  <c r="P75" i="12" s="1"/>
  <c r="P76" i="12" a="1"/>
  <c r="P76" i="12" s="1"/>
  <c r="P77" i="12" a="1"/>
  <c r="P77" i="12" s="1"/>
  <c r="P78" i="12" a="1"/>
  <c r="P78" i="12" s="1"/>
  <c r="P79" i="12" a="1"/>
  <c r="P79" i="12" s="1"/>
  <c r="P80" i="12" a="1"/>
  <c r="P80" i="12" s="1"/>
  <c r="P81" i="12" a="1"/>
  <c r="P81" i="12" s="1"/>
  <c r="P82" i="12" a="1"/>
  <c r="P82" i="12" s="1"/>
  <c r="P83" i="12" a="1"/>
  <c r="P83" i="12" s="1"/>
  <c r="P84" i="12" a="1"/>
  <c r="P84" i="12" s="1"/>
  <c r="P85" i="12" a="1"/>
  <c r="P85" i="12" s="1"/>
  <c r="P86" i="12" a="1"/>
  <c r="P86" i="12" s="1"/>
  <c r="P87" i="12" a="1"/>
  <c r="P87" i="12" s="1"/>
  <c r="P88" i="12" a="1"/>
  <c r="P88" i="12" s="1"/>
  <c r="P89" i="12" a="1"/>
  <c r="P89" i="12" s="1"/>
  <c r="P90" i="12" a="1"/>
  <c r="P90" i="12" s="1"/>
  <c r="P91" i="12" a="1"/>
  <c r="P91" i="12" s="1"/>
  <c r="P92" i="12" a="1"/>
  <c r="P92" i="12" s="1"/>
  <c r="P110" i="12" a="1"/>
  <c r="P110" i="12" s="1"/>
  <c r="P111" i="12" a="1"/>
  <c r="P111" i="12" s="1"/>
  <c r="P112" i="12" a="1"/>
  <c r="P112" i="12" s="1"/>
  <c r="P113" i="12" a="1"/>
  <c r="P113" i="12" s="1"/>
  <c r="P114" i="12" a="1"/>
  <c r="P114" i="12" s="1"/>
  <c r="P115" i="12" a="1"/>
  <c r="P115" i="12" s="1"/>
  <c r="P116" i="12" a="1"/>
  <c r="P116" i="12" s="1"/>
  <c r="P117" i="12" a="1"/>
  <c r="P117" i="12" s="1"/>
  <c r="P3" i="12" a="1"/>
  <c r="P3" i="12" s="1"/>
  <c r="P4" i="12" a="1"/>
  <c r="P4" i="12" s="1"/>
  <c r="P5" i="12" a="1"/>
  <c r="P5" i="12" s="1"/>
  <c r="P6" i="12" a="1"/>
  <c r="P6" i="12" s="1"/>
  <c r="P7" i="12" a="1"/>
  <c r="P7" i="12" s="1"/>
  <c r="P8" i="12" a="1"/>
  <c r="P8" i="12" s="1"/>
  <c r="P9" i="12" a="1"/>
  <c r="P9" i="12" s="1"/>
  <c r="P10" i="12" a="1"/>
  <c r="P10" i="12" s="1"/>
  <c r="P11" i="12" a="1"/>
  <c r="P11" i="12" s="1"/>
  <c r="P12" i="12" a="1"/>
  <c r="P12" i="12" s="1"/>
  <c r="P13" i="12" a="1"/>
  <c r="P13" i="12" s="1"/>
  <c r="P14" i="12" a="1"/>
  <c r="P14" i="12" s="1"/>
  <c r="P15" i="12" a="1"/>
  <c r="P15" i="12" s="1"/>
  <c r="P16" i="12" a="1"/>
  <c r="P16" i="12" s="1"/>
  <c r="P17" i="12" a="1"/>
  <c r="P17" i="12" s="1"/>
  <c r="P18" i="12" a="1"/>
  <c r="P18" i="12" s="1"/>
  <c r="P19" i="12" a="1"/>
  <c r="P19" i="12" s="1"/>
  <c r="P20" i="12" a="1"/>
  <c r="P20" i="12" s="1"/>
  <c r="P21" i="12" a="1"/>
  <c r="P21" i="12" s="1"/>
  <c r="P22" i="12" a="1"/>
  <c r="P22" i="12" s="1"/>
  <c r="P23" i="12" a="1"/>
  <c r="P23" i="12" s="1"/>
  <c r="P24" i="12" a="1"/>
  <c r="P24" i="12" s="1"/>
  <c r="P25" i="12" a="1"/>
  <c r="P25" i="12" s="1"/>
  <c r="P26" i="12" a="1"/>
  <c r="P26" i="12" s="1"/>
  <c r="P27" i="12" a="1"/>
  <c r="P27" i="12" s="1"/>
  <c r="P28" i="12" a="1"/>
  <c r="P28" i="12" s="1"/>
  <c r="P29" i="12" a="1"/>
  <c r="P29" i="12" s="1"/>
  <c r="P30" i="12" a="1"/>
  <c r="P30" i="12" s="1"/>
  <c r="P31" i="12" a="1"/>
  <c r="P31" i="12" s="1"/>
  <c r="P32" i="12" a="1"/>
  <c r="P32" i="12" s="1"/>
  <c r="P33" i="12" a="1"/>
  <c r="P33" i="12" s="1"/>
  <c r="P34" i="12" a="1"/>
  <c r="P34" i="12" s="1"/>
  <c r="P35" i="12" a="1"/>
  <c r="P35" i="12" s="1"/>
  <c r="P36" i="12" a="1"/>
  <c r="P36" i="12" s="1"/>
  <c r="P37" i="12" a="1"/>
  <c r="P37" i="12" s="1"/>
  <c r="P38" i="12" a="1"/>
  <c r="P38" i="12" s="1"/>
  <c r="P39" i="12" a="1"/>
  <c r="P39" i="12" s="1"/>
  <c r="P40" i="12" a="1"/>
  <c r="P40" i="12" s="1"/>
  <c r="P41" i="12" a="1"/>
  <c r="P41" i="12" s="1"/>
  <c r="P42" i="12" a="1"/>
  <c r="P42" i="12" s="1"/>
  <c r="P43" i="12" a="1"/>
  <c r="P43" i="12" s="1"/>
  <c r="P44" i="12" a="1"/>
  <c r="P44" i="12" s="1"/>
  <c r="P45" i="12" a="1"/>
  <c r="P45" i="12" s="1"/>
  <c r="P46" i="12" a="1"/>
  <c r="P46" i="12" s="1"/>
  <c r="P47" i="12" a="1"/>
  <c r="P47" i="12" s="1"/>
  <c r="P48" i="12" a="1"/>
  <c r="P48" i="12" s="1"/>
  <c r="P49" i="12" a="1"/>
  <c r="P49" i="12" s="1"/>
  <c r="P50" i="12" a="1"/>
  <c r="P50" i="12" s="1"/>
  <c r="P51" i="12" a="1"/>
  <c r="P51" i="12" s="1"/>
  <c r="P52" i="12" a="1"/>
  <c r="P52" i="12" s="1"/>
  <c r="P53" i="12" a="1"/>
  <c r="P53" i="12" s="1"/>
  <c r="P54" i="12" a="1"/>
  <c r="P54" i="12" s="1"/>
  <c r="P55" i="12" a="1"/>
  <c r="P55" i="12" s="1"/>
  <c r="P56" i="12" a="1"/>
  <c r="P56" i="12" s="1"/>
  <c r="P57" i="12" a="1"/>
  <c r="P57" i="12" s="1"/>
  <c r="P58" i="12" a="1"/>
  <c r="P58" i="12" s="1"/>
  <c r="P59" i="12" a="1"/>
  <c r="P59" i="12" s="1"/>
  <c r="P60" i="12" a="1"/>
  <c r="P60" i="12" s="1"/>
  <c r="P61" i="12" a="1"/>
  <c r="P61" i="12" s="1"/>
  <c r="P62" i="12" a="1"/>
  <c r="P62" i="12" s="1"/>
  <c r="P63" i="12" a="1"/>
  <c r="P63" i="12" s="1"/>
  <c r="P64" i="12" a="1"/>
  <c r="P64" i="12" s="1"/>
  <c r="P65" i="12" a="1"/>
  <c r="P65" i="12" s="1"/>
  <c r="P66" i="12" a="1"/>
  <c r="P66" i="12" s="1"/>
  <c r="P67" i="12" a="1"/>
  <c r="P67" i="12" s="1"/>
  <c r="P68" i="12" a="1"/>
  <c r="P68" i="12" s="1"/>
  <c r="P69" i="12" a="1"/>
  <c r="P69" i="12" s="1"/>
  <c r="P70" i="12" a="1"/>
  <c r="P70" i="12" s="1"/>
  <c r="P71" i="12" a="1"/>
  <c r="P71" i="12" s="1"/>
  <c r="P72" i="12" a="1"/>
  <c r="P72" i="12" s="1"/>
  <c r="P73" i="12" a="1"/>
  <c r="P73" i="12" s="1"/>
  <c r="P2" i="12" a="1"/>
  <c r="P2" i="12" s="1"/>
  <c r="D70" i="8"/>
  <c r="W70" i="8"/>
  <c r="O1208" i="12" a="1"/>
  <c r="O1208" i="12" s="1"/>
  <c r="O1209" i="12" a="1"/>
  <c r="O1209" i="12" s="1"/>
  <c r="O1210" i="12" a="1"/>
  <c r="O1210" i="12" s="1"/>
  <c r="O1211" i="12" a="1"/>
  <c r="O1211" i="12" s="1"/>
  <c r="O1212" i="12" a="1"/>
  <c r="O1212" i="12" s="1"/>
  <c r="O1213" i="12" a="1"/>
  <c r="O1213" i="12" s="1"/>
  <c r="O1214" i="12" a="1"/>
  <c r="O1214" i="12" s="1"/>
  <c r="O1215" i="12" a="1"/>
  <c r="O1215" i="12" s="1"/>
  <c r="O1216" i="12" a="1"/>
  <c r="O1216" i="12" s="1"/>
  <c r="O1217" i="12" a="1"/>
  <c r="O1217" i="12" s="1"/>
  <c r="O1218" i="12" a="1"/>
  <c r="O1218" i="12" s="1"/>
  <c r="O1219" i="12" a="1"/>
  <c r="O1219" i="12" s="1"/>
  <c r="O1220" i="12" a="1"/>
  <c r="O1220" i="12" s="1"/>
  <c r="O1221" i="12" a="1"/>
  <c r="O1221" i="12" s="1"/>
  <c r="O1222" i="12" a="1"/>
  <c r="O1222" i="12" s="1"/>
  <c r="O1223" i="12" a="1"/>
  <c r="O1223" i="12" s="1"/>
  <c r="O1224" i="12" a="1"/>
  <c r="O1224" i="12" s="1"/>
  <c r="O1225" i="12" a="1"/>
  <c r="O1225" i="12" s="1"/>
  <c r="O1172" i="12" a="1"/>
  <c r="O1172" i="12" s="1"/>
  <c r="O1173" i="12" a="1"/>
  <c r="O1173" i="12" s="1"/>
  <c r="O1174" i="12" a="1"/>
  <c r="O1174" i="12" s="1"/>
  <c r="O1175" i="12" a="1"/>
  <c r="O1175" i="12" s="1"/>
  <c r="O1176" i="12" a="1"/>
  <c r="O1176" i="12" s="1"/>
  <c r="O1177" i="12" a="1"/>
  <c r="O1177" i="12" s="1"/>
  <c r="O1178" i="12" a="1"/>
  <c r="O1178" i="12" s="1"/>
  <c r="O1179" i="12" a="1"/>
  <c r="O1179" i="12" s="1"/>
  <c r="O1180" i="12" a="1"/>
  <c r="O1180" i="12" s="1"/>
  <c r="O1181" i="12" a="1"/>
  <c r="O1181" i="12" s="1"/>
  <c r="O1182" i="12" a="1"/>
  <c r="O1182" i="12" s="1"/>
  <c r="O1183" i="12" a="1"/>
  <c r="O1183" i="12" s="1"/>
  <c r="O1184" i="12" a="1"/>
  <c r="O1184" i="12" s="1"/>
  <c r="O1185" i="12" a="1"/>
  <c r="O1185" i="12" s="1"/>
  <c r="O1186" i="12" a="1"/>
  <c r="O1186" i="12" s="1"/>
  <c r="O1187" i="12" a="1"/>
  <c r="O1187" i="12" s="1"/>
  <c r="O1188" i="12" a="1"/>
  <c r="O1188" i="12" s="1"/>
  <c r="O1189" i="12" a="1"/>
  <c r="O1189" i="12" s="1"/>
  <c r="O1190" i="12" a="1"/>
  <c r="O1190" i="12" s="1"/>
  <c r="O1191" i="12" a="1"/>
  <c r="O1191" i="12" s="1"/>
  <c r="O1192" i="12" a="1"/>
  <c r="O1192" i="12" s="1"/>
  <c r="O1193" i="12" a="1"/>
  <c r="O1193" i="12" s="1"/>
  <c r="O1194" i="12" a="1"/>
  <c r="O1194" i="12" s="1"/>
  <c r="O1195" i="12" a="1"/>
  <c r="O1195" i="12" s="1"/>
  <c r="O1196" i="12" a="1"/>
  <c r="O1196" i="12" s="1"/>
  <c r="O1197" i="12" a="1"/>
  <c r="O1197" i="12" s="1"/>
  <c r="O1198" i="12" a="1"/>
  <c r="O1198" i="12" s="1"/>
  <c r="O1199" i="12" a="1"/>
  <c r="O1199" i="12" s="1"/>
  <c r="O1200" i="12" a="1"/>
  <c r="O1200" i="12" s="1"/>
  <c r="O1201" i="12" a="1"/>
  <c r="O1201" i="12" s="1"/>
  <c r="O1202" i="12" a="1"/>
  <c r="O1202" i="12" s="1"/>
  <c r="O1203" i="12" a="1"/>
  <c r="O1203" i="12" s="1"/>
  <c r="O1204" i="12" a="1"/>
  <c r="O1204" i="12" s="1"/>
  <c r="O1205" i="12" a="1"/>
  <c r="O1205" i="12" s="1"/>
  <c r="O1206" i="12" a="1"/>
  <c r="O1206" i="12" s="1"/>
  <c r="O1207" i="12" a="1"/>
  <c r="O1207" i="12" s="1"/>
  <c r="O1154" i="12" a="1"/>
  <c r="O1154" i="12" s="1"/>
  <c r="O1155" i="12" a="1"/>
  <c r="O1155" i="12" s="1"/>
  <c r="O1156" i="12" a="1"/>
  <c r="O1156" i="12" s="1"/>
  <c r="O1157" i="12" a="1"/>
  <c r="O1157" i="12" s="1"/>
  <c r="O1158" i="12" a="1"/>
  <c r="O1158" i="12" s="1"/>
  <c r="O1159" i="12" a="1"/>
  <c r="O1159" i="12" s="1"/>
  <c r="O1160" i="12" a="1"/>
  <c r="O1160" i="12" s="1"/>
  <c r="O1161" i="12" a="1"/>
  <c r="O1161" i="12" s="1"/>
  <c r="O1162" i="12" a="1"/>
  <c r="O1162" i="12" s="1"/>
  <c r="O1163" i="12" a="1"/>
  <c r="O1163" i="12" s="1"/>
  <c r="O1164" i="12" a="1"/>
  <c r="O1164" i="12" s="1"/>
  <c r="O1165" i="12" a="1"/>
  <c r="O1165" i="12" s="1"/>
  <c r="O1166" i="12" a="1"/>
  <c r="O1166" i="12" s="1"/>
  <c r="O1167" i="12" a="1"/>
  <c r="O1167" i="12" s="1"/>
  <c r="O1168" i="12" a="1"/>
  <c r="O1168" i="12" s="1"/>
  <c r="O1169" i="12" a="1"/>
  <c r="O1169" i="12" s="1"/>
  <c r="O1170" i="12" a="1"/>
  <c r="O1170" i="12" s="1"/>
  <c r="O1171" i="12" a="1"/>
  <c r="O1171" i="12" s="1"/>
  <c r="O1136" i="12" a="1"/>
  <c r="O1136" i="12" s="1"/>
  <c r="O1137" i="12" a="1"/>
  <c r="O1137" i="12" s="1"/>
  <c r="O1138" i="12" a="1"/>
  <c r="O1138" i="12" s="1"/>
  <c r="O1139" i="12" a="1"/>
  <c r="O1139" i="12" s="1"/>
  <c r="O1140" i="12" a="1"/>
  <c r="O1140" i="12" s="1"/>
  <c r="O1141" i="12" a="1"/>
  <c r="O1141" i="12" s="1"/>
  <c r="O1142" i="12" a="1"/>
  <c r="O1142" i="12" s="1"/>
  <c r="O1143" i="12" a="1"/>
  <c r="O1143" i="12" s="1"/>
  <c r="O1144" i="12" a="1"/>
  <c r="O1144" i="12" s="1"/>
  <c r="O1145" i="12" a="1"/>
  <c r="O1145" i="12" s="1"/>
  <c r="O1146" i="12" a="1"/>
  <c r="O1146" i="12" s="1"/>
  <c r="O1147" i="12" a="1"/>
  <c r="O1147" i="12" s="1"/>
  <c r="O1148" i="12" a="1"/>
  <c r="O1148" i="12" s="1"/>
  <c r="O1149" i="12" a="1"/>
  <c r="O1149" i="12" s="1"/>
  <c r="O1150" i="12" a="1"/>
  <c r="O1150" i="12" s="1"/>
  <c r="O1151" i="12" a="1"/>
  <c r="O1151" i="12" s="1"/>
  <c r="O1152" i="12" a="1"/>
  <c r="O1152" i="12" s="1"/>
  <c r="O1153" i="12" a="1"/>
  <c r="O1153" i="12" s="1"/>
  <c r="O1082" i="12" a="1"/>
  <c r="O1082" i="12" s="1"/>
  <c r="O1083" i="12" a="1"/>
  <c r="O1083" i="12" s="1"/>
  <c r="O1084" i="12" a="1"/>
  <c r="O1084" i="12" s="1"/>
  <c r="O1085" i="12" a="1"/>
  <c r="O1085" i="12" s="1"/>
  <c r="O1086" i="12" a="1"/>
  <c r="O1086" i="12" s="1"/>
  <c r="O1087" i="12" a="1"/>
  <c r="O1087" i="12" s="1"/>
  <c r="O1088" i="12" a="1"/>
  <c r="O1088" i="12" s="1"/>
  <c r="O1089" i="12" a="1"/>
  <c r="O1089" i="12" s="1"/>
  <c r="O1090" i="12" a="1"/>
  <c r="O1090" i="12" s="1"/>
  <c r="O1091" i="12" a="1"/>
  <c r="O1091" i="12" s="1"/>
  <c r="O1092" i="12" a="1"/>
  <c r="O1092" i="12" s="1"/>
  <c r="O1093" i="12" a="1"/>
  <c r="O1093" i="12" s="1"/>
  <c r="O1094" i="12" a="1"/>
  <c r="O1094" i="12" s="1"/>
  <c r="O1095" i="12" a="1"/>
  <c r="O1095" i="12" s="1"/>
  <c r="O1096" i="12" a="1"/>
  <c r="O1096" i="12" s="1"/>
  <c r="O1097" i="12" a="1"/>
  <c r="O1097" i="12" s="1"/>
  <c r="O1098" i="12" a="1"/>
  <c r="O1098" i="12" s="1"/>
  <c r="O1099" i="12" a="1"/>
  <c r="O1099" i="12" s="1"/>
  <c r="O1100" i="12" a="1"/>
  <c r="O1100" i="12" s="1"/>
  <c r="O1101" i="12" a="1"/>
  <c r="O1101" i="12" s="1"/>
  <c r="O1102" i="12" a="1"/>
  <c r="O1102" i="12" s="1"/>
  <c r="O1103" i="12" a="1"/>
  <c r="O1103" i="12" s="1"/>
  <c r="O1104" i="12" a="1"/>
  <c r="O1104" i="12" s="1"/>
  <c r="O1105" i="12" a="1"/>
  <c r="O1105" i="12" s="1"/>
  <c r="O1106" i="12" a="1"/>
  <c r="O1106" i="12" s="1"/>
  <c r="O1107" i="12" a="1"/>
  <c r="O1107" i="12" s="1"/>
  <c r="O1108" i="12" a="1"/>
  <c r="O1108" i="12" s="1"/>
  <c r="O1109" i="12" a="1"/>
  <c r="O1109" i="12" s="1"/>
  <c r="O1110" i="12" a="1"/>
  <c r="O1110" i="12" s="1"/>
  <c r="O1111" i="12" a="1"/>
  <c r="O1111" i="12" s="1"/>
  <c r="O1112" i="12" a="1"/>
  <c r="O1112" i="12" s="1"/>
  <c r="O1113" i="12" a="1"/>
  <c r="O1113" i="12" s="1"/>
  <c r="O1114" i="12" a="1"/>
  <c r="O1114" i="12" s="1"/>
  <c r="O1115" i="12" a="1"/>
  <c r="O1115" i="12" s="1"/>
  <c r="O1116" i="12" a="1"/>
  <c r="O1116" i="12" s="1"/>
  <c r="O1117" i="12" a="1"/>
  <c r="O1117" i="12" s="1"/>
  <c r="O1118" i="12" a="1"/>
  <c r="O1118" i="12" s="1"/>
  <c r="O1119" i="12" a="1"/>
  <c r="O1119" i="12" s="1"/>
  <c r="O1120" i="12" a="1"/>
  <c r="O1120" i="12" s="1"/>
  <c r="O1121" i="12" a="1"/>
  <c r="O1121" i="12" s="1"/>
  <c r="O1122" i="12" a="1"/>
  <c r="O1122" i="12" s="1"/>
  <c r="O1123" i="12" a="1"/>
  <c r="O1123" i="12" s="1"/>
  <c r="O1124" i="12" a="1"/>
  <c r="O1124" i="12" s="1"/>
  <c r="O1125" i="12" a="1"/>
  <c r="O1125" i="12" s="1"/>
  <c r="O1126" i="12" a="1"/>
  <c r="O1126" i="12" s="1"/>
  <c r="O1127" i="12" a="1"/>
  <c r="O1127" i="12" s="1"/>
  <c r="O1128" i="12" a="1"/>
  <c r="O1128" i="12" s="1"/>
  <c r="O1129" i="12" a="1"/>
  <c r="O1129" i="12" s="1"/>
  <c r="O1130" i="12" a="1"/>
  <c r="O1130" i="12" s="1"/>
  <c r="O1131" i="12" a="1"/>
  <c r="O1131" i="12" s="1"/>
  <c r="O1132" i="12" a="1"/>
  <c r="O1132" i="12" s="1"/>
  <c r="O1133" i="12" a="1"/>
  <c r="O1133" i="12" s="1"/>
  <c r="O1134" i="12" a="1"/>
  <c r="O1134" i="12" s="1"/>
  <c r="O1135" i="12" a="1"/>
  <c r="O1135" i="12" s="1"/>
  <c r="O848" i="12" a="1"/>
  <c r="O848" i="12" s="1"/>
  <c r="O849" i="12" a="1"/>
  <c r="O849" i="12" s="1"/>
  <c r="O850" i="12" a="1"/>
  <c r="O850" i="12" s="1"/>
  <c r="O851" i="12" a="1"/>
  <c r="O851" i="12" s="1"/>
  <c r="O852" i="12" a="1"/>
  <c r="O852" i="12" s="1"/>
  <c r="O853" i="12" a="1"/>
  <c r="O853" i="12" s="1"/>
  <c r="O854" i="12" a="1"/>
  <c r="O854" i="12" s="1"/>
  <c r="O855" i="12" a="1"/>
  <c r="O855" i="12" s="1"/>
  <c r="O856" i="12" a="1"/>
  <c r="O856" i="12" s="1"/>
  <c r="O857" i="12" a="1"/>
  <c r="O857" i="12" s="1"/>
  <c r="O858" i="12" a="1"/>
  <c r="O858" i="12" s="1"/>
  <c r="O859" i="12" a="1"/>
  <c r="O859" i="12" s="1"/>
  <c r="O860" i="12" a="1"/>
  <c r="O860" i="12" s="1"/>
  <c r="O861" i="12" a="1"/>
  <c r="O861" i="12" s="1"/>
  <c r="O862" i="12" a="1"/>
  <c r="O862" i="12" s="1"/>
  <c r="O863" i="12" a="1"/>
  <c r="O863" i="12" s="1"/>
  <c r="O864" i="12" a="1"/>
  <c r="O864" i="12" s="1"/>
  <c r="O865" i="12" a="1"/>
  <c r="O865" i="12" s="1"/>
  <c r="O866" i="12" a="1"/>
  <c r="O866" i="12" s="1"/>
  <c r="O867" i="12" a="1"/>
  <c r="O867" i="12" s="1"/>
  <c r="O868" i="12" a="1"/>
  <c r="O868" i="12" s="1"/>
  <c r="O869" i="12" a="1"/>
  <c r="O869" i="12" s="1"/>
  <c r="O870" i="12" a="1"/>
  <c r="O870" i="12" s="1"/>
  <c r="O871" i="12" a="1"/>
  <c r="O871" i="12" s="1"/>
  <c r="O872" i="12" a="1"/>
  <c r="O872" i="12" s="1"/>
  <c r="O873" i="12" a="1"/>
  <c r="O873" i="12" s="1"/>
  <c r="O874" i="12" a="1"/>
  <c r="O874" i="12" s="1"/>
  <c r="O875" i="12" a="1"/>
  <c r="O875" i="12" s="1"/>
  <c r="O876" i="12" a="1"/>
  <c r="O876" i="12" s="1"/>
  <c r="O877" i="12" a="1"/>
  <c r="O877" i="12" s="1"/>
  <c r="O878" i="12" a="1"/>
  <c r="O878" i="12" s="1"/>
  <c r="O879" i="12" a="1"/>
  <c r="O879" i="12" s="1"/>
  <c r="O880" i="12" a="1"/>
  <c r="O880" i="12" s="1"/>
  <c r="O881" i="12" a="1"/>
  <c r="O881" i="12" s="1"/>
  <c r="O882" i="12" a="1"/>
  <c r="O882" i="12" s="1"/>
  <c r="O883" i="12" a="1"/>
  <c r="O883" i="12" s="1"/>
  <c r="O884" i="12" a="1"/>
  <c r="O884" i="12" s="1"/>
  <c r="O885" i="12" a="1"/>
  <c r="O885" i="12" s="1"/>
  <c r="O886" i="12" a="1"/>
  <c r="O886" i="12" s="1"/>
  <c r="O887" i="12" a="1"/>
  <c r="O887" i="12" s="1"/>
  <c r="O888" i="12" a="1"/>
  <c r="O888" i="12" s="1"/>
  <c r="O889" i="12" a="1"/>
  <c r="O889" i="12" s="1"/>
  <c r="O890" i="12" a="1"/>
  <c r="O890" i="12" s="1"/>
  <c r="O891" i="12" a="1"/>
  <c r="O891" i="12" s="1"/>
  <c r="O892" i="12" a="1"/>
  <c r="O892" i="12" s="1"/>
  <c r="O893" i="12" a="1"/>
  <c r="O893" i="12" s="1"/>
  <c r="O894" i="12" a="1"/>
  <c r="O894" i="12" s="1"/>
  <c r="O895" i="12" a="1"/>
  <c r="O895" i="12" s="1"/>
  <c r="O896" i="12" a="1"/>
  <c r="O896" i="12" s="1"/>
  <c r="O897" i="12" a="1"/>
  <c r="O897" i="12" s="1"/>
  <c r="O898" i="12" a="1"/>
  <c r="O898" i="12" s="1"/>
  <c r="O899" i="12" a="1"/>
  <c r="O899" i="12" s="1"/>
  <c r="O900" i="12" a="1"/>
  <c r="O900" i="12" s="1"/>
  <c r="O901" i="12" a="1"/>
  <c r="O901" i="12" s="1"/>
  <c r="O902" i="12" a="1"/>
  <c r="O902" i="12" s="1"/>
  <c r="O903" i="12" a="1"/>
  <c r="O903" i="12" s="1"/>
  <c r="O904" i="12" a="1"/>
  <c r="O904" i="12" s="1"/>
  <c r="O905" i="12" a="1"/>
  <c r="O905" i="12" s="1"/>
  <c r="O906" i="12" a="1"/>
  <c r="O906" i="12" s="1"/>
  <c r="O907" i="12" a="1"/>
  <c r="O907" i="12" s="1"/>
  <c r="O908" i="12" a="1"/>
  <c r="O908" i="12" s="1"/>
  <c r="O909" i="12" a="1"/>
  <c r="O909" i="12" s="1"/>
  <c r="O910" i="12" a="1"/>
  <c r="O910" i="12" s="1"/>
  <c r="O911" i="12" a="1"/>
  <c r="O911" i="12" s="1"/>
  <c r="O912" i="12" a="1"/>
  <c r="O912" i="12" s="1"/>
  <c r="O913" i="12" a="1"/>
  <c r="O913" i="12" s="1"/>
  <c r="O914" i="12" a="1"/>
  <c r="O914" i="12" s="1"/>
  <c r="O915" i="12" a="1"/>
  <c r="O915" i="12" s="1"/>
  <c r="O916" i="12" a="1"/>
  <c r="O916" i="12" s="1"/>
  <c r="O917" i="12" a="1"/>
  <c r="O917" i="12" s="1"/>
  <c r="O918" i="12" a="1"/>
  <c r="O918" i="12" s="1"/>
  <c r="O919" i="12" a="1"/>
  <c r="O919" i="12" s="1"/>
  <c r="O920" i="12" a="1"/>
  <c r="O920" i="12" s="1"/>
  <c r="O921" i="12" a="1"/>
  <c r="O921" i="12" s="1"/>
  <c r="O922" i="12" a="1"/>
  <c r="O922" i="12" s="1"/>
  <c r="O923" i="12" a="1"/>
  <c r="O923" i="12" s="1"/>
  <c r="O924" i="12" a="1"/>
  <c r="O924" i="12" s="1"/>
  <c r="O925" i="12" a="1"/>
  <c r="O925" i="12" s="1"/>
  <c r="O926" i="12" a="1"/>
  <c r="O926" i="12" s="1"/>
  <c r="O927" i="12" a="1"/>
  <c r="O927" i="12" s="1"/>
  <c r="O928" i="12" a="1"/>
  <c r="O928" i="12" s="1"/>
  <c r="O929" i="12" a="1"/>
  <c r="O929" i="12" s="1"/>
  <c r="O930" i="12" a="1"/>
  <c r="O930" i="12" s="1"/>
  <c r="O931" i="12" a="1"/>
  <c r="O931" i="12" s="1"/>
  <c r="O932" i="12" a="1"/>
  <c r="O932" i="12" s="1"/>
  <c r="O933" i="12" a="1"/>
  <c r="O933" i="12" s="1"/>
  <c r="O934" i="12" a="1"/>
  <c r="O934" i="12" s="1"/>
  <c r="O935" i="12" a="1"/>
  <c r="O935" i="12" s="1"/>
  <c r="O936" i="12" a="1"/>
  <c r="O936" i="12" s="1"/>
  <c r="O937" i="12" a="1"/>
  <c r="O937" i="12" s="1"/>
  <c r="O938" i="12" a="1"/>
  <c r="O938" i="12" s="1"/>
  <c r="O939" i="12" a="1"/>
  <c r="O939" i="12" s="1"/>
  <c r="O940" i="12" a="1"/>
  <c r="O940" i="12" s="1"/>
  <c r="O941" i="12" a="1"/>
  <c r="O941" i="12" s="1"/>
  <c r="O942" i="12" a="1"/>
  <c r="O942" i="12" s="1"/>
  <c r="O943" i="12" a="1"/>
  <c r="O943" i="12" s="1"/>
  <c r="O944" i="12" a="1"/>
  <c r="O944" i="12" s="1"/>
  <c r="O945" i="12" a="1"/>
  <c r="O945" i="12" s="1"/>
  <c r="O946" i="12" a="1"/>
  <c r="O946" i="12" s="1"/>
  <c r="O947" i="12" a="1"/>
  <c r="O947" i="12" s="1"/>
  <c r="O948" i="12" a="1"/>
  <c r="O948" i="12" s="1"/>
  <c r="O949" i="12" a="1"/>
  <c r="O949" i="12" s="1"/>
  <c r="O950" i="12" a="1"/>
  <c r="O950" i="12" s="1"/>
  <c r="O951" i="12" a="1"/>
  <c r="O951" i="12" s="1"/>
  <c r="O952" i="12" a="1"/>
  <c r="O952" i="12" s="1"/>
  <c r="O953" i="12" a="1"/>
  <c r="O953" i="12" s="1"/>
  <c r="O954" i="12" a="1"/>
  <c r="O954" i="12" s="1"/>
  <c r="O955" i="12" a="1"/>
  <c r="O955" i="12" s="1"/>
  <c r="O956" i="12" a="1"/>
  <c r="O956" i="12" s="1"/>
  <c r="O957" i="12" a="1"/>
  <c r="O957" i="12" s="1"/>
  <c r="O958" i="12" a="1"/>
  <c r="O958" i="12" s="1"/>
  <c r="O959" i="12" a="1"/>
  <c r="O959" i="12" s="1"/>
  <c r="O960" i="12" a="1"/>
  <c r="O960" i="12" s="1"/>
  <c r="O961" i="12" a="1"/>
  <c r="O961" i="12" s="1"/>
  <c r="O962" i="12" a="1"/>
  <c r="O962" i="12" s="1"/>
  <c r="O963" i="12" a="1"/>
  <c r="O963" i="12" s="1"/>
  <c r="O964" i="12" a="1"/>
  <c r="O964" i="12" s="1"/>
  <c r="O965" i="12" a="1"/>
  <c r="O965" i="12" s="1"/>
  <c r="O966" i="12" a="1"/>
  <c r="O966" i="12" s="1"/>
  <c r="O967" i="12" a="1"/>
  <c r="O967" i="12" s="1"/>
  <c r="O968" i="12" a="1"/>
  <c r="O968" i="12" s="1"/>
  <c r="O969" i="12" a="1"/>
  <c r="O969" i="12" s="1"/>
  <c r="O970" i="12" a="1"/>
  <c r="O970" i="12" s="1"/>
  <c r="O971" i="12" a="1"/>
  <c r="O971" i="12" s="1"/>
  <c r="O972" i="12" a="1"/>
  <c r="O972" i="12" s="1"/>
  <c r="O973" i="12" a="1"/>
  <c r="O973" i="12" s="1"/>
  <c r="O974" i="12" a="1"/>
  <c r="O974" i="12" s="1"/>
  <c r="O975" i="12" a="1"/>
  <c r="O975" i="12" s="1"/>
  <c r="O976" i="12" a="1"/>
  <c r="O976" i="12" s="1"/>
  <c r="O977" i="12" a="1"/>
  <c r="O977" i="12" s="1"/>
  <c r="O978" i="12" a="1"/>
  <c r="O978" i="12" s="1"/>
  <c r="O979" i="12" a="1"/>
  <c r="O979" i="12" s="1"/>
  <c r="O980" i="12" a="1"/>
  <c r="O980" i="12" s="1"/>
  <c r="O981" i="12" a="1"/>
  <c r="O981" i="12" s="1"/>
  <c r="O982" i="12" a="1"/>
  <c r="O982" i="12" s="1"/>
  <c r="O983" i="12" a="1"/>
  <c r="O983" i="12" s="1"/>
  <c r="O984" i="12" a="1"/>
  <c r="O984" i="12" s="1"/>
  <c r="O985" i="12" a="1"/>
  <c r="O985" i="12" s="1"/>
  <c r="O986" i="12" a="1"/>
  <c r="O986" i="12" s="1"/>
  <c r="O987" i="12" a="1"/>
  <c r="O987" i="12" s="1"/>
  <c r="O988" i="12" a="1"/>
  <c r="O988" i="12" s="1"/>
  <c r="O989" i="12" a="1"/>
  <c r="O989" i="12" s="1"/>
  <c r="O990" i="12" a="1"/>
  <c r="O990" i="12" s="1"/>
  <c r="O991" i="12" a="1"/>
  <c r="O991" i="12" s="1"/>
  <c r="O992" i="12" a="1"/>
  <c r="O992" i="12" s="1"/>
  <c r="O993" i="12" a="1"/>
  <c r="O993" i="12" s="1"/>
  <c r="O994" i="12" a="1"/>
  <c r="O994" i="12" s="1"/>
  <c r="O995" i="12" a="1"/>
  <c r="O995" i="12" s="1"/>
  <c r="O996" i="12" a="1"/>
  <c r="O996" i="12" s="1"/>
  <c r="O997" i="12" a="1"/>
  <c r="O997" i="12" s="1"/>
  <c r="O998" i="12" a="1"/>
  <c r="O998" i="12" s="1"/>
  <c r="O999" i="12" a="1"/>
  <c r="O999" i="12" s="1"/>
  <c r="O1000" i="12" a="1"/>
  <c r="O1000" i="12" s="1"/>
  <c r="O1001" i="12" a="1"/>
  <c r="O1001" i="12" s="1"/>
  <c r="O1002" i="12" a="1"/>
  <c r="O1002" i="12" s="1"/>
  <c r="O1003" i="12" a="1"/>
  <c r="O1003" i="12" s="1"/>
  <c r="O1004" i="12" a="1"/>
  <c r="O1004" i="12" s="1"/>
  <c r="O1005" i="12" a="1"/>
  <c r="O1005" i="12" s="1"/>
  <c r="O1006" i="12" a="1"/>
  <c r="O1006" i="12" s="1"/>
  <c r="O1007" i="12" a="1"/>
  <c r="O1007" i="12" s="1"/>
  <c r="O1008" i="12" a="1"/>
  <c r="O1008" i="12" s="1"/>
  <c r="O1009" i="12" a="1"/>
  <c r="O1009" i="12" s="1"/>
  <c r="O1010" i="12" a="1"/>
  <c r="O1010" i="12" s="1"/>
  <c r="O1011" i="12" a="1"/>
  <c r="O1011" i="12" s="1"/>
  <c r="O1012" i="12" a="1"/>
  <c r="O1012" i="12" s="1"/>
  <c r="O1013" i="12" a="1"/>
  <c r="O1013" i="12" s="1"/>
  <c r="O1014" i="12" a="1"/>
  <c r="O1014" i="12" s="1"/>
  <c r="O1015" i="12" a="1"/>
  <c r="O1015" i="12" s="1"/>
  <c r="O1016" i="12" a="1"/>
  <c r="O1016" i="12" s="1"/>
  <c r="O1017" i="12" a="1"/>
  <c r="O1017" i="12" s="1"/>
  <c r="O1018" i="12" a="1"/>
  <c r="O1018" i="12" s="1"/>
  <c r="O1019" i="12" a="1"/>
  <c r="O1019" i="12" s="1"/>
  <c r="O1020" i="12" a="1"/>
  <c r="O1020" i="12" s="1"/>
  <c r="O1021" i="12" a="1"/>
  <c r="O1021" i="12" s="1"/>
  <c r="O1022" i="12" a="1"/>
  <c r="O1022" i="12" s="1"/>
  <c r="O1023" i="12" a="1"/>
  <c r="O1023" i="12" s="1"/>
  <c r="O1024" i="12" a="1"/>
  <c r="O1024" i="12" s="1"/>
  <c r="O1025" i="12" a="1"/>
  <c r="O1025" i="12" s="1"/>
  <c r="O1026" i="12" a="1"/>
  <c r="O1026" i="12" s="1"/>
  <c r="O1027" i="12" a="1"/>
  <c r="O1027" i="12" s="1"/>
  <c r="O1028" i="12" a="1"/>
  <c r="O1028" i="12" s="1"/>
  <c r="O1029" i="12" a="1"/>
  <c r="O1029" i="12" s="1"/>
  <c r="O1030" i="12" a="1"/>
  <c r="O1030" i="12" s="1"/>
  <c r="O1031" i="12" a="1"/>
  <c r="O1031" i="12" s="1"/>
  <c r="O1032" i="12" a="1"/>
  <c r="O1032" i="12" s="1"/>
  <c r="O1033" i="12" a="1"/>
  <c r="O1033" i="12" s="1"/>
  <c r="O1034" i="12" a="1"/>
  <c r="O1034" i="12" s="1"/>
  <c r="O1035" i="12" a="1"/>
  <c r="O1035" i="12" s="1"/>
  <c r="O1036" i="12" a="1"/>
  <c r="O1036" i="12" s="1"/>
  <c r="O1037" i="12" a="1"/>
  <c r="O1037" i="12" s="1"/>
  <c r="O1038" i="12" a="1"/>
  <c r="O1038" i="12" s="1"/>
  <c r="O1039" i="12" a="1"/>
  <c r="O1039" i="12" s="1"/>
  <c r="O1040" i="12" a="1"/>
  <c r="O1040" i="12" s="1"/>
  <c r="O1041" i="12" a="1"/>
  <c r="O1041" i="12" s="1"/>
  <c r="O1042" i="12" a="1"/>
  <c r="O1042" i="12" s="1"/>
  <c r="O1043" i="12" a="1"/>
  <c r="O1043" i="12" s="1"/>
  <c r="O1044" i="12" a="1"/>
  <c r="O1044" i="12" s="1"/>
  <c r="O1045" i="12" a="1"/>
  <c r="O1045" i="12" s="1"/>
  <c r="O1046" i="12" a="1"/>
  <c r="O1046" i="12" s="1"/>
  <c r="O1047" i="12" a="1"/>
  <c r="O1047" i="12" s="1"/>
  <c r="O1048" i="12" a="1"/>
  <c r="O1048" i="12" s="1"/>
  <c r="O1049" i="12" a="1"/>
  <c r="O1049" i="12" s="1"/>
  <c r="O1050" i="12" a="1"/>
  <c r="O1050" i="12" s="1"/>
  <c r="O1051" i="12" a="1"/>
  <c r="O1051" i="12" s="1"/>
  <c r="O1052" i="12" a="1"/>
  <c r="O1052" i="12" s="1"/>
  <c r="O1053" i="12" a="1"/>
  <c r="O1053" i="12" s="1"/>
  <c r="O1054" i="12" a="1"/>
  <c r="O1054" i="12" s="1"/>
  <c r="O1055" i="12" a="1"/>
  <c r="O1055" i="12" s="1"/>
  <c r="O1056" i="12" a="1"/>
  <c r="O1056" i="12" s="1"/>
  <c r="O1057" i="12" a="1"/>
  <c r="O1057" i="12" s="1"/>
  <c r="O1058" i="12" a="1"/>
  <c r="O1058" i="12" s="1"/>
  <c r="O1059" i="12" a="1"/>
  <c r="O1059" i="12" s="1"/>
  <c r="O1060" i="12" a="1"/>
  <c r="O1060" i="12" s="1"/>
  <c r="O1061" i="12" a="1"/>
  <c r="O1061" i="12" s="1"/>
  <c r="O1062" i="12" a="1"/>
  <c r="O1062" i="12" s="1"/>
  <c r="O1063" i="12" a="1"/>
  <c r="O1063" i="12" s="1"/>
  <c r="O1064" i="12" a="1"/>
  <c r="O1064" i="12" s="1"/>
  <c r="O1065" i="12" a="1"/>
  <c r="O1065" i="12" s="1"/>
  <c r="O1066" i="12" a="1"/>
  <c r="O1066" i="12" s="1"/>
  <c r="O1067" i="12" a="1"/>
  <c r="O1067" i="12" s="1"/>
  <c r="O1068" i="12" a="1"/>
  <c r="O1068" i="12" s="1"/>
  <c r="O1069" i="12" a="1"/>
  <c r="O1069" i="12" s="1"/>
  <c r="O1070" i="12" a="1"/>
  <c r="O1070" i="12" s="1"/>
  <c r="O1071" i="12" a="1"/>
  <c r="O1071" i="12" s="1"/>
  <c r="O1072" i="12" a="1"/>
  <c r="O1072" i="12" s="1"/>
  <c r="O1073" i="12" a="1"/>
  <c r="O1073" i="12" s="1"/>
  <c r="O1074" i="12" a="1"/>
  <c r="O1074" i="12" s="1"/>
  <c r="O1075" i="12" a="1"/>
  <c r="O1075" i="12" s="1"/>
  <c r="O1076" i="12" a="1"/>
  <c r="O1076" i="12" s="1"/>
  <c r="O1077" i="12" a="1"/>
  <c r="O1077" i="12" s="1"/>
  <c r="O1078" i="12" a="1"/>
  <c r="O1078" i="12" s="1"/>
  <c r="O1079" i="12" a="1"/>
  <c r="O1079" i="12" s="1"/>
  <c r="O1080" i="12" a="1"/>
  <c r="O1080" i="12" s="1"/>
  <c r="O1081" i="12" a="1"/>
  <c r="O1081" i="12" s="1"/>
  <c r="O830" i="12" a="1"/>
  <c r="O830" i="12" s="1"/>
  <c r="O831" i="12" a="1"/>
  <c r="O831" i="12" s="1"/>
  <c r="O832" i="12" a="1"/>
  <c r="O832" i="12" s="1"/>
  <c r="O833" i="12" a="1"/>
  <c r="O833" i="12" s="1"/>
  <c r="O834" i="12" a="1"/>
  <c r="O834" i="12" s="1"/>
  <c r="O835" i="12" a="1"/>
  <c r="O835" i="12" s="1"/>
  <c r="O836" i="12" a="1"/>
  <c r="O836" i="12" s="1"/>
  <c r="O837" i="12" a="1"/>
  <c r="O837" i="12" s="1"/>
  <c r="O838" i="12" a="1"/>
  <c r="O838" i="12" s="1"/>
  <c r="O839" i="12" a="1"/>
  <c r="O839" i="12" s="1"/>
  <c r="O840" i="12" a="1"/>
  <c r="O840" i="12" s="1"/>
  <c r="O841" i="12" a="1"/>
  <c r="O841" i="12" s="1"/>
  <c r="O842" i="12" a="1"/>
  <c r="O842" i="12" s="1"/>
  <c r="O843" i="12" a="1"/>
  <c r="O843" i="12" s="1"/>
  <c r="O844" i="12" a="1"/>
  <c r="O844" i="12" s="1"/>
  <c r="O845" i="12" a="1"/>
  <c r="O845" i="12" s="1"/>
  <c r="O846" i="12" a="1"/>
  <c r="O846" i="12" s="1"/>
  <c r="O847" i="12" a="1"/>
  <c r="O847" i="12" s="1"/>
  <c r="O758" i="12" a="1"/>
  <c r="O758" i="12" s="1"/>
  <c r="O759" i="12" a="1"/>
  <c r="O759" i="12" s="1"/>
  <c r="O760" i="12" a="1"/>
  <c r="O760" i="12" s="1"/>
  <c r="O761" i="12" a="1"/>
  <c r="O761" i="12" s="1"/>
  <c r="O762" i="12" a="1"/>
  <c r="O762" i="12" s="1"/>
  <c r="O763" i="12" a="1"/>
  <c r="O763" i="12" s="1"/>
  <c r="O764" i="12" a="1"/>
  <c r="O764" i="12" s="1"/>
  <c r="O765" i="12" a="1"/>
  <c r="O765" i="12" s="1"/>
  <c r="O766" i="12" a="1"/>
  <c r="O766" i="12" s="1"/>
  <c r="O767" i="12" a="1"/>
  <c r="O767" i="12" s="1"/>
  <c r="O768" i="12" a="1"/>
  <c r="O768" i="12" s="1"/>
  <c r="O769" i="12" a="1"/>
  <c r="O769" i="12" s="1"/>
  <c r="O770" i="12" a="1"/>
  <c r="O770" i="12" s="1"/>
  <c r="O771" i="12" a="1"/>
  <c r="O771" i="12" s="1"/>
  <c r="O772" i="12" a="1"/>
  <c r="O772" i="12" s="1"/>
  <c r="O773" i="12" a="1"/>
  <c r="O773" i="12" s="1"/>
  <c r="O774" i="12" a="1"/>
  <c r="O774" i="12" s="1"/>
  <c r="O775" i="12" a="1"/>
  <c r="O775" i="12" s="1"/>
  <c r="O776" i="12" a="1"/>
  <c r="O776" i="12" s="1"/>
  <c r="O777" i="12" a="1"/>
  <c r="O777" i="12" s="1"/>
  <c r="O778" i="12" a="1"/>
  <c r="O778" i="12" s="1"/>
  <c r="O779" i="12" a="1"/>
  <c r="O779" i="12" s="1"/>
  <c r="O780" i="12" a="1"/>
  <c r="O780" i="12" s="1"/>
  <c r="O781" i="12" a="1"/>
  <c r="O781" i="12" s="1"/>
  <c r="O782" i="12" a="1"/>
  <c r="O782" i="12" s="1"/>
  <c r="O783" i="12" a="1"/>
  <c r="O783" i="12" s="1"/>
  <c r="O784" i="12" a="1"/>
  <c r="O784" i="12" s="1"/>
  <c r="O785" i="12" a="1"/>
  <c r="O785" i="12" s="1"/>
  <c r="O786" i="12" a="1"/>
  <c r="O786" i="12" s="1"/>
  <c r="O787" i="12" a="1"/>
  <c r="O787" i="12" s="1"/>
  <c r="O788" i="12" a="1"/>
  <c r="O788" i="12" s="1"/>
  <c r="O789" i="12" a="1"/>
  <c r="O789" i="12" s="1"/>
  <c r="O790" i="12" a="1"/>
  <c r="O790" i="12" s="1"/>
  <c r="O791" i="12" a="1"/>
  <c r="O791" i="12" s="1"/>
  <c r="O792" i="12" a="1"/>
  <c r="O792" i="12" s="1"/>
  <c r="O793" i="12" a="1"/>
  <c r="O793" i="12" s="1"/>
  <c r="O794" i="12" a="1"/>
  <c r="O794" i="12" s="1"/>
  <c r="O795" i="12" a="1"/>
  <c r="O795" i="12" s="1"/>
  <c r="O796" i="12" a="1"/>
  <c r="O796" i="12" s="1"/>
  <c r="O797" i="12" a="1"/>
  <c r="O797" i="12" s="1"/>
  <c r="O798" i="12" a="1"/>
  <c r="O798" i="12" s="1"/>
  <c r="O799" i="12" a="1"/>
  <c r="O799" i="12" s="1"/>
  <c r="O800" i="12" a="1"/>
  <c r="O800" i="12" s="1"/>
  <c r="O801" i="12" a="1"/>
  <c r="O801" i="12" s="1"/>
  <c r="O802" i="12" a="1"/>
  <c r="O802" i="12" s="1"/>
  <c r="O803" i="12" a="1"/>
  <c r="O803" i="12" s="1"/>
  <c r="O804" i="12" a="1"/>
  <c r="O804" i="12" s="1"/>
  <c r="O805" i="12" a="1"/>
  <c r="O805" i="12" s="1"/>
  <c r="O806" i="12" a="1"/>
  <c r="O806" i="12" s="1"/>
  <c r="O807" i="12" a="1"/>
  <c r="O807" i="12" s="1"/>
  <c r="O808" i="12" a="1"/>
  <c r="O808" i="12" s="1"/>
  <c r="O809" i="12" a="1"/>
  <c r="O809" i="12" s="1"/>
  <c r="O810" i="12" a="1"/>
  <c r="O810" i="12" s="1"/>
  <c r="O811" i="12" a="1"/>
  <c r="O811" i="12" s="1"/>
  <c r="O812" i="12" a="1"/>
  <c r="O812" i="12" s="1"/>
  <c r="O813" i="12" a="1"/>
  <c r="O813" i="12" s="1"/>
  <c r="O814" i="12" a="1"/>
  <c r="O814" i="12" s="1"/>
  <c r="O815" i="12" a="1"/>
  <c r="O815" i="12" s="1"/>
  <c r="O816" i="12" a="1"/>
  <c r="O816" i="12" s="1"/>
  <c r="O817" i="12" a="1"/>
  <c r="O817" i="12" s="1"/>
  <c r="O818" i="12" a="1"/>
  <c r="O818" i="12" s="1"/>
  <c r="O819" i="12" a="1"/>
  <c r="O819" i="12" s="1"/>
  <c r="O820" i="12" a="1"/>
  <c r="O820" i="12" s="1"/>
  <c r="O821" i="12" a="1"/>
  <c r="O821" i="12" s="1"/>
  <c r="O822" i="12" a="1"/>
  <c r="O822" i="12" s="1"/>
  <c r="O823" i="12" a="1"/>
  <c r="O823" i="12" s="1"/>
  <c r="O824" i="12" a="1"/>
  <c r="O824" i="12" s="1"/>
  <c r="O825" i="12" a="1"/>
  <c r="O825" i="12" s="1"/>
  <c r="O826" i="12" a="1"/>
  <c r="O826" i="12" s="1"/>
  <c r="O827" i="12" a="1"/>
  <c r="O827" i="12" s="1"/>
  <c r="O828" i="12" a="1"/>
  <c r="O828" i="12" s="1"/>
  <c r="O829" i="12" a="1"/>
  <c r="O829" i="12" s="1"/>
  <c r="O2" i="12" a="1"/>
  <c r="O2" i="12" s="1"/>
  <c r="O3" i="12" a="1"/>
  <c r="O3" i="12" s="1"/>
  <c r="O4" i="12" a="1"/>
  <c r="O4" i="12" s="1"/>
  <c r="O5" i="12" a="1"/>
  <c r="O5" i="12" s="1"/>
  <c r="O6" i="12" a="1"/>
  <c r="O6" i="12" s="1"/>
  <c r="O7" i="12" a="1"/>
  <c r="O7" i="12" s="1"/>
  <c r="O8" i="12" a="1"/>
  <c r="O8" i="12" s="1"/>
  <c r="O9" i="12" a="1"/>
  <c r="O9" i="12" s="1"/>
  <c r="O10" i="12" a="1"/>
  <c r="O10" i="12" s="1"/>
  <c r="O11" i="12" a="1"/>
  <c r="O11" i="12" s="1"/>
  <c r="O12" i="12" a="1"/>
  <c r="O12" i="12" s="1"/>
  <c r="O13" i="12" a="1"/>
  <c r="O13" i="12" s="1"/>
  <c r="O14" i="12" a="1"/>
  <c r="O14" i="12" s="1"/>
  <c r="O15" i="12" a="1"/>
  <c r="O15" i="12" s="1"/>
  <c r="O16" i="12" a="1"/>
  <c r="O16" i="12" s="1"/>
  <c r="O17" i="12" a="1"/>
  <c r="O17" i="12" s="1"/>
  <c r="O18" i="12" a="1"/>
  <c r="O18" i="12" s="1"/>
  <c r="O19" i="12" a="1"/>
  <c r="O19" i="12" s="1"/>
  <c r="O20" i="12" a="1"/>
  <c r="O20" i="12" s="1"/>
  <c r="O21" i="12" a="1"/>
  <c r="O21" i="12" s="1"/>
  <c r="O22" i="12" a="1"/>
  <c r="O22" i="12" s="1"/>
  <c r="O23" i="12" a="1"/>
  <c r="O23" i="12" s="1"/>
  <c r="O24" i="12" a="1"/>
  <c r="O24" i="12" s="1"/>
  <c r="O25" i="12" a="1"/>
  <c r="O25" i="12" s="1"/>
  <c r="O26" i="12" a="1"/>
  <c r="O26" i="12" s="1"/>
  <c r="O27" i="12" a="1"/>
  <c r="O27" i="12" s="1"/>
  <c r="O28" i="12" a="1"/>
  <c r="O28" i="12" s="1"/>
  <c r="O29" i="12" a="1"/>
  <c r="O29" i="12" s="1"/>
  <c r="O30" i="12" a="1"/>
  <c r="O30" i="12" s="1"/>
  <c r="O31" i="12" a="1"/>
  <c r="O31" i="12" s="1"/>
  <c r="O32" i="12" a="1"/>
  <c r="O32" i="12" s="1"/>
  <c r="O33" i="12" a="1"/>
  <c r="O33" i="12" s="1"/>
  <c r="O34" i="12" a="1"/>
  <c r="O34" i="12" s="1"/>
  <c r="O35" i="12" a="1"/>
  <c r="O35" i="12" s="1"/>
  <c r="O36" i="12" a="1"/>
  <c r="O36" i="12" s="1"/>
  <c r="O37" i="12" a="1"/>
  <c r="O37" i="12" s="1"/>
  <c r="O38" i="12" a="1"/>
  <c r="O38" i="12" s="1"/>
  <c r="O39" i="12" a="1"/>
  <c r="O39" i="12" s="1"/>
  <c r="O40" i="12" a="1"/>
  <c r="O40" i="12" s="1"/>
  <c r="O41" i="12" a="1"/>
  <c r="O41" i="12" s="1"/>
  <c r="O42" i="12" a="1"/>
  <c r="O42" i="12" s="1"/>
  <c r="O43" i="12" a="1"/>
  <c r="O43" i="12" s="1"/>
  <c r="O44" i="12" a="1"/>
  <c r="O44" i="12" s="1"/>
  <c r="O45" i="12" a="1"/>
  <c r="O45" i="12" s="1"/>
  <c r="O46" i="12" a="1"/>
  <c r="O46" i="12" s="1"/>
  <c r="O47" i="12" a="1"/>
  <c r="O47" i="12" s="1"/>
  <c r="O48" i="12" a="1"/>
  <c r="O48" i="12" s="1"/>
  <c r="O49" i="12" a="1"/>
  <c r="O49" i="12" s="1"/>
  <c r="O50" i="12" a="1"/>
  <c r="O50" i="12" s="1"/>
  <c r="O51" i="12" a="1"/>
  <c r="O51" i="12" s="1"/>
  <c r="O52" i="12" a="1"/>
  <c r="O52" i="12" s="1"/>
  <c r="O53" i="12" a="1"/>
  <c r="O53" i="12" s="1"/>
  <c r="O54" i="12" a="1"/>
  <c r="O54" i="12" s="1"/>
  <c r="O55" i="12" a="1"/>
  <c r="O55" i="12" s="1"/>
  <c r="O56" i="12" a="1"/>
  <c r="O56" i="12" s="1"/>
  <c r="O57" i="12" a="1"/>
  <c r="O57" i="12" s="1"/>
  <c r="O58" i="12" a="1"/>
  <c r="O58" i="12" s="1"/>
  <c r="O59" i="12" a="1"/>
  <c r="O59" i="12" s="1"/>
  <c r="O60" i="12" a="1"/>
  <c r="O60" i="12" s="1"/>
  <c r="O61" i="12" a="1"/>
  <c r="O61" i="12" s="1"/>
  <c r="O62" i="12" a="1"/>
  <c r="O62" i="12" s="1"/>
  <c r="O63" i="12" a="1"/>
  <c r="O63" i="12" s="1"/>
  <c r="O64" i="12" a="1"/>
  <c r="O64" i="12" s="1"/>
  <c r="O65" i="12" a="1"/>
  <c r="O65" i="12" s="1"/>
  <c r="O66" i="12" a="1"/>
  <c r="O66" i="12" s="1"/>
  <c r="O67" i="12" a="1"/>
  <c r="O67" i="12" s="1"/>
  <c r="O68" i="12" a="1"/>
  <c r="O68" i="12" s="1"/>
  <c r="O69" i="12" a="1"/>
  <c r="O69" i="12" s="1"/>
  <c r="O70" i="12" a="1"/>
  <c r="O70" i="12" s="1"/>
  <c r="O71" i="12" a="1"/>
  <c r="O71" i="12" s="1"/>
  <c r="O72" i="12" a="1"/>
  <c r="O72" i="12" s="1"/>
  <c r="O73" i="12" a="1"/>
  <c r="O73" i="12" s="1"/>
  <c r="O74" i="12" a="1"/>
  <c r="O74" i="12" s="1"/>
  <c r="O75" i="12" a="1"/>
  <c r="O75" i="12" s="1"/>
  <c r="O76" i="12" a="1"/>
  <c r="O76" i="12" s="1"/>
  <c r="O77" i="12" a="1"/>
  <c r="O77" i="12" s="1"/>
  <c r="O78" i="12" a="1"/>
  <c r="O78" i="12" s="1"/>
  <c r="O79" i="12" a="1"/>
  <c r="O79" i="12" s="1"/>
  <c r="O80" i="12" a="1"/>
  <c r="O80" i="12" s="1"/>
  <c r="O81" i="12" a="1"/>
  <c r="O81" i="12" s="1"/>
  <c r="O82" i="12" a="1"/>
  <c r="O82" i="12" s="1"/>
  <c r="O83" i="12" a="1"/>
  <c r="O83" i="12" s="1"/>
  <c r="O84" i="12" a="1"/>
  <c r="O84" i="12" s="1"/>
  <c r="O85" i="12" a="1"/>
  <c r="O85" i="12" s="1"/>
  <c r="O86" i="12" a="1"/>
  <c r="O86" i="12" s="1"/>
  <c r="O87" i="12" a="1"/>
  <c r="O87" i="12" s="1"/>
  <c r="O88" i="12" a="1"/>
  <c r="O88" i="12" s="1"/>
  <c r="O89" i="12" a="1"/>
  <c r="O89" i="12" s="1"/>
  <c r="O90" i="12" a="1"/>
  <c r="O90" i="12" s="1"/>
  <c r="O91" i="12" a="1"/>
  <c r="O91" i="12" s="1"/>
  <c r="O92" i="12" a="1"/>
  <c r="O92" i="12" s="1"/>
  <c r="O93" i="12" a="1"/>
  <c r="O93" i="12" s="1"/>
  <c r="O94" i="12" a="1"/>
  <c r="O94" i="12" s="1"/>
  <c r="O95" i="12" a="1"/>
  <c r="O95" i="12" s="1"/>
  <c r="O96" i="12" a="1"/>
  <c r="O96" i="12" s="1"/>
  <c r="O97" i="12" a="1"/>
  <c r="O97" i="12" s="1"/>
  <c r="O98" i="12" a="1"/>
  <c r="O98" i="12" s="1"/>
  <c r="O99" i="12" a="1"/>
  <c r="O99" i="12" s="1"/>
  <c r="O100" i="12" a="1"/>
  <c r="O100" i="12" s="1"/>
  <c r="O101" i="12" a="1"/>
  <c r="O101" i="12" s="1"/>
  <c r="O102" i="12" a="1"/>
  <c r="O102" i="12" s="1"/>
  <c r="O103" i="12" a="1"/>
  <c r="O103" i="12" s="1"/>
  <c r="O104" i="12" a="1"/>
  <c r="O104" i="12" s="1"/>
  <c r="O105" i="12" a="1"/>
  <c r="O105" i="12" s="1"/>
  <c r="O106" i="12" a="1"/>
  <c r="O106" i="12" s="1"/>
  <c r="O107" i="12" a="1"/>
  <c r="O107" i="12" s="1"/>
  <c r="O108" i="12" a="1"/>
  <c r="O108" i="12" s="1"/>
  <c r="O109" i="12" a="1"/>
  <c r="O109" i="12" s="1"/>
  <c r="O110" i="12" a="1"/>
  <c r="O110" i="12" s="1"/>
  <c r="O111" i="12" a="1"/>
  <c r="O111" i="12" s="1"/>
  <c r="O112" i="12" a="1"/>
  <c r="O112" i="12" s="1"/>
  <c r="O113" i="12" a="1"/>
  <c r="O113" i="12" s="1"/>
  <c r="O114" i="12" a="1"/>
  <c r="O114" i="12" s="1"/>
  <c r="O115" i="12" a="1"/>
  <c r="O115" i="12" s="1"/>
  <c r="O116" i="12" a="1"/>
  <c r="O116" i="12" s="1"/>
  <c r="O117" i="12" a="1"/>
  <c r="O117" i="12" s="1"/>
  <c r="O118" i="12" a="1"/>
  <c r="O118" i="12" s="1"/>
  <c r="O119" i="12" a="1"/>
  <c r="O119" i="12" s="1"/>
  <c r="O120" i="12" a="1"/>
  <c r="O120" i="12" s="1"/>
  <c r="O121" i="12" a="1"/>
  <c r="O121" i="12" s="1"/>
  <c r="O122" i="12" a="1"/>
  <c r="O122" i="12" s="1"/>
  <c r="O123" i="12" a="1"/>
  <c r="O123" i="12" s="1"/>
  <c r="O124" i="12" a="1"/>
  <c r="O124" i="12" s="1"/>
  <c r="O125" i="12" a="1"/>
  <c r="O125" i="12" s="1"/>
  <c r="O126" i="12" a="1"/>
  <c r="O126" i="12" s="1"/>
  <c r="O127" i="12" a="1"/>
  <c r="O127" i="12" s="1"/>
  <c r="O128" i="12" a="1"/>
  <c r="O128" i="12" s="1"/>
  <c r="O129" i="12" a="1"/>
  <c r="O129" i="12" s="1"/>
  <c r="O130" i="12" a="1"/>
  <c r="O130" i="12" s="1"/>
  <c r="O131" i="12" a="1"/>
  <c r="O131" i="12" s="1"/>
  <c r="O132" i="12" a="1"/>
  <c r="O132" i="12" s="1"/>
  <c r="O133" i="12" a="1"/>
  <c r="O133" i="12" s="1"/>
  <c r="O134" i="12" a="1"/>
  <c r="O134" i="12" s="1"/>
  <c r="O135" i="12" a="1"/>
  <c r="O135" i="12" s="1"/>
  <c r="O136" i="12" a="1"/>
  <c r="O136" i="12" s="1"/>
  <c r="O137" i="12" a="1"/>
  <c r="O137" i="12" s="1"/>
  <c r="O138" i="12" a="1"/>
  <c r="O138" i="12" s="1"/>
  <c r="O139" i="12" a="1"/>
  <c r="O139" i="12" s="1"/>
  <c r="O140" i="12" a="1"/>
  <c r="O140" i="12" s="1"/>
  <c r="O141" i="12" a="1"/>
  <c r="O141" i="12" s="1"/>
  <c r="O142" i="12" a="1"/>
  <c r="O142" i="12" s="1"/>
  <c r="O143" i="12" a="1"/>
  <c r="O143" i="12" s="1"/>
  <c r="O144" i="12" a="1"/>
  <c r="O144" i="12" s="1"/>
  <c r="O145" i="12" a="1"/>
  <c r="O145" i="12" s="1"/>
  <c r="O146" i="12" a="1"/>
  <c r="O146" i="12" s="1"/>
  <c r="O147" i="12" a="1"/>
  <c r="O147" i="12" s="1"/>
  <c r="O148" i="12" a="1"/>
  <c r="O148" i="12" s="1"/>
  <c r="O149" i="12" a="1"/>
  <c r="O149" i="12" s="1"/>
  <c r="O150" i="12" a="1"/>
  <c r="O150" i="12" s="1"/>
  <c r="O151" i="12" a="1"/>
  <c r="O151" i="12" s="1"/>
  <c r="O152" i="12" a="1"/>
  <c r="O152" i="12" s="1"/>
  <c r="O153" i="12" a="1"/>
  <c r="O153" i="12" s="1"/>
  <c r="O154" i="12" a="1"/>
  <c r="O154" i="12" s="1"/>
  <c r="O155" i="12" a="1"/>
  <c r="O155" i="12" s="1"/>
  <c r="O156" i="12" a="1"/>
  <c r="O156" i="12" s="1"/>
  <c r="O157" i="12" a="1"/>
  <c r="O157" i="12" s="1"/>
  <c r="O158" i="12" a="1"/>
  <c r="O158" i="12" s="1"/>
  <c r="O159" i="12" a="1"/>
  <c r="O159" i="12" s="1"/>
  <c r="O160" i="12" a="1"/>
  <c r="O160" i="12" s="1"/>
  <c r="O161" i="12" a="1"/>
  <c r="O161" i="12" s="1"/>
  <c r="O162" i="12" a="1"/>
  <c r="O162" i="12" s="1"/>
  <c r="O163" i="12" a="1"/>
  <c r="O163" i="12" s="1"/>
  <c r="O164" i="12" a="1"/>
  <c r="O164" i="12" s="1"/>
  <c r="O165" i="12" a="1"/>
  <c r="O165" i="12" s="1"/>
  <c r="O166" i="12" a="1"/>
  <c r="O166" i="12" s="1"/>
  <c r="O167" i="12" a="1"/>
  <c r="O167" i="12" s="1"/>
  <c r="O168" i="12" a="1"/>
  <c r="O168" i="12" s="1"/>
  <c r="O169" i="12" a="1"/>
  <c r="O169" i="12" s="1"/>
  <c r="O170" i="12" a="1"/>
  <c r="O170" i="12" s="1"/>
  <c r="O171" i="12" a="1"/>
  <c r="O171" i="12" s="1"/>
  <c r="O172" i="12" a="1"/>
  <c r="O172" i="12" s="1"/>
  <c r="O173" i="12" a="1"/>
  <c r="O173" i="12" s="1"/>
  <c r="O174" i="12" a="1"/>
  <c r="O174" i="12" s="1"/>
  <c r="O175" i="12" a="1"/>
  <c r="O175" i="12" s="1"/>
  <c r="O176" i="12" a="1"/>
  <c r="O176" i="12" s="1"/>
  <c r="O177" i="12" a="1"/>
  <c r="O177" i="12" s="1"/>
  <c r="O178" i="12" a="1"/>
  <c r="O178" i="12" s="1"/>
  <c r="O179" i="12" a="1"/>
  <c r="O179" i="12" s="1"/>
  <c r="O180" i="12" a="1"/>
  <c r="O180" i="12" s="1"/>
  <c r="O181" i="12" a="1"/>
  <c r="O181" i="12" s="1"/>
  <c r="O182" i="12" a="1"/>
  <c r="O182" i="12" s="1"/>
  <c r="O183" i="12" a="1"/>
  <c r="O183" i="12" s="1"/>
  <c r="O184" i="12" a="1"/>
  <c r="O184" i="12" s="1"/>
  <c r="O185" i="12" a="1"/>
  <c r="O185" i="12" s="1"/>
  <c r="O186" i="12" a="1"/>
  <c r="O186" i="12" s="1"/>
  <c r="O187" i="12" a="1"/>
  <c r="O187" i="12" s="1"/>
  <c r="O188" i="12" a="1"/>
  <c r="O188" i="12" s="1"/>
  <c r="O189" i="12" a="1"/>
  <c r="O189" i="12" s="1"/>
  <c r="O190" i="12" a="1"/>
  <c r="O190" i="12" s="1"/>
  <c r="O191" i="12" a="1"/>
  <c r="O191" i="12" s="1"/>
  <c r="O192" i="12" a="1"/>
  <c r="O192" i="12" s="1"/>
  <c r="O193" i="12" a="1"/>
  <c r="O193" i="12" s="1"/>
  <c r="O194" i="12" a="1"/>
  <c r="O194" i="12" s="1"/>
  <c r="O195" i="12" a="1"/>
  <c r="O195" i="12" s="1"/>
  <c r="O196" i="12" a="1"/>
  <c r="O196" i="12" s="1"/>
  <c r="O197" i="12" a="1"/>
  <c r="O197" i="12" s="1"/>
  <c r="O198" i="12" a="1"/>
  <c r="O198" i="12" s="1"/>
  <c r="O199" i="12" a="1"/>
  <c r="O199" i="12" s="1"/>
  <c r="O200" i="12" a="1"/>
  <c r="O200" i="12" s="1"/>
  <c r="O201" i="12" a="1"/>
  <c r="O201" i="12" s="1"/>
  <c r="O202" i="12" a="1"/>
  <c r="O202" i="12" s="1"/>
  <c r="O203" i="12" a="1"/>
  <c r="O203" i="12" s="1"/>
  <c r="O204" i="12" a="1"/>
  <c r="O204" i="12" s="1"/>
  <c r="O205" i="12" a="1"/>
  <c r="O205" i="12" s="1"/>
  <c r="O206" i="12" a="1"/>
  <c r="O206" i="12" s="1"/>
  <c r="O207" i="12" a="1"/>
  <c r="O207" i="12" s="1"/>
  <c r="O208" i="12" a="1"/>
  <c r="O208" i="12" s="1"/>
  <c r="O209" i="12" a="1"/>
  <c r="O209" i="12" s="1"/>
  <c r="O210" i="12" a="1"/>
  <c r="O210" i="12" s="1"/>
  <c r="O211" i="12" a="1"/>
  <c r="O211" i="12" s="1"/>
  <c r="O212" i="12" a="1"/>
  <c r="O212" i="12" s="1"/>
  <c r="O213" i="12" a="1"/>
  <c r="O213" i="12" s="1"/>
  <c r="O214" i="12" a="1"/>
  <c r="O214" i="12" s="1"/>
  <c r="O215" i="12" a="1"/>
  <c r="O215" i="12" s="1"/>
  <c r="O216" i="12" a="1"/>
  <c r="O216" i="12" s="1"/>
  <c r="O217" i="12" a="1"/>
  <c r="O217" i="12" s="1"/>
  <c r="O218" i="12" a="1"/>
  <c r="O218" i="12" s="1"/>
  <c r="O219" i="12" a="1"/>
  <c r="O219" i="12" s="1"/>
  <c r="O220" i="12" a="1"/>
  <c r="O220" i="12" s="1"/>
  <c r="O221" i="12" a="1"/>
  <c r="O221" i="12" s="1"/>
  <c r="O222" i="12" a="1"/>
  <c r="O222" i="12" s="1"/>
  <c r="O223" i="12" a="1"/>
  <c r="O223" i="12" s="1"/>
  <c r="O224" i="12" a="1"/>
  <c r="O224" i="12" s="1"/>
  <c r="O225" i="12" a="1"/>
  <c r="O225" i="12" s="1"/>
  <c r="O226" i="12" a="1"/>
  <c r="O226" i="12" s="1"/>
  <c r="O227" i="12" a="1"/>
  <c r="O227" i="12" s="1"/>
  <c r="O228" i="12" a="1"/>
  <c r="O228" i="12" s="1"/>
  <c r="O229" i="12" a="1"/>
  <c r="O229" i="12" s="1"/>
  <c r="O230" i="12" a="1"/>
  <c r="O230" i="12" s="1"/>
  <c r="O231" i="12" a="1"/>
  <c r="O231" i="12" s="1"/>
  <c r="O232" i="12" a="1"/>
  <c r="O232" i="12" s="1"/>
  <c r="O233" i="12" a="1"/>
  <c r="O233" i="12" s="1"/>
  <c r="O234" i="12" a="1"/>
  <c r="O234" i="12" s="1"/>
  <c r="O235" i="12" a="1"/>
  <c r="O235" i="12" s="1"/>
  <c r="O236" i="12" a="1"/>
  <c r="O236" i="12" s="1"/>
  <c r="O237" i="12" a="1"/>
  <c r="O237" i="12" s="1"/>
  <c r="O238" i="12" a="1"/>
  <c r="O238" i="12" s="1"/>
  <c r="O239" i="12" a="1"/>
  <c r="O239" i="12" s="1"/>
  <c r="O240" i="12" a="1"/>
  <c r="O240" i="12" s="1"/>
  <c r="O241" i="12" a="1"/>
  <c r="O241" i="12" s="1"/>
  <c r="O242" i="12" a="1"/>
  <c r="O242" i="12" s="1"/>
  <c r="O243" i="12" a="1"/>
  <c r="O243" i="12" s="1"/>
  <c r="O244" i="12" a="1"/>
  <c r="O244" i="12" s="1"/>
  <c r="O245" i="12" a="1"/>
  <c r="O245" i="12" s="1"/>
  <c r="O246" i="12" a="1"/>
  <c r="O246" i="12" s="1"/>
  <c r="O247" i="12" a="1"/>
  <c r="O247" i="12" s="1"/>
  <c r="O248" i="12" a="1"/>
  <c r="O248" i="12" s="1"/>
  <c r="O249" i="12" a="1"/>
  <c r="O249" i="12" s="1"/>
  <c r="O250" i="12" a="1"/>
  <c r="O250" i="12" s="1"/>
  <c r="O251" i="12" a="1"/>
  <c r="O251" i="12" s="1"/>
  <c r="O252" i="12" a="1"/>
  <c r="O252" i="12" s="1"/>
  <c r="O253" i="12" a="1"/>
  <c r="O253" i="12" s="1"/>
  <c r="O254" i="12" a="1"/>
  <c r="O254" i="12" s="1"/>
  <c r="O255" i="12" a="1"/>
  <c r="O255" i="12" s="1"/>
  <c r="O256" i="12" a="1"/>
  <c r="O256" i="12" s="1"/>
  <c r="O257" i="12" a="1"/>
  <c r="O257" i="12" s="1"/>
  <c r="O258" i="12" a="1"/>
  <c r="O258" i="12" s="1"/>
  <c r="O259" i="12" a="1"/>
  <c r="O259" i="12" s="1"/>
  <c r="O260" i="12" a="1"/>
  <c r="O260" i="12" s="1"/>
  <c r="O261" i="12" a="1"/>
  <c r="O261" i="12" s="1"/>
  <c r="O262" i="12" a="1"/>
  <c r="O262" i="12" s="1"/>
  <c r="O263" i="12" a="1"/>
  <c r="O263" i="12" s="1"/>
  <c r="O264" i="12" a="1"/>
  <c r="O264" i="12" s="1"/>
  <c r="O265" i="12" a="1"/>
  <c r="O265" i="12" s="1"/>
  <c r="O266" i="12" a="1"/>
  <c r="O266" i="12" s="1"/>
  <c r="O267" i="12" a="1"/>
  <c r="O267" i="12" s="1"/>
  <c r="O268" i="12" a="1"/>
  <c r="O268" i="12" s="1"/>
  <c r="O269" i="12" a="1"/>
  <c r="O269" i="12" s="1"/>
  <c r="O270" i="12" a="1"/>
  <c r="O270" i="12" s="1"/>
  <c r="O271" i="12" a="1"/>
  <c r="O271" i="12" s="1"/>
  <c r="O272" i="12" a="1"/>
  <c r="O272" i="12" s="1"/>
  <c r="O273" i="12" a="1"/>
  <c r="O273" i="12" s="1"/>
  <c r="O274" i="12" a="1"/>
  <c r="O274" i="12" s="1"/>
  <c r="O275" i="12" a="1"/>
  <c r="O275" i="12" s="1"/>
  <c r="O276" i="12" a="1"/>
  <c r="O276" i="12" s="1"/>
  <c r="O277" i="12" a="1"/>
  <c r="O277" i="12" s="1"/>
  <c r="O278" i="12" a="1"/>
  <c r="O278" i="12" s="1"/>
  <c r="O279" i="12" a="1"/>
  <c r="O279" i="12" s="1"/>
  <c r="O280" i="12" a="1"/>
  <c r="O280" i="12" s="1"/>
  <c r="O281" i="12" a="1"/>
  <c r="O281" i="12" s="1"/>
  <c r="O282" i="12" a="1"/>
  <c r="O282" i="12" s="1"/>
  <c r="O283" i="12" a="1"/>
  <c r="O283" i="12" s="1"/>
  <c r="O284" i="12" a="1"/>
  <c r="O284" i="12" s="1"/>
  <c r="O285" i="12" a="1"/>
  <c r="O285" i="12" s="1"/>
  <c r="O286" i="12" a="1"/>
  <c r="O286" i="12" s="1"/>
  <c r="O287" i="12" a="1"/>
  <c r="O287" i="12" s="1"/>
  <c r="O288" i="12" a="1"/>
  <c r="O288" i="12" s="1"/>
  <c r="O289" i="12" a="1"/>
  <c r="O289" i="12" s="1"/>
  <c r="O290" i="12" a="1"/>
  <c r="O290" i="12" s="1"/>
  <c r="O291" i="12" a="1"/>
  <c r="O291" i="12" s="1"/>
  <c r="O292" i="12" a="1"/>
  <c r="O292" i="12" s="1"/>
  <c r="O293" i="12" a="1"/>
  <c r="O293" i="12" s="1"/>
  <c r="O294" i="12" a="1"/>
  <c r="O294" i="12" s="1"/>
  <c r="O295" i="12" a="1"/>
  <c r="O295" i="12" s="1"/>
  <c r="O296" i="12" a="1"/>
  <c r="O296" i="12" s="1"/>
  <c r="O297" i="12" a="1"/>
  <c r="O297" i="12" s="1"/>
  <c r="O298" i="12" a="1"/>
  <c r="O298" i="12" s="1"/>
  <c r="O299" i="12" a="1"/>
  <c r="O299" i="12" s="1"/>
  <c r="O300" i="12" a="1"/>
  <c r="O300" i="12" s="1"/>
  <c r="O301" i="12" a="1"/>
  <c r="O301" i="12" s="1"/>
  <c r="O302" i="12" a="1"/>
  <c r="O302" i="12" s="1"/>
  <c r="O303" i="12" a="1"/>
  <c r="O303" i="12" s="1"/>
  <c r="O304" i="12" a="1"/>
  <c r="O304" i="12" s="1"/>
  <c r="O305" i="12" a="1"/>
  <c r="O305" i="12" s="1"/>
  <c r="O306" i="12" a="1"/>
  <c r="O306" i="12" s="1"/>
  <c r="O307" i="12" a="1"/>
  <c r="O307" i="12" s="1"/>
  <c r="O308" i="12" a="1"/>
  <c r="O308" i="12" s="1"/>
  <c r="O309" i="12" a="1"/>
  <c r="O309" i="12" s="1"/>
  <c r="O310" i="12" a="1"/>
  <c r="O310" i="12" s="1"/>
  <c r="O311" i="12" a="1"/>
  <c r="O311" i="12" s="1"/>
  <c r="O312" i="12" a="1"/>
  <c r="O312" i="12" s="1"/>
  <c r="O313" i="12" a="1"/>
  <c r="O313" i="12" s="1"/>
  <c r="O314" i="12" a="1"/>
  <c r="O314" i="12" s="1"/>
  <c r="O315" i="12" a="1"/>
  <c r="O315" i="12" s="1"/>
  <c r="O316" i="12" a="1"/>
  <c r="O316" i="12" s="1"/>
  <c r="O317" i="12" a="1"/>
  <c r="O317" i="12" s="1"/>
  <c r="O318" i="12" a="1"/>
  <c r="O318" i="12" s="1"/>
  <c r="O319" i="12" a="1"/>
  <c r="O319" i="12" s="1"/>
  <c r="O320" i="12" a="1"/>
  <c r="O320" i="12" s="1"/>
  <c r="O321" i="12" a="1"/>
  <c r="O321" i="12" s="1"/>
  <c r="O322" i="12" a="1"/>
  <c r="O322" i="12" s="1"/>
  <c r="O323" i="12" a="1"/>
  <c r="O323" i="12" s="1"/>
  <c r="O324" i="12" a="1"/>
  <c r="O324" i="12" s="1"/>
  <c r="O325" i="12" a="1"/>
  <c r="O325" i="12" s="1"/>
  <c r="O326" i="12" a="1"/>
  <c r="O326" i="12" s="1"/>
  <c r="O327" i="12" a="1"/>
  <c r="O327" i="12" s="1"/>
  <c r="O328" i="12" a="1"/>
  <c r="O328" i="12" s="1"/>
  <c r="O329" i="12" a="1"/>
  <c r="O329" i="12" s="1"/>
  <c r="O330" i="12" a="1"/>
  <c r="O330" i="12" s="1"/>
  <c r="O331" i="12" a="1"/>
  <c r="O331" i="12" s="1"/>
  <c r="O332" i="12" a="1"/>
  <c r="O332" i="12" s="1"/>
  <c r="O333" i="12" a="1"/>
  <c r="O333" i="12" s="1"/>
  <c r="O334" i="12" a="1"/>
  <c r="O334" i="12" s="1"/>
  <c r="O335" i="12" a="1"/>
  <c r="O335" i="12" s="1"/>
  <c r="O336" i="12" a="1"/>
  <c r="O336" i="12" s="1"/>
  <c r="O337" i="12" a="1"/>
  <c r="O337" i="12" s="1"/>
  <c r="O338" i="12" a="1"/>
  <c r="O338" i="12" s="1"/>
  <c r="O339" i="12" a="1"/>
  <c r="O339" i="12" s="1"/>
  <c r="O340" i="12" a="1"/>
  <c r="O340" i="12" s="1"/>
  <c r="O341" i="12" a="1"/>
  <c r="O341" i="12" s="1"/>
  <c r="O342" i="12" a="1"/>
  <c r="O342" i="12" s="1"/>
  <c r="O343" i="12" a="1"/>
  <c r="O343" i="12" s="1"/>
  <c r="O344" i="12" a="1"/>
  <c r="O344" i="12" s="1"/>
  <c r="O345" i="12" a="1"/>
  <c r="O345" i="12" s="1"/>
  <c r="O346" i="12" a="1"/>
  <c r="O346" i="12" s="1"/>
  <c r="O347" i="12" a="1"/>
  <c r="O347" i="12" s="1"/>
  <c r="O348" i="12" a="1"/>
  <c r="O348" i="12" s="1"/>
  <c r="O349" i="12" a="1"/>
  <c r="O349" i="12" s="1"/>
  <c r="O350" i="12" a="1"/>
  <c r="O350" i="12" s="1"/>
  <c r="O351" i="12" a="1"/>
  <c r="O351" i="12" s="1"/>
  <c r="O352" i="12" a="1"/>
  <c r="O352" i="12" s="1"/>
  <c r="O353" i="12" a="1"/>
  <c r="O353" i="12" s="1"/>
  <c r="O354" i="12" a="1"/>
  <c r="O354" i="12" s="1"/>
  <c r="O355" i="12" a="1"/>
  <c r="O355" i="12" s="1"/>
  <c r="O356" i="12" a="1"/>
  <c r="O356" i="12" s="1"/>
  <c r="O357" i="12" a="1"/>
  <c r="O357" i="12" s="1"/>
  <c r="O358" i="12" a="1"/>
  <c r="O358" i="12" s="1"/>
  <c r="O359" i="12" a="1"/>
  <c r="O359" i="12" s="1"/>
  <c r="O360" i="12" a="1"/>
  <c r="O360" i="12" s="1"/>
  <c r="O361" i="12" a="1"/>
  <c r="O361" i="12" s="1"/>
  <c r="O362" i="12" a="1"/>
  <c r="O362" i="12" s="1"/>
  <c r="O363" i="12" a="1"/>
  <c r="O363" i="12" s="1"/>
  <c r="O364" i="12" a="1"/>
  <c r="O364" i="12" s="1"/>
  <c r="O365" i="12" a="1"/>
  <c r="O365" i="12" s="1"/>
  <c r="O366" i="12" a="1"/>
  <c r="O366" i="12" s="1"/>
  <c r="O367" i="12" a="1"/>
  <c r="O367" i="12" s="1"/>
  <c r="O368" i="12" a="1"/>
  <c r="O368" i="12" s="1"/>
  <c r="O369" i="12" a="1"/>
  <c r="O369" i="12" s="1"/>
  <c r="O370" i="12" a="1"/>
  <c r="O370" i="12" s="1"/>
  <c r="O371" i="12" a="1"/>
  <c r="O371" i="12" s="1"/>
  <c r="O372" i="12" a="1"/>
  <c r="O372" i="12" s="1"/>
  <c r="O373" i="12" a="1"/>
  <c r="O373" i="12" s="1"/>
  <c r="O374" i="12" a="1"/>
  <c r="O374" i="12" s="1"/>
  <c r="O375" i="12" a="1"/>
  <c r="O375" i="12" s="1"/>
  <c r="O376" i="12" a="1"/>
  <c r="O376" i="12" s="1"/>
  <c r="O377" i="12" a="1"/>
  <c r="O377" i="12" s="1"/>
  <c r="O378" i="12" a="1"/>
  <c r="O378" i="12" s="1"/>
  <c r="O379" i="12" a="1"/>
  <c r="O379" i="12" s="1"/>
  <c r="O380" i="12" a="1"/>
  <c r="O380" i="12" s="1"/>
  <c r="O381" i="12" a="1"/>
  <c r="O381" i="12" s="1"/>
  <c r="O382" i="12" a="1"/>
  <c r="O382" i="12" s="1"/>
  <c r="O383" i="12" a="1"/>
  <c r="O383" i="12" s="1"/>
  <c r="O384" i="12" a="1"/>
  <c r="O384" i="12" s="1"/>
  <c r="O385" i="12" a="1"/>
  <c r="O385" i="12" s="1"/>
  <c r="O386" i="12" a="1"/>
  <c r="O386" i="12" s="1"/>
  <c r="O387" i="12" a="1"/>
  <c r="O387" i="12" s="1"/>
  <c r="O388" i="12" a="1"/>
  <c r="O388" i="12" s="1"/>
  <c r="O389" i="12" a="1"/>
  <c r="O389" i="12" s="1"/>
  <c r="O390" i="12" a="1"/>
  <c r="O390" i="12" s="1"/>
  <c r="O391" i="12" a="1"/>
  <c r="O391" i="12" s="1"/>
  <c r="O392" i="12" a="1"/>
  <c r="O392" i="12" s="1"/>
  <c r="O393" i="12" a="1"/>
  <c r="O393" i="12" s="1"/>
  <c r="O394" i="12" a="1"/>
  <c r="O394" i="12" s="1"/>
  <c r="O395" i="12" a="1"/>
  <c r="O395" i="12" s="1"/>
  <c r="O396" i="12" a="1"/>
  <c r="O396" i="12" s="1"/>
  <c r="O397" i="12" a="1"/>
  <c r="O397" i="12" s="1"/>
  <c r="O398" i="12" a="1"/>
  <c r="O398" i="12" s="1"/>
  <c r="O399" i="12" a="1"/>
  <c r="O399" i="12" s="1"/>
  <c r="O400" i="12" a="1"/>
  <c r="O400" i="12" s="1"/>
  <c r="O401" i="12" a="1"/>
  <c r="O401" i="12" s="1"/>
  <c r="O402" i="12" a="1"/>
  <c r="O402" i="12" s="1"/>
  <c r="O403" i="12" a="1"/>
  <c r="O403" i="12" s="1"/>
  <c r="O404" i="12" a="1"/>
  <c r="O404" i="12" s="1"/>
  <c r="O405" i="12" a="1"/>
  <c r="O405" i="12" s="1"/>
  <c r="O406" i="12" a="1"/>
  <c r="O406" i="12" s="1"/>
  <c r="O407" i="12" a="1"/>
  <c r="O407" i="12" s="1"/>
  <c r="O408" i="12" a="1"/>
  <c r="O408" i="12" s="1"/>
  <c r="O409" i="12" a="1"/>
  <c r="O409" i="12" s="1"/>
  <c r="O410" i="12" a="1"/>
  <c r="O410" i="12" s="1"/>
  <c r="O411" i="12" a="1"/>
  <c r="O411" i="12" s="1"/>
  <c r="O412" i="12" a="1"/>
  <c r="O412" i="12" s="1"/>
  <c r="O413" i="12" a="1"/>
  <c r="O413" i="12" s="1"/>
  <c r="O414" i="12" a="1"/>
  <c r="O414" i="12" s="1"/>
  <c r="O415" i="12" a="1"/>
  <c r="O415" i="12" s="1"/>
  <c r="O416" i="12" a="1"/>
  <c r="O416" i="12" s="1"/>
  <c r="O417" i="12" a="1"/>
  <c r="O417" i="12" s="1"/>
  <c r="O418" i="12" a="1"/>
  <c r="O418" i="12" s="1"/>
  <c r="O419" i="12" a="1"/>
  <c r="O419" i="12" s="1"/>
  <c r="O420" i="12" a="1"/>
  <c r="O420" i="12" s="1"/>
  <c r="O421" i="12" a="1"/>
  <c r="O421" i="12" s="1"/>
  <c r="O422" i="12" a="1"/>
  <c r="O422" i="12" s="1"/>
  <c r="O423" i="12" a="1"/>
  <c r="O423" i="12" s="1"/>
  <c r="O424" i="12" a="1"/>
  <c r="O424" i="12" s="1"/>
  <c r="O425" i="12" a="1"/>
  <c r="O425" i="12" s="1"/>
  <c r="O426" i="12" a="1"/>
  <c r="O426" i="12" s="1"/>
  <c r="O427" i="12" a="1"/>
  <c r="O427" i="12" s="1"/>
  <c r="O428" i="12" a="1"/>
  <c r="O428" i="12" s="1"/>
  <c r="O429" i="12" a="1"/>
  <c r="O429" i="12" s="1"/>
  <c r="O430" i="12" a="1"/>
  <c r="O430" i="12" s="1"/>
  <c r="O431" i="12" a="1"/>
  <c r="O431" i="12" s="1"/>
  <c r="O432" i="12" a="1"/>
  <c r="O432" i="12" s="1"/>
  <c r="O433" i="12" a="1"/>
  <c r="O433" i="12" s="1"/>
  <c r="O434" i="12" a="1"/>
  <c r="O434" i="12" s="1"/>
  <c r="O435" i="12" a="1"/>
  <c r="O435" i="12" s="1"/>
  <c r="O436" i="12" a="1"/>
  <c r="O436" i="12" s="1"/>
  <c r="O437" i="12" a="1"/>
  <c r="O437" i="12" s="1"/>
  <c r="O438" i="12" a="1"/>
  <c r="O438" i="12" s="1"/>
  <c r="O439" i="12" a="1"/>
  <c r="O439" i="12" s="1"/>
  <c r="O440" i="12" a="1"/>
  <c r="O440" i="12" s="1"/>
  <c r="O441" i="12" a="1"/>
  <c r="O441" i="12" s="1"/>
  <c r="O442" i="12" a="1"/>
  <c r="O442" i="12" s="1"/>
  <c r="O443" i="12" a="1"/>
  <c r="O443" i="12" s="1"/>
  <c r="O444" i="12" a="1"/>
  <c r="O444" i="12" s="1"/>
  <c r="O445" i="12" a="1"/>
  <c r="O445" i="12" s="1"/>
  <c r="O446" i="12" a="1"/>
  <c r="O446" i="12" s="1"/>
  <c r="O447" i="12" a="1"/>
  <c r="O447" i="12" s="1"/>
  <c r="O448" i="12" a="1"/>
  <c r="O448" i="12" s="1"/>
  <c r="O449" i="12" a="1"/>
  <c r="O449" i="12" s="1"/>
  <c r="O450" i="12" a="1"/>
  <c r="O450" i="12" s="1"/>
  <c r="O451" i="12" a="1"/>
  <c r="O451" i="12" s="1"/>
  <c r="O452" i="12" a="1"/>
  <c r="O452" i="12" s="1"/>
  <c r="O453" i="12" a="1"/>
  <c r="O453" i="12" s="1"/>
  <c r="O454" i="12" a="1"/>
  <c r="O454" i="12" s="1"/>
  <c r="O455" i="12" a="1"/>
  <c r="O455" i="12" s="1"/>
  <c r="O456" i="12" a="1"/>
  <c r="O456" i="12" s="1"/>
  <c r="O457" i="12" a="1"/>
  <c r="O457" i="12" s="1"/>
  <c r="O458" i="12" a="1"/>
  <c r="O458" i="12" s="1"/>
  <c r="O459" i="12" a="1"/>
  <c r="O459" i="12" s="1"/>
  <c r="O460" i="12" a="1"/>
  <c r="O460" i="12" s="1"/>
  <c r="O461" i="12" a="1"/>
  <c r="O461" i="12" s="1"/>
  <c r="O462" i="12" a="1"/>
  <c r="O462" i="12" s="1"/>
  <c r="O463" i="12" a="1"/>
  <c r="O463" i="12" s="1"/>
  <c r="O464" i="12" a="1"/>
  <c r="O464" i="12" s="1"/>
  <c r="O465" i="12" a="1"/>
  <c r="O465" i="12" s="1"/>
  <c r="O466" i="12" a="1"/>
  <c r="O466" i="12" s="1"/>
  <c r="O467" i="12" a="1"/>
  <c r="O467" i="12" s="1"/>
  <c r="O468" i="12" a="1"/>
  <c r="O468" i="12" s="1"/>
  <c r="O469" i="12" a="1"/>
  <c r="O469" i="12" s="1"/>
  <c r="O470" i="12" a="1"/>
  <c r="O470" i="12" s="1"/>
  <c r="O471" i="12" a="1"/>
  <c r="O471" i="12" s="1"/>
  <c r="O472" i="12" a="1"/>
  <c r="O472" i="12" s="1"/>
  <c r="O473" i="12" a="1"/>
  <c r="O473" i="12" s="1"/>
  <c r="O474" i="12" a="1"/>
  <c r="O474" i="12" s="1"/>
  <c r="O475" i="12" a="1"/>
  <c r="O475" i="12" s="1"/>
  <c r="O476" i="12" a="1"/>
  <c r="O476" i="12" s="1"/>
  <c r="O477" i="12" a="1"/>
  <c r="O477" i="12" s="1"/>
  <c r="O478" i="12" a="1"/>
  <c r="O478" i="12" s="1"/>
  <c r="O479" i="12" a="1"/>
  <c r="O479" i="12" s="1"/>
  <c r="O480" i="12" a="1"/>
  <c r="O480" i="12" s="1"/>
  <c r="O481" i="12" a="1"/>
  <c r="O481" i="12" s="1"/>
  <c r="O482" i="12" a="1"/>
  <c r="O482" i="12" s="1"/>
  <c r="O483" i="12" a="1"/>
  <c r="O483" i="12" s="1"/>
  <c r="O484" i="12" a="1"/>
  <c r="O484" i="12" s="1"/>
  <c r="O485" i="12" a="1"/>
  <c r="O485" i="12" s="1"/>
  <c r="O486" i="12" a="1"/>
  <c r="O486" i="12" s="1"/>
  <c r="O487" i="12" a="1"/>
  <c r="O487" i="12" s="1"/>
  <c r="O488" i="12" a="1"/>
  <c r="O488" i="12" s="1"/>
  <c r="O489" i="12" a="1"/>
  <c r="O489" i="12" s="1"/>
  <c r="O490" i="12" a="1"/>
  <c r="O490" i="12" s="1"/>
  <c r="O491" i="12" a="1"/>
  <c r="O491" i="12" s="1"/>
  <c r="O492" i="12" a="1"/>
  <c r="O492" i="12" s="1"/>
  <c r="O493" i="12" a="1"/>
  <c r="O493" i="12" s="1"/>
  <c r="O494" i="12" a="1"/>
  <c r="O494" i="12" s="1"/>
  <c r="O495" i="12" a="1"/>
  <c r="O495" i="12" s="1"/>
  <c r="O496" i="12" a="1"/>
  <c r="O496" i="12" s="1"/>
  <c r="O497" i="12" a="1"/>
  <c r="O497" i="12" s="1"/>
  <c r="O498" i="12" a="1"/>
  <c r="O498" i="12" s="1"/>
  <c r="O499" i="12" a="1"/>
  <c r="O499" i="12" s="1"/>
  <c r="O500" i="12" a="1"/>
  <c r="O500" i="12" s="1"/>
  <c r="O501" i="12" a="1"/>
  <c r="O501" i="12" s="1"/>
  <c r="O502" i="12" a="1"/>
  <c r="O502" i="12" s="1"/>
  <c r="O503" i="12" a="1"/>
  <c r="O503" i="12" s="1"/>
  <c r="O504" i="12" a="1"/>
  <c r="O504" i="12" s="1"/>
  <c r="O505" i="12" a="1"/>
  <c r="O505" i="12" s="1"/>
  <c r="O506" i="12" a="1"/>
  <c r="O506" i="12" s="1"/>
  <c r="O507" i="12" a="1"/>
  <c r="O507" i="12" s="1"/>
  <c r="O508" i="12" a="1"/>
  <c r="O508" i="12" s="1"/>
  <c r="O509" i="12" a="1"/>
  <c r="O509" i="12" s="1"/>
  <c r="O510" i="12" a="1"/>
  <c r="O510" i="12" s="1"/>
  <c r="O511" i="12" a="1"/>
  <c r="O511" i="12" s="1"/>
  <c r="O512" i="12" a="1"/>
  <c r="O512" i="12" s="1"/>
  <c r="O513" i="12" a="1"/>
  <c r="O513" i="12" s="1"/>
  <c r="O514" i="12" a="1"/>
  <c r="O514" i="12" s="1"/>
  <c r="O515" i="12" a="1"/>
  <c r="O515" i="12" s="1"/>
  <c r="O516" i="12" a="1"/>
  <c r="O516" i="12" s="1"/>
  <c r="O517" i="12" a="1"/>
  <c r="O517" i="12" s="1"/>
  <c r="O518" i="12" a="1"/>
  <c r="O518" i="12" s="1"/>
  <c r="O519" i="12" a="1"/>
  <c r="O519" i="12" s="1"/>
  <c r="O520" i="12" a="1"/>
  <c r="O520" i="12" s="1"/>
  <c r="O521" i="12" a="1"/>
  <c r="O521" i="12" s="1"/>
  <c r="O522" i="12" a="1"/>
  <c r="O522" i="12" s="1"/>
  <c r="O523" i="12" a="1"/>
  <c r="O523" i="12" s="1"/>
  <c r="O524" i="12" a="1"/>
  <c r="O524" i="12" s="1"/>
  <c r="O525" i="12" a="1"/>
  <c r="O525" i="12" s="1"/>
  <c r="O526" i="12" a="1"/>
  <c r="O526" i="12" s="1"/>
  <c r="O527" i="12" a="1"/>
  <c r="O527" i="12" s="1"/>
  <c r="O528" i="12" a="1"/>
  <c r="O528" i="12" s="1"/>
  <c r="O529" i="12" a="1"/>
  <c r="O529" i="12" s="1"/>
  <c r="O530" i="12" a="1"/>
  <c r="O530" i="12" s="1"/>
  <c r="O531" i="12" a="1"/>
  <c r="O531" i="12" s="1"/>
  <c r="O532" i="12" a="1"/>
  <c r="O532" i="12" s="1"/>
  <c r="O533" i="12" a="1"/>
  <c r="O533" i="12" s="1"/>
  <c r="O534" i="12" a="1"/>
  <c r="O534" i="12" s="1"/>
  <c r="O535" i="12" a="1"/>
  <c r="O535" i="12" s="1"/>
  <c r="O536" i="12" a="1"/>
  <c r="O536" i="12" s="1"/>
  <c r="O537" i="12" a="1"/>
  <c r="O537" i="12" s="1"/>
  <c r="O538" i="12" a="1"/>
  <c r="O538" i="12" s="1"/>
  <c r="O539" i="12" a="1"/>
  <c r="O539" i="12" s="1"/>
  <c r="O540" i="12" a="1"/>
  <c r="O540" i="12" s="1"/>
  <c r="O541" i="12" a="1"/>
  <c r="O541" i="12" s="1"/>
  <c r="O542" i="12" a="1"/>
  <c r="O542" i="12" s="1"/>
  <c r="O543" i="12" a="1"/>
  <c r="O543" i="12" s="1"/>
  <c r="O544" i="12" a="1"/>
  <c r="O544" i="12" s="1"/>
  <c r="O545" i="12" a="1"/>
  <c r="O545" i="12" s="1"/>
  <c r="O546" i="12" a="1"/>
  <c r="O546" i="12" s="1"/>
  <c r="O547" i="12" a="1"/>
  <c r="O547" i="12" s="1"/>
  <c r="O548" i="12" a="1"/>
  <c r="O548" i="12" s="1"/>
  <c r="O549" i="12" a="1"/>
  <c r="O549" i="12" s="1"/>
  <c r="O550" i="12" a="1"/>
  <c r="O550" i="12" s="1"/>
  <c r="O551" i="12" a="1"/>
  <c r="O551" i="12" s="1"/>
  <c r="O552" i="12" a="1"/>
  <c r="O552" i="12" s="1"/>
  <c r="O553" i="12" a="1"/>
  <c r="O553" i="12" s="1"/>
  <c r="O554" i="12" a="1"/>
  <c r="O554" i="12" s="1"/>
  <c r="O555" i="12" a="1"/>
  <c r="O555" i="12" s="1"/>
  <c r="O556" i="12" a="1"/>
  <c r="O556" i="12" s="1"/>
  <c r="O557" i="12" a="1"/>
  <c r="O557" i="12" s="1"/>
  <c r="O558" i="12" a="1"/>
  <c r="O558" i="12" s="1"/>
  <c r="O559" i="12" a="1"/>
  <c r="O559" i="12" s="1"/>
  <c r="O560" i="12" a="1"/>
  <c r="O560" i="12" s="1"/>
  <c r="O561" i="12" a="1"/>
  <c r="O561" i="12" s="1"/>
  <c r="O562" i="12" a="1"/>
  <c r="O562" i="12" s="1"/>
  <c r="O563" i="12" a="1"/>
  <c r="O563" i="12" s="1"/>
  <c r="O564" i="12" a="1"/>
  <c r="O564" i="12" s="1"/>
  <c r="O565" i="12" a="1"/>
  <c r="O565" i="12" s="1"/>
  <c r="O566" i="12" a="1"/>
  <c r="O566" i="12" s="1"/>
  <c r="O567" i="12" a="1"/>
  <c r="O567" i="12" s="1"/>
  <c r="O568" i="12" a="1"/>
  <c r="O568" i="12" s="1"/>
  <c r="O569" i="12" a="1"/>
  <c r="O569" i="12" s="1"/>
  <c r="O570" i="12" a="1"/>
  <c r="O570" i="12" s="1"/>
  <c r="O571" i="12" a="1"/>
  <c r="O571" i="12" s="1"/>
  <c r="O572" i="12" a="1"/>
  <c r="O572" i="12" s="1"/>
  <c r="O573" i="12" a="1"/>
  <c r="O573" i="12" s="1"/>
  <c r="O574" i="12" a="1"/>
  <c r="O574" i="12" s="1"/>
  <c r="O575" i="12" a="1"/>
  <c r="O575" i="12" s="1"/>
  <c r="O576" i="12" a="1"/>
  <c r="O576" i="12" s="1"/>
  <c r="O577" i="12" a="1"/>
  <c r="O577" i="12" s="1"/>
  <c r="O578" i="12" a="1"/>
  <c r="O578" i="12" s="1"/>
  <c r="O579" i="12" a="1"/>
  <c r="O579" i="12" s="1"/>
  <c r="O580" i="12" a="1"/>
  <c r="O580" i="12" s="1"/>
  <c r="O581" i="12" a="1"/>
  <c r="O581" i="12" s="1"/>
  <c r="O582" i="12" a="1"/>
  <c r="O582" i="12" s="1"/>
  <c r="O583" i="12" a="1"/>
  <c r="O583" i="12" s="1"/>
  <c r="O584" i="12" a="1"/>
  <c r="O584" i="12" s="1"/>
  <c r="O585" i="12" a="1"/>
  <c r="O585" i="12" s="1"/>
  <c r="O586" i="12" a="1"/>
  <c r="O586" i="12" s="1"/>
  <c r="O587" i="12" a="1"/>
  <c r="O587" i="12" s="1"/>
  <c r="O588" i="12" a="1"/>
  <c r="O588" i="12" s="1"/>
  <c r="O589" i="12" a="1"/>
  <c r="O589" i="12" s="1"/>
  <c r="O590" i="12" a="1"/>
  <c r="O590" i="12" s="1"/>
  <c r="O591" i="12" a="1"/>
  <c r="O591" i="12" s="1"/>
  <c r="O592" i="12" a="1"/>
  <c r="O592" i="12" s="1"/>
  <c r="O593" i="12" a="1"/>
  <c r="O593" i="12" s="1"/>
  <c r="O594" i="12" a="1"/>
  <c r="O594" i="12" s="1"/>
  <c r="O595" i="12" a="1"/>
  <c r="O595" i="12" s="1"/>
  <c r="O596" i="12" a="1"/>
  <c r="O596" i="12" s="1"/>
  <c r="O597" i="12" a="1"/>
  <c r="O597" i="12" s="1"/>
  <c r="O598" i="12" a="1"/>
  <c r="O598" i="12" s="1"/>
  <c r="O599" i="12" a="1"/>
  <c r="O599" i="12" s="1"/>
  <c r="O600" i="12" a="1"/>
  <c r="O600" i="12" s="1"/>
  <c r="O601" i="12" a="1"/>
  <c r="O601" i="12" s="1"/>
  <c r="O602" i="12" a="1"/>
  <c r="O602" i="12" s="1"/>
  <c r="O603" i="12" a="1"/>
  <c r="O603" i="12" s="1"/>
  <c r="O604" i="12" a="1"/>
  <c r="O604" i="12" s="1"/>
  <c r="O605" i="12" a="1"/>
  <c r="O605" i="12" s="1"/>
  <c r="O606" i="12" a="1"/>
  <c r="O606" i="12" s="1"/>
  <c r="O607" i="12" a="1"/>
  <c r="O607" i="12" s="1"/>
  <c r="O608" i="12" a="1"/>
  <c r="O608" i="12" s="1"/>
  <c r="O609" i="12" a="1"/>
  <c r="O609" i="12" s="1"/>
  <c r="O610" i="12" a="1"/>
  <c r="O610" i="12" s="1"/>
  <c r="O611" i="12" a="1"/>
  <c r="O611" i="12" s="1"/>
  <c r="O612" i="12" a="1"/>
  <c r="O612" i="12" s="1"/>
  <c r="O613" i="12" a="1"/>
  <c r="O613" i="12" s="1"/>
  <c r="O614" i="12" a="1"/>
  <c r="O614" i="12" s="1"/>
  <c r="O615" i="12" a="1"/>
  <c r="O615" i="12" s="1"/>
  <c r="O616" i="12" a="1"/>
  <c r="O616" i="12" s="1"/>
  <c r="O617" i="12" a="1"/>
  <c r="O617" i="12" s="1"/>
  <c r="O618" i="12" a="1"/>
  <c r="O618" i="12" s="1"/>
  <c r="O619" i="12" a="1"/>
  <c r="O619" i="12" s="1"/>
  <c r="O620" i="12" a="1"/>
  <c r="O620" i="12" s="1"/>
  <c r="O621" i="12" a="1"/>
  <c r="O621" i="12" s="1"/>
  <c r="O622" i="12" a="1"/>
  <c r="O622" i="12" s="1"/>
  <c r="O623" i="12" a="1"/>
  <c r="O623" i="12" s="1"/>
  <c r="O624" i="12" a="1"/>
  <c r="O624" i="12" s="1"/>
  <c r="O625" i="12" a="1"/>
  <c r="O625" i="12" s="1"/>
  <c r="O626" i="12" a="1"/>
  <c r="O626" i="12" s="1"/>
  <c r="O627" i="12" a="1"/>
  <c r="O627" i="12" s="1"/>
  <c r="O628" i="12" a="1"/>
  <c r="O628" i="12" s="1"/>
  <c r="O629" i="12" a="1"/>
  <c r="O629" i="12" s="1"/>
  <c r="O630" i="12" a="1"/>
  <c r="O630" i="12" s="1"/>
  <c r="O631" i="12" a="1"/>
  <c r="O631" i="12" s="1"/>
  <c r="O632" i="12" a="1"/>
  <c r="O632" i="12" s="1"/>
  <c r="O633" i="12" a="1"/>
  <c r="O633" i="12" s="1"/>
  <c r="O634" i="12" a="1"/>
  <c r="O634" i="12" s="1"/>
  <c r="O635" i="12" a="1"/>
  <c r="O635" i="12" s="1"/>
  <c r="O636" i="12" a="1"/>
  <c r="O636" i="12" s="1"/>
  <c r="O637" i="12" a="1"/>
  <c r="O637" i="12" s="1"/>
  <c r="O638" i="12" a="1"/>
  <c r="O638" i="12" s="1"/>
  <c r="O639" i="12" a="1"/>
  <c r="O639" i="12" s="1"/>
  <c r="O640" i="12" a="1"/>
  <c r="O640" i="12" s="1"/>
  <c r="O641" i="12" a="1"/>
  <c r="O641" i="12" s="1"/>
  <c r="O642" i="12" a="1"/>
  <c r="O642" i="12" s="1"/>
  <c r="O643" i="12" a="1"/>
  <c r="O643" i="12" s="1"/>
  <c r="O644" i="12" a="1"/>
  <c r="O644" i="12" s="1"/>
  <c r="O645" i="12" a="1"/>
  <c r="O645" i="12" s="1"/>
  <c r="O646" i="12" a="1"/>
  <c r="O646" i="12" s="1"/>
  <c r="O647" i="12" a="1"/>
  <c r="O647" i="12" s="1"/>
  <c r="O648" i="12" a="1"/>
  <c r="O648" i="12" s="1"/>
  <c r="O649" i="12" a="1"/>
  <c r="O649" i="12" s="1"/>
  <c r="O650" i="12" a="1"/>
  <c r="O650" i="12" s="1"/>
  <c r="O651" i="12" a="1"/>
  <c r="O651" i="12" s="1"/>
  <c r="O652" i="12" a="1"/>
  <c r="O652" i="12" s="1"/>
  <c r="O653" i="12" a="1"/>
  <c r="O653" i="12" s="1"/>
  <c r="O654" i="12" a="1"/>
  <c r="O654" i="12" s="1"/>
  <c r="O655" i="12" a="1"/>
  <c r="O655" i="12" s="1"/>
  <c r="O656" i="12" a="1"/>
  <c r="O656" i="12" s="1"/>
  <c r="O657" i="12" a="1"/>
  <c r="O657" i="12" s="1"/>
  <c r="O658" i="12" a="1"/>
  <c r="O658" i="12" s="1"/>
  <c r="O659" i="12" a="1"/>
  <c r="O659" i="12" s="1"/>
  <c r="O660" i="12" a="1"/>
  <c r="O660" i="12" s="1"/>
  <c r="O661" i="12" a="1"/>
  <c r="O661" i="12" s="1"/>
  <c r="O662" i="12" a="1"/>
  <c r="O662" i="12" s="1"/>
  <c r="O663" i="12" a="1"/>
  <c r="O663" i="12" s="1"/>
  <c r="O664" i="12" a="1"/>
  <c r="O664" i="12" s="1"/>
  <c r="O665" i="12" a="1"/>
  <c r="O665" i="12" s="1"/>
  <c r="O666" i="12" a="1"/>
  <c r="O666" i="12" s="1"/>
  <c r="O667" i="12" a="1"/>
  <c r="O667" i="12" s="1"/>
  <c r="O668" i="12" a="1"/>
  <c r="O668" i="12" s="1"/>
  <c r="O669" i="12" a="1"/>
  <c r="O669" i="12" s="1"/>
  <c r="O670" i="12" a="1"/>
  <c r="O670" i="12" s="1"/>
  <c r="O671" i="12" a="1"/>
  <c r="O671" i="12" s="1"/>
  <c r="O672" i="12" a="1"/>
  <c r="O672" i="12" s="1"/>
  <c r="O673" i="12" a="1"/>
  <c r="O673" i="12" s="1"/>
  <c r="O674" i="12" a="1"/>
  <c r="O674" i="12" s="1"/>
  <c r="O675" i="12" a="1"/>
  <c r="O675" i="12" s="1"/>
  <c r="O676" i="12" a="1"/>
  <c r="O676" i="12" s="1"/>
  <c r="O677" i="12" a="1"/>
  <c r="O677" i="12" s="1"/>
  <c r="O678" i="12" a="1"/>
  <c r="O678" i="12" s="1"/>
  <c r="O679" i="12" a="1"/>
  <c r="O679" i="12" s="1"/>
  <c r="O680" i="12" a="1"/>
  <c r="O680" i="12" s="1"/>
  <c r="O681" i="12" a="1"/>
  <c r="O681" i="12" s="1"/>
  <c r="O682" i="12" a="1"/>
  <c r="O682" i="12" s="1"/>
  <c r="O683" i="12" a="1"/>
  <c r="O683" i="12" s="1"/>
  <c r="O684" i="12" a="1"/>
  <c r="O684" i="12" s="1"/>
  <c r="O685" i="12" a="1"/>
  <c r="O685" i="12" s="1"/>
  <c r="O686" i="12" a="1"/>
  <c r="O686" i="12" s="1"/>
  <c r="O687" i="12" a="1"/>
  <c r="O687" i="12" s="1"/>
  <c r="O688" i="12" a="1"/>
  <c r="O688" i="12" s="1"/>
  <c r="O689" i="12" a="1"/>
  <c r="O689" i="12" s="1"/>
  <c r="O690" i="12" a="1"/>
  <c r="O690" i="12" s="1"/>
  <c r="O691" i="12" a="1"/>
  <c r="O691" i="12" s="1"/>
  <c r="O692" i="12" a="1"/>
  <c r="O692" i="12" s="1"/>
  <c r="O693" i="12" a="1"/>
  <c r="O693" i="12" s="1"/>
  <c r="O694" i="12" a="1"/>
  <c r="O694" i="12" s="1"/>
  <c r="O695" i="12" a="1"/>
  <c r="O695" i="12" s="1"/>
  <c r="O696" i="12" a="1"/>
  <c r="O696" i="12" s="1"/>
  <c r="O697" i="12" a="1"/>
  <c r="O697" i="12" s="1"/>
  <c r="O698" i="12" a="1"/>
  <c r="O698" i="12" s="1"/>
  <c r="O699" i="12" a="1"/>
  <c r="O699" i="12" s="1"/>
  <c r="O700" i="12" a="1"/>
  <c r="O700" i="12" s="1"/>
  <c r="O701" i="12" a="1"/>
  <c r="O701" i="12" s="1"/>
  <c r="O702" i="12" a="1"/>
  <c r="O702" i="12" s="1"/>
  <c r="O703" i="12" a="1"/>
  <c r="O703" i="12" s="1"/>
  <c r="O704" i="12" a="1"/>
  <c r="O704" i="12" s="1"/>
  <c r="O705" i="12" a="1"/>
  <c r="O705" i="12" s="1"/>
  <c r="O706" i="12" a="1"/>
  <c r="O706" i="12" s="1"/>
  <c r="O707" i="12" a="1"/>
  <c r="O707" i="12" s="1"/>
  <c r="O708" i="12" a="1"/>
  <c r="O708" i="12" s="1"/>
  <c r="O709" i="12" a="1"/>
  <c r="O709" i="12" s="1"/>
  <c r="O710" i="12" a="1"/>
  <c r="O710" i="12" s="1"/>
  <c r="O711" i="12" a="1"/>
  <c r="O711" i="12" s="1"/>
  <c r="O712" i="12" a="1"/>
  <c r="O712" i="12" s="1"/>
  <c r="O713" i="12" a="1"/>
  <c r="O713" i="12" s="1"/>
  <c r="O714" i="12" a="1"/>
  <c r="O714" i="12" s="1"/>
  <c r="O715" i="12" a="1"/>
  <c r="O715" i="12" s="1"/>
  <c r="O716" i="12" a="1"/>
  <c r="O716" i="12" s="1"/>
  <c r="O717" i="12" a="1"/>
  <c r="O717" i="12" s="1"/>
  <c r="O718" i="12" a="1"/>
  <c r="O718" i="12" s="1"/>
  <c r="O719" i="12" a="1"/>
  <c r="O719" i="12" s="1"/>
  <c r="O720" i="12" a="1"/>
  <c r="O720" i="12" s="1"/>
  <c r="O721" i="12" a="1"/>
  <c r="O721" i="12" s="1"/>
  <c r="O722" i="12" a="1"/>
  <c r="O722" i="12" s="1"/>
  <c r="O723" i="12" a="1"/>
  <c r="O723" i="12" s="1"/>
  <c r="O724" i="12" a="1"/>
  <c r="O724" i="12" s="1"/>
  <c r="O725" i="12" a="1"/>
  <c r="O725" i="12" s="1"/>
  <c r="O726" i="12" a="1"/>
  <c r="O726" i="12" s="1"/>
  <c r="O727" i="12" a="1"/>
  <c r="O727" i="12" s="1"/>
  <c r="O728" i="12" a="1"/>
  <c r="O728" i="12" s="1"/>
  <c r="O729" i="12" a="1"/>
  <c r="O729" i="12" s="1"/>
  <c r="O730" i="12" a="1"/>
  <c r="O730" i="12" s="1"/>
  <c r="O731" i="12" a="1"/>
  <c r="O731" i="12" s="1"/>
  <c r="O732" i="12" a="1"/>
  <c r="O732" i="12" s="1"/>
  <c r="O733" i="12" a="1"/>
  <c r="O733" i="12" s="1"/>
  <c r="O734" i="12" a="1"/>
  <c r="O734" i="12" s="1"/>
  <c r="O735" i="12" a="1"/>
  <c r="O735" i="12" s="1"/>
  <c r="O736" i="12" a="1"/>
  <c r="O736" i="12" s="1"/>
  <c r="O737" i="12" a="1"/>
  <c r="O737" i="12" s="1"/>
  <c r="O738" i="12" a="1"/>
  <c r="O738" i="12" s="1"/>
  <c r="O739" i="12" a="1"/>
  <c r="O739" i="12" s="1"/>
  <c r="O741" i="12" a="1"/>
  <c r="O741" i="12" s="1"/>
  <c r="O742" i="12" a="1"/>
  <c r="O742" i="12" s="1"/>
  <c r="O743" i="12" a="1"/>
  <c r="O743" i="12" s="1"/>
  <c r="O744" i="12" a="1"/>
  <c r="O744" i="12" s="1"/>
  <c r="O745" i="12" a="1"/>
  <c r="O745" i="12" s="1"/>
  <c r="O746" i="12" a="1"/>
  <c r="O746" i="12" s="1"/>
  <c r="O747" i="12" a="1"/>
  <c r="O747" i="12" s="1"/>
  <c r="O748" i="12" a="1"/>
  <c r="O748" i="12" s="1"/>
  <c r="O749" i="12" a="1"/>
  <c r="O749" i="12" s="1"/>
  <c r="O750" i="12" a="1"/>
  <c r="O750" i="12" s="1"/>
  <c r="O751" i="12" a="1"/>
  <c r="O751" i="12" s="1"/>
  <c r="O752" i="12" a="1"/>
  <c r="O752" i="12" s="1"/>
  <c r="O753" i="12" a="1"/>
  <c r="O753" i="12" s="1"/>
  <c r="O754" i="12" a="1"/>
  <c r="O754" i="12" s="1"/>
  <c r="O755" i="12" a="1"/>
  <c r="O755" i="12" s="1"/>
  <c r="O756" i="12" a="1"/>
  <c r="O756" i="12" s="1"/>
  <c r="O757" i="12" a="1"/>
  <c r="O757" i="12" s="1"/>
  <c r="O740" i="12" a="1"/>
  <c r="O740" i="12" s="1"/>
  <c r="D70" i="7"/>
  <c r="Z70" i="7" a="1"/>
  <c r="Z70" i="7" s="1"/>
  <c r="AA70" i="7" a="1"/>
  <c r="AA70" i="7" s="1"/>
  <c r="AB70" i="7" a="1"/>
  <c r="AB70" i="7" s="1"/>
  <c r="L1208" i="12" a="1"/>
  <c r="L1208" i="12" s="1"/>
  <c r="L1209" i="12" a="1"/>
  <c r="L1209" i="12" s="1"/>
  <c r="L1210" i="12" a="1"/>
  <c r="L1210" i="12" s="1"/>
  <c r="L1211" i="12" a="1"/>
  <c r="L1211" i="12" s="1"/>
  <c r="L1212" i="12" a="1"/>
  <c r="L1212" i="12" s="1"/>
  <c r="L1213" i="12" a="1"/>
  <c r="L1213" i="12" s="1"/>
  <c r="L1214" i="12" a="1"/>
  <c r="L1214" i="12" s="1"/>
  <c r="L1215" i="12" a="1"/>
  <c r="L1215" i="12" s="1"/>
  <c r="L1216" i="12" a="1"/>
  <c r="L1216" i="12" s="1"/>
  <c r="L1217" i="12" a="1"/>
  <c r="L1217" i="12" s="1"/>
  <c r="L1218" i="12" a="1"/>
  <c r="L1218" i="12" s="1"/>
  <c r="L1219" i="12" a="1"/>
  <c r="L1219" i="12" s="1"/>
  <c r="L1220" i="12" a="1"/>
  <c r="L1220" i="12" s="1"/>
  <c r="L1221" i="12" a="1"/>
  <c r="L1221" i="12" s="1"/>
  <c r="L1222" i="12" a="1"/>
  <c r="L1222" i="12" s="1"/>
  <c r="L1223" i="12" a="1"/>
  <c r="L1223" i="12" s="1"/>
  <c r="L1224" i="12" a="1"/>
  <c r="L1224" i="12" s="1"/>
  <c r="L1225" i="12" a="1"/>
  <c r="L1225" i="12" s="1"/>
  <c r="L1172" i="12" a="1"/>
  <c r="L1172" i="12" s="1"/>
  <c r="L1173" i="12" a="1"/>
  <c r="L1173" i="12" s="1"/>
  <c r="L1174" i="12" a="1"/>
  <c r="L1174" i="12" s="1"/>
  <c r="L1175" i="12" a="1"/>
  <c r="L1175" i="12" s="1"/>
  <c r="L1176" i="12" a="1"/>
  <c r="L1176" i="12" s="1"/>
  <c r="M1176" i="12" s="1"/>
  <c r="N1176" i="12" s="1"/>
  <c r="L1177" i="12" a="1"/>
  <c r="L1177" i="12" s="1"/>
  <c r="L1178" i="12" a="1"/>
  <c r="L1178" i="12" s="1"/>
  <c r="L1179" i="12" a="1"/>
  <c r="L1179" i="12" s="1"/>
  <c r="M1179" i="12" s="1"/>
  <c r="N1179" i="12" s="1"/>
  <c r="L1180" i="12" a="1"/>
  <c r="L1180" i="12" s="1"/>
  <c r="L1181" i="12" a="1"/>
  <c r="L1181" i="12" s="1"/>
  <c r="L1182" i="12" a="1"/>
  <c r="L1182" i="12" s="1"/>
  <c r="L1183" i="12" a="1"/>
  <c r="L1183" i="12" s="1"/>
  <c r="M1183" i="12" s="1"/>
  <c r="N1183" i="12" s="1"/>
  <c r="L1184" i="12" a="1"/>
  <c r="L1184" i="12" s="1"/>
  <c r="M1184" i="12" s="1"/>
  <c r="N1184" i="12" s="1"/>
  <c r="L1185" i="12" a="1"/>
  <c r="L1185" i="12" s="1"/>
  <c r="L1186" i="12" a="1"/>
  <c r="L1186" i="12" s="1"/>
  <c r="M1186" i="12" s="1"/>
  <c r="N1186" i="12" s="1"/>
  <c r="L1187" i="12" a="1"/>
  <c r="L1187" i="12" s="1"/>
  <c r="L1188" i="12" a="1"/>
  <c r="L1188" i="12" s="1"/>
  <c r="L1189" i="12" a="1"/>
  <c r="L1189" i="12" s="1"/>
  <c r="L1190" i="12" a="1"/>
  <c r="L1190" i="12" s="1"/>
  <c r="L1191" i="12" a="1"/>
  <c r="L1191" i="12" s="1"/>
  <c r="L1192" i="12" a="1"/>
  <c r="L1192" i="12" s="1"/>
  <c r="M1192" i="12" s="1"/>
  <c r="N1192" i="12" s="1"/>
  <c r="L1193" i="12" a="1"/>
  <c r="L1193" i="12" s="1"/>
  <c r="L1194" i="12" a="1"/>
  <c r="L1194" i="12" s="1"/>
  <c r="L1195" i="12" a="1"/>
  <c r="L1195" i="12" s="1"/>
  <c r="M1195" i="12" s="1"/>
  <c r="N1195" i="12" s="1"/>
  <c r="L1196" i="12" a="1"/>
  <c r="L1196" i="12" s="1"/>
  <c r="L1197" i="12" a="1"/>
  <c r="L1197" i="12" s="1"/>
  <c r="L1198" i="12" a="1"/>
  <c r="L1198" i="12" s="1"/>
  <c r="L1199" i="12" a="1"/>
  <c r="L1199" i="12" s="1"/>
  <c r="M1199" i="12" s="1"/>
  <c r="N1199" i="12" s="1"/>
  <c r="L1200" i="12" a="1"/>
  <c r="L1200" i="12" s="1"/>
  <c r="M1200" i="12" s="1"/>
  <c r="N1200" i="12" s="1"/>
  <c r="L1201" i="12" a="1"/>
  <c r="L1201" i="12" s="1"/>
  <c r="M1201" i="12" s="1"/>
  <c r="N1201" i="12" s="1"/>
  <c r="L1202" i="12" a="1"/>
  <c r="L1202" i="12" s="1"/>
  <c r="L1203" i="12" a="1"/>
  <c r="L1203" i="12" s="1"/>
  <c r="L1204" i="12" a="1"/>
  <c r="L1204" i="12" s="1"/>
  <c r="L1205" i="12" a="1"/>
  <c r="L1205" i="12" s="1"/>
  <c r="L1206" i="12" a="1"/>
  <c r="L1206" i="12" s="1"/>
  <c r="L1207" i="12" a="1"/>
  <c r="L1207" i="12" s="1"/>
  <c r="L1154" i="12" a="1"/>
  <c r="L1154" i="12" s="1"/>
  <c r="M1154" i="12" s="1"/>
  <c r="N1154" i="12" s="1"/>
  <c r="L1155" i="12" a="1"/>
  <c r="L1155" i="12" s="1"/>
  <c r="L1156" i="12" a="1"/>
  <c r="L1156" i="12" s="1"/>
  <c r="L1157" i="12" a="1"/>
  <c r="L1157" i="12" s="1"/>
  <c r="L1158" i="12" a="1"/>
  <c r="L1158" i="12" s="1"/>
  <c r="L1159" i="12" a="1"/>
  <c r="L1159" i="12" s="1"/>
  <c r="L1160" i="12" a="1"/>
  <c r="L1160" i="12" s="1"/>
  <c r="L1161" i="12" a="1"/>
  <c r="L1161" i="12" s="1"/>
  <c r="M1161" i="12" s="1"/>
  <c r="N1161" i="12" s="1"/>
  <c r="L1162" i="12" a="1"/>
  <c r="L1162" i="12" s="1"/>
  <c r="M1162" i="12" s="1"/>
  <c r="N1162" i="12" s="1"/>
  <c r="L1163" i="12" a="1"/>
  <c r="L1163" i="12" s="1"/>
  <c r="M1163" i="12" s="1"/>
  <c r="N1163" i="12" s="1"/>
  <c r="L1164" i="12" a="1"/>
  <c r="L1164" i="12" s="1"/>
  <c r="L1165" i="12" a="1"/>
  <c r="L1165" i="12" s="1"/>
  <c r="L1166" i="12" a="1"/>
  <c r="L1166" i="12" s="1"/>
  <c r="L1167" i="12" a="1"/>
  <c r="L1167" i="12" s="1"/>
  <c r="L1168" i="12" a="1"/>
  <c r="L1168" i="12" s="1"/>
  <c r="L1169" i="12" a="1"/>
  <c r="L1169" i="12" s="1"/>
  <c r="L1170" i="12" a="1"/>
  <c r="L1170" i="12" s="1"/>
  <c r="M1170" i="12" s="1"/>
  <c r="N1170" i="12" s="1"/>
  <c r="L1171" i="12" a="1"/>
  <c r="L1171" i="12" s="1"/>
  <c r="L1136" i="12" a="1"/>
  <c r="L1136" i="12" s="1"/>
  <c r="L1137" i="12" a="1"/>
  <c r="L1137" i="12" s="1"/>
  <c r="L1138" i="12" a="1"/>
  <c r="L1138" i="12" s="1"/>
  <c r="L1139" i="12" a="1"/>
  <c r="L1139" i="12" s="1"/>
  <c r="L1140" i="12" a="1"/>
  <c r="L1140" i="12" s="1"/>
  <c r="L1141" i="12" a="1"/>
  <c r="L1141" i="12" s="1"/>
  <c r="M1141" i="12" s="1"/>
  <c r="N1141" i="12" s="1"/>
  <c r="L1142" i="12" a="1"/>
  <c r="L1142" i="12" s="1"/>
  <c r="M1142" i="12" s="1"/>
  <c r="N1142" i="12" s="1"/>
  <c r="L1143" i="12" a="1"/>
  <c r="L1143" i="12" s="1"/>
  <c r="M1143" i="12" s="1"/>
  <c r="N1143" i="12" s="1"/>
  <c r="L1144" i="12" a="1"/>
  <c r="L1144" i="12" s="1"/>
  <c r="L1145" i="12" a="1"/>
  <c r="L1145" i="12" s="1"/>
  <c r="L1146" i="12" a="1"/>
  <c r="L1146" i="12" s="1"/>
  <c r="L1147" i="12" a="1"/>
  <c r="L1147" i="12" s="1"/>
  <c r="L1148" i="12" a="1"/>
  <c r="L1148" i="12" s="1"/>
  <c r="L1149" i="12" a="1"/>
  <c r="L1149" i="12" s="1"/>
  <c r="L1150" i="12" a="1"/>
  <c r="L1150" i="12" s="1"/>
  <c r="M1150" i="12" s="1"/>
  <c r="N1150" i="12" s="1"/>
  <c r="L1151" i="12" a="1"/>
  <c r="L1151" i="12" s="1"/>
  <c r="L1152" i="12" a="1"/>
  <c r="L1152" i="12" s="1"/>
  <c r="L1153" i="12" a="1"/>
  <c r="L1153" i="12" s="1"/>
  <c r="L1082" i="12" a="1"/>
  <c r="L1082" i="12" s="1"/>
  <c r="L1083" i="12" a="1"/>
  <c r="L1083" i="12" s="1"/>
  <c r="L1084" i="12" a="1"/>
  <c r="L1084" i="12" s="1"/>
  <c r="L1085" i="12" a="1"/>
  <c r="L1085" i="12" s="1"/>
  <c r="M1085" i="12" s="1"/>
  <c r="N1085" i="12" s="1"/>
  <c r="L1086" i="12" a="1"/>
  <c r="L1086" i="12" s="1"/>
  <c r="M1086" i="12" s="1"/>
  <c r="N1086" i="12" s="1"/>
  <c r="L1087" i="12" a="1"/>
  <c r="L1087" i="12" s="1"/>
  <c r="M1087" i="12" s="1"/>
  <c r="N1087" i="12" s="1"/>
  <c r="L1088" i="12" a="1"/>
  <c r="L1088" i="12" s="1"/>
  <c r="L1089" i="12" a="1"/>
  <c r="L1089" i="12" s="1"/>
  <c r="L1090" i="12" a="1"/>
  <c r="L1090" i="12" s="1"/>
  <c r="L1091" i="12" a="1"/>
  <c r="L1091" i="12" s="1"/>
  <c r="L1092" i="12" a="1"/>
  <c r="L1092" i="12" s="1"/>
  <c r="L1093" i="12" a="1"/>
  <c r="L1093" i="12" s="1"/>
  <c r="L1094" i="12" a="1"/>
  <c r="L1094" i="12" s="1"/>
  <c r="M1094" i="12" s="1"/>
  <c r="N1094" i="12" s="1"/>
  <c r="L1095" i="12" a="1"/>
  <c r="L1095" i="12" s="1"/>
  <c r="L1096" i="12" a="1"/>
  <c r="L1096" i="12" s="1"/>
  <c r="L1097" i="12" a="1"/>
  <c r="L1097" i="12" s="1"/>
  <c r="L1098" i="12" a="1"/>
  <c r="L1098" i="12" s="1"/>
  <c r="L1099" i="12" a="1"/>
  <c r="L1099" i="12" s="1"/>
  <c r="L1100" i="12" a="1"/>
  <c r="L1100" i="12" s="1"/>
  <c r="L1101" i="12" a="1"/>
  <c r="L1101" i="12" s="1"/>
  <c r="M1101" i="12" s="1"/>
  <c r="N1101" i="12" s="1"/>
  <c r="L1102" i="12" a="1"/>
  <c r="L1102" i="12" s="1"/>
  <c r="M1102" i="12" s="1"/>
  <c r="N1102" i="12" s="1"/>
  <c r="L1103" i="12" a="1"/>
  <c r="L1103" i="12" s="1"/>
  <c r="M1103" i="12" s="1"/>
  <c r="N1103" i="12" s="1"/>
  <c r="L1104" i="12" a="1"/>
  <c r="L1104" i="12" s="1"/>
  <c r="L1105" i="12" a="1"/>
  <c r="L1105" i="12" s="1"/>
  <c r="L1106" i="12" a="1"/>
  <c r="L1106" i="12" s="1"/>
  <c r="L1107" i="12" a="1"/>
  <c r="L1107" i="12" s="1"/>
  <c r="L1108" i="12" a="1"/>
  <c r="L1108" i="12" s="1"/>
  <c r="L1109" i="12" a="1"/>
  <c r="L1109" i="12" s="1"/>
  <c r="L1110" i="12" a="1"/>
  <c r="L1110" i="12" s="1"/>
  <c r="M1110" i="12" s="1"/>
  <c r="N1110" i="12" s="1"/>
  <c r="L1111" i="12" a="1"/>
  <c r="L1111" i="12" s="1"/>
  <c r="L1112" i="12" a="1"/>
  <c r="L1112" i="12" s="1"/>
  <c r="L1113" i="12" a="1"/>
  <c r="L1113" i="12" s="1"/>
  <c r="L1114" i="12" a="1"/>
  <c r="L1114" i="12" s="1"/>
  <c r="L1115" i="12" a="1"/>
  <c r="L1115" i="12" s="1"/>
  <c r="L1116" i="12" a="1"/>
  <c r="L1116" i="12" s="1"/>
  <c r="L1117" i="12" a="1"/>
  <c r="L1117" i="12" s="1"/>
  <c r="M1117" i="12" s="1"/>
  <c r="N1117" i="12" s="1"/>
  <c r="L1118" i="12" a="1"/>
  <c r="L1118" i="12" s="1"/>
  <c r="M1118" i="12" s="1"/>
  <c r="N1118" i="12" s="1"/>
  <c r="L1119" i="12" a="1"/>
  <c r="L1119" i="12" s="1"/>
  <c r="M1119" i="12" s="1"/>
  <c r="N1119" i="12" s="1"/>
  <c r="L1120" i="12" a="1"/>
  <c r="L1120" i="12" s="1"/>
  <c r="L1121" i="12" a="1"/>
  <c r="L1121" i="12" s="1"/>
  <c r="L1122" i="12" a="1"/>
  <c r="L1122" i="12" s="1"/>
  <c r="L1123" i="12" a="1"/>
  <c r="L1123" i="12" s="1"/>
  <c r="L1124" i="12" a="1"/>
  <c r="L1124" i="12" s="1"/>
  <c r="L1125" i="12" a="1"/>
  <c r="L1125" i="12" s="1"/>
  <c r="L1126" i="12" a="1"/>
  <c r="L1126" i="12" s="1"/>
  <c r="M1126" i="12" s="1"/>
  <c r="N1126" i="12" s="1"/>
  <c r="L1127" i="12" a="1"/>
  <c r="L1127" i="12" s="1"/>
  <c r="L1128" i="12" a="1"/>
  <c r="L1128" i="12" s="1"/>
  <c r="L1129" i="12" a="1"/>
  <c r="L1129" i="12" s="1"/>
  <c r="L1130" i="12" a="1"/>
  <c r="L1130" i="12" s="1"/>
  <c r="L1131" i="12" a="1"/>
  <c r="L1131" i="12" s="1"/>
  <c r="L1132" i="12" a="1"/>
  <c r="L1132" i="12" s="1"/>
  <c r="M1132" i="12" s="1"/>
  <c r="N1132" i="12" s="1"/>
  <c r="L1133" i="12" a="1"/>
  <c r="L1133" i="12" s="1"/>
  <c r="M1133" i="12" s="1"/>
  <c r="N1133" i="12" s="1"/>
  <c r="L1134" i="12" a="1"/>
  <c r="L1134" i="12" s="1"/>
  <c r="M1134" i="12" s="1"/>
  <c r="N1134" i="12" s="1"/>
  <c r="L1135" i="12" a="1"/>
  <c r="L1135" i="12" s="1"/>
  <c r="M1135" i="12" s="1"/>
  <c r="N1135" i="12" s="1"/>
  <c r="L848" i="12" a="1"/>
  <c r="L848" i="12" s="1"/>
  <c r="L849" i="12" a="1"/>
  <c r="L849" i="12" s="1"/>
  <c r="L850" i="12" a="1"/>
  <c r="L850" i="12" s="1"/>
  <c r="L851" i="12" a="1"/>
  <c r="L851" i="12" s="1"/>
  <c r="L852" i="12" a="1"/>
  <c r="L852" i="12" s="1"/>
  <c r="L853" i="12" a="1"/>
  <c r="L853" i="12" s="1"/>
  <c r="L854" i="12" a="1"/>
  <c r="L854" i="12" s="1"/>
  <c r="M854" i="12" s="1"/>
  <c r="N854" i="12" s="1"/>
  <c r="L855" i="12" a="1"/>
  <c r="L855" i="12" s="1"/>
  <c r="L856" i="12" a="1"/>
  <c r="L856" i="12" s="1"/>
  <c r="L857" i="12" a="1"/>
  <c r="L857" i="12" s="1"/>
  <c r="L858" i="12" a="1"/>
  <c r="L858" i="12" s="1"/>
  <c r="L859" i="12" a="1"/>
  <c r="L859" i="12" s="1"/>
  <c r="L860" i="12" a="1"/>
  <c r="L860" i="12" s="1"/>
  <c r="M860" i="12" s="1"/>
  <c r="N860" i="12" s="1"/>
  <c r="L861" i="12" a="1"/>
  <c r="L861" i="12" s="1"/>
  <c r="M861" i="12" s="1"/>
  <c r="N861" i="12" s="1"/>
  <c r="L862" i="12" a="1"/>
  <c r="L862" i="12" s="1"/>
  <c r="M862" i="12" s="1"/>
  <c r="N862" i="12" s="1"/>
  <c r="L863" i="12" a="1"/>
  <c r="L863" i="12" s="1"/>
  <c r="M863" i="12" s="1"/>
  <c r="N863" i="12" s="1"/>
  <c r="L864" i="12" a="1"/>
  <c r="L864" i="12" s="1"/>
  <c r="L865" i="12" a="1"/>
  <c r="L865" i="12" s="1"/>
  <c r="L866" i="12" a="1"/>
  <c r="L866" i="12" s="1"/>
  <c r="L867" i="12" a="1"/>
  <c r="L867" i="12" s="1"/>
  <c r="L868" i="12" a="1"/>
  <c r="L868" i="12" s="1"/>
  <c r="L869" i="12" a="1"/>
  <c r="L869" i="12" s="1"/>
  <c r="L870" i="12" a="1"/>
  <c r="L870" i="12" s="1"/>
  <c r="M870" i="12" s="1"/>
  <c r="N870" i="12" s="1"/>
  <c r="L871" i="12" a="1"/>
  <c r="L871" i="12" s="1"/>
  <c r="L872" i="12" a="1"/>
  <c r="L872" i="12" s="1"/>
  <c r="L873" i="12" a="1"/>
  <c r="L873" i="12" s="1"/>
  <c r="L874" i="12" a="1"/>
  <c r="L874" i="12" s="1"/>
  <c r="L875" i="12" a="1"/>
  <c r="L875" i="12" s="1"/>
  <c r="L876" i="12" a="1"/>
  <c r="L876" i="12" s="1"/>
  <c r="M876" i="12" s="1"/>
  <c r="N876" i="12" s="1"/>
  <c r="L877" i="12" a="1"/>
  <c r="L877" i="12" s="1"/>
  <c r="L878" i="12" a="1"/>
  <c r="L878" i="12" s="1"/>
  <c r="M878" i="12" s="1"/>
  <c r="N878" i="12" s="1"/>
  <c r="L879" i="12" a="1"/>
  <c r="L879" i="12" s="1"/>
  <c r="M879" i="12" s="1"/>
  <c r="N879" i="12" s="1"/>
  <c r="L880" i="12" a="1"/>
  <c r="L880" i="12" s="1"/>
  <c r="L881" i="12" a="1"/>
  <c r="L881" i="12" s="1"/>
  <c r="L882" i="12" a="1"/>
  <c r="L882" i="12" s="1"/>
  <c r="L883" i="12" a="1"/>
  <c r="L883" i="12" s="1"/>
  <c r="L884" i="12" a="1"/>
  <c r="L884" i="12" s="1"/>
  <c r="L885" i="12" a="1"/>
  <c r="L885" i="12" s="1"/>
  <c r="L886" i="12" a="1"/>
  <c r="L886" i="12" s="1"/>
  <c r="M886" i="12" s="1"/>
  <c r="N886" i="12" s="1"/>
  <c r="L887" i="12" a="1"/>
  <c r="L887" i="12" s="1"/>
  <c r="L888" i="12" a="1"/>
  <c r="L888" i="12" s="1"/>
  <c r="L889" i="12" a="1"/>
  <c r="L889" i="12" s="1"/>
  <c r="L890" i="12" a="1"/>
  <c r="L890" i="12" s="1"/>
  <c r="L891" i="12" a="1"/>
  <c r="L891" i="12" s="1"/>
  <c r="L892" i="12" a="1"/>
  <c r="L892" i="12" s="1"/>
  <c r="M892" i="12" s="1"/>
  <c r="N892" i="12" s="1"/>
  <c r="L893" i="12" a="1"/>
  <c r="L893" i="12" s="1"/>
  <c r="M893" i="12" s="1"/>
  <c r="N893" i="12" s="1"/>
  <c r="L894" i="12" a="1"/>
  <c r="L894" i="12" s="1"/>
  <c r="M894" i="12" s="1"/>
  <c r="N894" i="12" s="1"/>
  <c r="L895" i="12" a="1"/>
  <c r="L895" i="12" s="1"/>
  <c r="M895" i="12" s="1"/>
  <c r="N895" i="12" s="1"/>
  <c r="L896" i="12" a="1"/>
  <c r="L896" i="12" s="1"/>
  <c r="L897" i="12" a="1"/>
  <c r="L897" i="12" s="1"/>
  <c r="L898" i="12" a="1"/>
  <c r="L898" i="12" s="1"/>
  <c r="L899" i="12" a="1"/>
  <c r="L899" i="12" s="1"/>
  <c r="L900" i="12" a="1"/>
  <c r="L900" i="12" s="1"/>
  <c r="L901" i="12" a="1"/>
  <c r="L901" i="12" s="1"/>
  <c r="L902" i="12" a="1"/>
  <c r="L902" i="12" s="1"/>
  <c r="M902" i="12" s="1"/>
  <c r="N902" i="12" s="1"/>
  <c r="L903" i="12" a="1"/>
  <c r="L903" i="12" s="1"/>
  <c r="L904" i="12" a="1"/>
  <c r="L904" i="12" s="1"/>
  <c r="L905" i="12" a="1"/>
  <c r="L905" i="12" s="1"/>
  <c r="L906" i="12" a="1"/>
  <c r="L906" i="12" s="1"/>
  <c r="L907" i="12" a="1"/>
  <c r="L907" i="12" s="1"/>
  <c r="L908" i="12" a="1"/>
  <c r="L908" i="12" s="1"/>
  <c r="M908" i="12" s="1"/>
  <c r="N908" i="12" s="1"/>
  <c r="L909" i="12" a="1"/>
  <c r="L909" i="12" s="1"/>
  <c r="M909" i="12" s="1"/>
  <c r="N909" i="12" s="1"/>
  <c r="L910" i="12" a="1"/>
  <c r="L910" i="12" s="1"/>
  <c r="M910" i="12" s="1"/>
  <c r="N910" i="12" s="1"/>
  <c r="L911" i="12" a="1"/>
  <c r="L911" i="12" s="1"/>
  <c r="L912" i="12" a="1"/>
  <c r="L912" i="12" s="1"/>
  <c r="L913" i="12" a="1"/>
  <c r="L913" i="12" s="1"/>
  <c r="L914" i="12" a="1"/>
  <c r="L914" i="12" s="1"/>
  <c r="L915" i="12" a="1"/>
  <c r="L915" i="12" s="1"/>
  <c r="L916" i="12" a="1"/>
  <c r="L916" i="12" s="1"/>
  <c r="L917" i="12" a="1"/>
  <c r="L917" i="12" s="1"/>
  <c r="L918" i="12" a="1"/>
  <c r="L918" i="12" s="1"/>
  <c r="M918" i="12" s="1"/>
  <c r="N918" i="12" s="1"/>
  <c r="L919" i="12" a="1"/>
  <c r="L919" i="12" s="1"/>
  <c r="L920" i="12" a="1"/>
  <c r="L920" i="12" s="1"/>
  <c r="L921" i="12" a="1"/>
  <c r="L921" i="12" s="1"/>
  <c r="L922" i="12" a="1"/>
  <c r="L922" i="12" s="1"/>
  <c r="L923" i="12" a="1"/>
  <c r="L923" i="12" s="1"/>
  <c r="L924" i="12" a="1"/>
  <c r="L924" i="12" s="1"/>
  <c r="L925" i="12" a="1"/>
  <c r="L925" i="12" s="1"/>
  <c r="M925" i="12" s="1"/>
  <c r="N925" i="12" s="1"/>
  <c r="L926" i="12" a="1"/>
  <c r="L926" i="12" s="1"/>
  <c r="M926" i="12" s="1"/>
  <c r="N926" i="12" s="1"/>
  <c r="L927" i="12" a="1"/>
  <c r="L927" i="12" s="1"/>
  <c r="M927" i="12" s="1"/>
  <c r="N927" i="12" s="1"/>
  <c r="L928" i="12" a="1"/>
  <c r="L928" i="12" s="1"/>
  <c r="L929" i="12" a="1"/>
  <c r="L929" i="12" s="1"/>
  <c r="L930" i="12" a="1"/>
  <c r="L930" i="12" s="1"/>
  <c r="L931" i="12" a="1"/>
  <c r="L931" i="12" s="1"/>
  <c r="L932" i="12" a="1"/>
  <c r="L932" i="12" s="1"/>
  <c r="L933" i="12" a="1"/>
  <c r="L933" i="12" s="1"/>
  <c r="L934" i="12" a="1"/>
  <c r="L934" i="12" s="1"/>
  <c r="M934" i="12" s="1"/>
  <c r="N934" i="12" s="1"/>
  <c r="L935" i="12" a="1"/>
  <c r="L935" i="12" s="1"/>
  <c r="L936" i="12" a="1"/>
  <c r="L936" i="12" s="1"/>
  <c r="L937" i="12" a="1"/>
  <c r="L937" i="12" s="1"/>
  <c r="L938" i="12" a="1"/>
  <c r="L938" i="12" s="1"/>
  <c r="L939" i="12" a="1"/>
  <c r="L939" i="12" s="1"/>
  <c r="L940" i="12" a="1"/>
  <c r="L940" i="12" s="1"/>
  <c r="M940" i="12" s="1"/>
  <c r="N940" i="12" s="1"/>
  <c r="L941" i="12" a="1"/>
  <c r="L941" i="12" s="1"/>
  <c r="M941" i="12" s="1"/>
  <c r="N941" i="12" s="1"/>
  <c r="L942" i="12" a="1"/>
  <c r="L942" i="12" s="1"/>
  <c r="M942" i="12" s="1"/>
  <c r="N942" i="12" s="1"/>
  <c r="L943" i="12" a="1"/>
  <c r="L943" i="12" s="1"/>
  <c r="M943" i="12" s="1"/>
  <c r="N943" i="12" s="1"/>
  <c r="L944" i="12" a="1"/>
  <c r="L944" i="12" s="1"/>
  <c r="L945" i="12" a="1"/>
  <c r="L945" i="12" s="1"/>
  <c r="L946" i="12" a="1"/>
  <c r="L946" i="12" s="1"/>
  <c r="L947" i="12" a="1"/>
  <c r="L947" i="12" s="1"/>
  <c r="L948" i="12" a="1"/>
  <c r="L948" i="12" s="1"/>
  <c r="L949" i="12" a="1"/>
  <c r="L949" i="12" s="1"/>
  <c r="L950" i="12" a="1"/>
  <c r="L950" i="12" s="1"/>
  <c r="M950" i="12" s="1"/>
  <c r="N950" i="12" s="1"/>
  <c r="L951" i="12" a="1"/>
  <c r="L951" i="12" s="1"/>
  <c r="L952" i="12" a="1"/>
  <c r="L952" i="12" s="1"/>
  <c r="L953" i="12" a="1"/>
  <c r="L953" i="12" s="1"/>
  <c r="L954" i="12" a="1"/>
  <c r="L954" i="12" s="1"/>
  <c r="L955" i="12" a="1"/>
  <c r="L955" i="12" s="1"/>
  <c r="L956" i="12" a="1"/>
  <c r="L956" i="12" s="1"/>
  <c r="M956" i="12" s="1"/>
  <c r="N956" i="12" s="1"/>
  <c r="L957" i="12" a="1"/>
  <c r="L957" i="12" s="1"/>
  <c r="M957" i="12" s="1"/>
  <c r="N957" i="12" s="1"/>
  <c r="L958" i="12" a="1"/>
  <c r="L958" i="12" s="1"/>
  <c r="M958" i="12" s="1"/>
  <c r="N958" i="12" s="1"/>
  <c r="L959" i="12" a="1"/>
  <c r="L959" i="12" s="1"/>
  <c r="M959" i="12" s="1"/>
  <c r="N959" i="12" s="1"/>
  <c r="L960" i="12" a="1"/>
  <c r="L960" i="12" s="1"/>
  <c r="L961" i="12" a="1"/>
  <c r="L961" i="12" s="1"/>
  <c r="L962" i="12" a="1"/>
  <c r="L962" i="12" s="1"/>
  <c r="L963" i="12" a="1"/>
  <c r="L963" i="12" s="1"/>
  <c r="L964" i="12" a="1"/>
  <c r="L964" i="12" s="1"/>
  <c r="L965" i="12" a="1"/>
  <c r="L965" i="12" s="1"/>
  <c r="L966" i="12" a="1"/>
  <c r="L966" i="12" s="1"/>
  <c r="M966" i="12" s="1"/>
  <c r="N966" i="12" s="1"/>
  <c r="L967" i="12" a="1"/>
  <c r="L967" i="12" s="1"/>
  <c r="L968" i="12" a="1"/>
  <c r="L968" i="12" s="1"/>
  <c r="L969" i="12" a="1"/>
  <c r="L969" i="12" s="1"/>
  <c r="L970" i="12" a="1"/>
  <c r="L970" i="12" s="1"/>
  <c r="L971" i="12" a="1"/>
  <c r="L971" i="12" s="1"/>
  <c r="L972" i="12" a="1"/>
  <c r="L972" i="12" s="1"/>
  <c r="M972" i="12" s="1"/>
  <c r="N972" i="12" s="1"/>
  <c r="L973" i="12" a="1"/>
  <c r="L973" i="12" s="1"/>
  <c r="M973" i="12" s="1"/>
  <c r="N973" i="12" s="1"/>
  <c r="L974" i="12" a="1"/>
  <c r="L974" i="12" s="1"/>
  <c r="M974" i="12" s="1"/>
  <c r="N974" i="12" s="1"/>
  <c r="L975" i="12" a="1"/>
  <c r="L975" i="12" s="1"/>
  <c r="M975" i="12" s="1"/>
  <c r="N975" i="12" s="1"/>
  <c r="L976" i="12" a="1"/>
  <c r="L976" i="12" s="1"/>
  <c r="L977" i="12" a="1"/>
  <c r="L977" i="12" s="1"/>
  <c r="L978" i="12" a="1"/>
  <c r="L978" i="12" s="1"/>
  <c r="L979" i="12" a="1"/>
  <c r="L979" i="12" s="1"/>
  <c r="L980" i="12" a="1"/>
  <c r="L980" i="12" s="1"/>
  <c r="L981" i="12" a="1"/>
  <c r="L981" i="12" s="1"/>
  <c r="L982" i="12" a="1"/>
  <c r="L982" i="12" s="1"/>
  <c r="M982" i="12" s="1"/>
  <c r="N982" i="12" s="1"/>
  <c r="L983" i="12" a="1"/>
  <c r="L983" i="12" s="1"/>
  <c r="L984" i="12" a="1"/>
  <c r="L984" i="12" s="1"/>
  <c r="L985" i="12" a="1"/>
  <c r="L985" i="12" s="1"/>
  <c r="L986" i="12" a="1"/>
  <c r="L986" i="12" s="1"/>
  <c r="L987" i="12" a="1"/>
  <c r="L987" i="12" s="1"/>
  <c r="L988" i="12" a="1"/>
  <c r="L988" i="12" s="1"/>
  <c r="M988" i="12" s="1"/>
  <c r="N988" i="12" s="1"/>
  <c r="L989" i="12" a="1"/>
  <c r="L989" i="12" s="1"/>
  <c r="L990" i="12" a="1"/>
  <c r="L990" i="12" s="1"/>
  <c r="M990" i="12" s="1"/>
  <c r="N990" i="12" s="1"/>
  <c r="L991" i="12" a="1"/>
  <c r="L991" i="12" s="1"/>
  <c r="M991" i="12" s="1"/>
  <c r="N991" i="12" s="1"/>
  <c r="L992" i="12" a="1"/>
  <c r="L992" i="12" s="1"/>
  <c r="L993" i="12" a="1"/>
  <c r="L993" i="12" s="1"/>
  <c r="L994" i="12" a="1"/>
  <c r="L994" i="12" s="1"/>
  <c r="M994" i="12" s="1"/>
  <c r="N994" i="12" s="1"/>
  <c r="L995" i="12" a="1"/>
  <c r="L995" i="12" s="1"/>
  <c r="L996" i="12" a="1"/>
  <c r="L996" i="12" s="1"/>
  <c r="L997" i="12" a="1"/>
  <c r="L997" i="12" s="1"/>
  <c r="L998" i="12" a="1"/>
  <c r="L998" i="12" s="1"/>
  <c r="M998" i="12" s="1"/>
  <c r="N998" i="12" s="1"/>
  <c r="L999" i="12" a="1"/>
  <c r="L999" i="12" s="1"/>
  <c r="L1000" i="12" a="1"/>
  <c r="L1000" i="12" s="1"/>
  <c r="L1001" i="12" a="1"/>
  <c r="L1001" i="12" s="1"/>
  <c r="L1002" i="12" a="1"/>
  <c r="L1002" i="12" s="1"/>
  <c r="L1003" i="12" a="1"/>
  <c r="L1003" i="12" s="1"/>
  <c r="L1004" i="12" a="1"/>
  <c r="L1004" i="12" s="1"/>
  <c r="M1004" i="12" s="1"/>
  <c r="N1004" i="12" s="1"/>
  <c r="L1005" i="12" a="1"/>
  <c r="L1005" i="12" s="1"/>
  <c r="M1005" i="12" s="1"/>
  <c r="N1005" i="12" s="1"/>
  <c r="L1006" i="12" a="1"/>
  <c r="L1006" i="12" s="1"/>
  <c r="M1006" i="12" s="1"/>
  <c r="N1006" i="12" s="1"/>
  <c r="L1007" i="12" a="1"/>
  <c r="L1007" i="12" s="1"/>
  <c r="M1007" i="12" s="1"/>
  <c r="N1007" i="12" s="1"/>
  <c r="L1008" i="12" a="1"/>
  <c r="L1008" i="12" s="1"/>
  <c r="L1009" i="12" a="1"/>
  <c r="L1009" i="12" s="1"/>
  <c r="L1010" i="12" a="1"/>
  <c r="L1010" i="12" s="1"/>
  <c r="M1010" i="12" s="1"/>
  <c r="N1010" i="12" s="1"/>
  <c r="L1011" i="12" a="1"/>
  <c r="L1011" i="12" s="1"/>
  <c r="L1012" i="12" a="1"/>
  <c r="L1012" i="12" s="1"/>
  <c r="L1013" i="12" a="1"/>
  <c r="L1013" i="12" s="1"/>
  <c r="L1014" i="12" a="1"/>
  <c r="L1014" i="12" s="1"/>
  <c r="M1014" i="12" s="1"/>
  <c r="N1014" i="12" s="1"/>
  <c r="L1015" i="12" a="1"/>
  <c r="L1015" i="12" s="1"/>
  <c r="L1016" i="12" a="1"/>
  <c r="L1016" i="12" s="1"/>
  <c r="L1017" i="12" a="1"/>
  <c r="L1017" i="12" s="1"/>
  <c r="L1018" i="12" a="1"/>
  <c r="L1018" i="12" s="1"/>
  <c r="L1019" i="12" a="1"/>
  <c r="L1019" i="12" s="1"/>
  <c r="L1020" i="12" a="1"/>
  <c r="L1020" i="12" s="1"/>
  <c r="M1020" i="12" s="1"/>
  <c r="N1020" i="12" s="1"/>
  <c r="L1021" i="12" a="1"/>
  <c r="L1021" i="12" s="1"/>
  <c r="M1021" i="12" s="1"/>
  <c r="N1021" i="12" s="1"/>
  <c r="L1022" i="12" a="1"/>
  <c r="L1022" i="12" s="1"/>
  <c r="M1022" i="12" s="1"/>
  <c r="N1022" i="12" s="1"/>
  <c r="L1023" i="12" a="1"/>
  <c r="L1023" i="12" s="1"/>
  <c r="M1023" i="12" s="1"/>
  <c r="N1023" i="12" s="1"/>
  <c r="L1024" i="12" a="1"/>
  <c r="L1024" i="12" s="1"/>
  <c r="L1025" i="12" a="1"/>
  <c r="L1025" i="12" s="1"/>
  <c r="L1026" i="12" a="1"/>
  <c r="L1026" i="12" s="1"/>
  <c r="M1026" i="12" s="1"/>
  <c r="N1026" i="12" s="1"/>
  <c r="L1027" i="12" a="1"/>
  <c r="L1027" i="12" s="1"/>
  <c r="L1028" i="12" a="1"/>
  <c r="L1028" i="12" s="1"/>
  <c r="L1029" i="12" a="1"/>
  <c r="L1029" i="12" s="1"/>
  <c r="L1030" i="12" a="1"/>
  <c r="L1030" i="12" s="1"/>
  <c r="M1030" i="12" s="1"/>
  <c r="N1030" i="12" s="1"/>
  <c r="L1031" i="12" a="1"/>
  <c r="L1031" i="12" s="1"/>
  <c r="L1032" i="12" a="1"/>
  <c r="L1032" i="12" s="1"/>
  <c r="L1033" i="12" a="1"/>
  <c r="L1033" i="12" s="1"/>
  <c r="L1034" i="12" a="1"/>
  <c r="L1034" i="12" s="1"/>
  <c r="L1035" i="12" a="1"/>
  <c r="L1035" i="12" s="1"/>
  <c r="L1036" i="12" a="1"/>
  <c r="L1036" i="12" s="1"/>
  <c r="M1036" i="12" s="1"/>
  <c r="N1036" i="12" s="1"/>
  <c r="L1037" i="12" a="1"/>
  <c r="L1037" i="12" s="1"/>
  <c r="M1037" i="12" s="1"/>
  <c r="N1037" i="12" s="1"/>
  <c r="L1038" i="12" a="1"/>
  <c r="L1038" i="12" s="1"/>
  <c r="M1038" i="12" s="1"/>
  <c r="N1038" i="12" s="1"/>
  <c r="L1039" i="12" a="1"/>
  <c r="L1039" i="12" s="1"/>
  <c r="M1039" i="12" s="1"/>
  <c r="N1039" i="12" s="1"/>
  <c r="L1040" i="12" a="1"/>
  <c r="L1040" i="12" s="1"/>
  <c r="L1041" i="12" a="1"/>
  <c r="L1041" i="12" s="1"/>
  <c r="L1042" i="12" a="1"/>
  <c r="L1042" i="12" s="1"/>
  <c r="L1043" i="12" a="1"/>
  <c r="L1043" i="12" s="1"/>
  <c r="L1044" i="12" a="1"/>
  <c r="L1044" i="12" s="1"/>
  <c r="L1045" i="12" a="1"/>
  <c r="L1045" i="12" s="1"/>
  <c r="L1046" i="12" a="1"/>
  <c r="L1046" i="12" s="1"/>
  <c r="M1046" i="12" s="1"/>
  <c r="N1046" i="12" s="1"/>
  <c r="L1047" i="12" a="1"/>
  <c r="L1047" i="12" s="1"/>
  <c r="L1048" i="12" a="1"/>
  <c r="L1048" i="12" s="1"/>
  <c r="L1049" i="12" a="1"/>
  <c r="L1049" i="12" s="1"/>
  <c r="L1050" i="12" a="1"/>
  <c r="L1050" i="12" s="1"/>
  <c r="L1051" i="12" a="1"/>
  <c r="L1051" i="12" s="1"/>
  <c r="L1052" i="12" a="1"/>
  <c r="L1052" i="12" s="1"/>
  <c r="M1052" i="12" s="1"/>
  <c r="N1052" i="12" s="1"/>
  <c r="L1053" i="12" a="1"/>
  <c r="L1053" i="12" s="1"/>
  <c r="M1053" i="12" s="1"/>
  <c r="N1053" i="12" s="1"/>
  <c r="L1054" i="12" a="1"/>
  <c r="L1054" i="12" s="1"/>
  <c r="M1054" i="12" s="1"/>
  <c r="N1054" i="12" s="1"/>
  <c r="L1055" i="12" a="1"/>
  <c r="L1055" i="12" s="1"/>
  <c r="M1055" i="12" s="1"/>
  <c r="N1055" i="12" s="1"/>
  <c r="L1056" i="12" a="1"/>
  <c r="L1056" i="12" s="1"/>
  <c r="L1057" i="12" a="1"/>
  <c r="L1057" i="12" s="1"/>
  <c r="L1058" i="12" a="1"/>
  <c r="L1058" i="12" s="1"/>
  <c r="L1059" i="12" a="1"/>
  <c r="L1059" i="12" s="1"/>
  <c r="L1060" i="12" a="1"/>
  <c r="L1060" i="12" s="1"/>
  <c r="L1061" i="12" a="1"/>
  <c r="L1061" i="12" s="1"/>
  <c r="L1062" i="12" a="1"/>
  <c r="L1062" i="12" s="1"/>
  <c r="M1062" i="12" s="1"/>
  <c r="N1062" i="12" s="1"/>
  <c r="L1063" i="12" a="1"/>
  <c r="L1063" i="12" s="1"/>
  <c r="L1064" i="12" a="1"/>
  <c r="L1064" i="12" s="1"/>
  <c r="L1065" i="12" a="1"/>
  <c r="L1065" i="12" s="1"/>
  <c r="L1066" i="12" a="1"/>
  <c r="L1066" i="12" s="1"/>
  <c r="L1067" i="12" a="1"/>
  <c r="L1067" i="12" s="1"/>
  <c r="L1068" i="12" a="1"/>
  <c r="L1068" i="12" s="1"/>
  <c r="M1068" i="12" s="1"/>
  <c r="N1068" i="12" s="1"/>
  <c r="L1069" i="12" a="1"/>
  <c r="L1069" i="12" s="1"/>
  <c r="M1069" i="12" s="1"/>
  <c r="N1069" i="12" s="1"/>
  <c r="L1070" i="12" a="1"/>
  <c r="L1070" i="12" s="1"/>
  <c r="M1070" i="12" s="1"/>
  <c r="N1070" i="12" s="1"/>
  <c r="L1071" i="12" a="1"/>
  <c r="L1071" i="12" s="1"/>
  <c r="M1071" i="12" s="1"/>
  <c r="N1071" i="12" s="1"/>
  <c r="L1072" i="12" a="1"/>
  <c r="L1072" i="12" s="1"/>
  <c r="L1073" i="12" a="1"/>
  <c r="L1073" i="12" s="1"/>
  <c r="L1074" i="12" a="1"/>
  <c r="L1074" i="12" s="1"/>
  <c r="M1074" i="12" s="1"/>
  <c r="N1074" i="12" s="1"/>
  <c r="L1075" i="12" a="1"/>
  <c r="L1075" i="12" s="1"/>
  <c r="L1076" i="12" a="1"/>
  <c r="L1076" i="12" s="1"/>
  <c r="L1077" i="12" a="1"/>
  <c r="L1077" i="12" s="1"/>
  <c r="L1078" i="12" a="1"/>
  <c r="L1078" i="12" s="1"/>
  <c r="M1078" i="12" s="1"/>
  <c r="N1078" i="12" s="1"/>
  <c r="L1079" i="12" a="1"/>
  <c r="L1079" i="12" s="1"/>
  <c r="L1080" i="12" a="1"/>
  <c r="L1080" i="12" s="1"/>
  <c r="L1081" i="12" a="1"/>
  <c r="L1081" i="12" s="1"/>
  <c r="L830" i="12" a="1"/>
  <c r="L830" i="12" s="1"/>
  <c r="L831" i="12" a="1"/>
  <c r="L831" i="12" s="1"/>
  <c r="L832" i="12" a="1"/>
  <c r="L832" i="12" s="1"/>
  <c r="M832" i="12" s="1"/>
  <c r="N832" i="12" s="1"/>
  <c r="L833" i="12" a="1"/>
  <c r="L833" i="12" s="1"/>
  <c r="M833" i="12" s="1"/>
  <c r="N833" i="12" s="1"/>
  <c r="L834" i="12" a="1"/>
  <c r="L834" i="12" s="1"/>
  <c r="M834" i="12" s="1"/>
  <c r="N834" i="12" s="1"/>
  <c r="L835" i="12" a="1"/>
  <c r="L835" i="12" s="1"/>
  <c r="M835" i="12" s="1"/>
  <c r="N835" i="12" s="1"/>
  <c r="L836" i="12" a="1"/>
  <c r="L836" i="12" s="1"/>
  <c r="L837" i="12" a="1"/>
  <c r="L837" i="12" s="1"/>
  <c r="L838" i="12" a="1"/>
  <c r="L838" i="12" s="1"/>
  <c r="M838" i="12" s="1"/>
  <c r="N838" i="12" s="1"/>
  <c r="L839" i="12" a="1"/>
  <c r="L839" i="12" s="1"/>
  <c r="L840" i="12" a="1"/>
  <c r="L840" i="12" s="1"/>
  <c r="L841" i="12" a="1"/>
  <c r="L841" i="12" s="1"/>
  <c r="L842" i="12" a="1"/>
  <c r="L842" i="12" s="1"/>
  <c r="M842" i="12" s="1"/>
  <c r="N842" i="12" s="1"/>
  <c r="L843" i="12" a="1"/>
  <c r="L843" i="12" s="1"/>
  <c r="L844" i="12" a="1"/>
  <c r="L844" i="12" s="1"/>
  <c r="L845" i="12" a="1"/>
  <c r="L845" i="12" s="1"/>
  <c r="L846" i="12" a="1"/>
  <c r="L846" i="12" s="1"/>
  <c r="L847" i="12" a="1"/>
  <c r="L847" i="12" s="1"/>
  <c r="L758" i="12" a="1"/>
  <c r="L758" i="12" s="1"/>
  <c r="M758" i="12" s="1"/>
  <c r="N758" i="12" s="1"/>
  <c r="L759" i="12" a="1"/>
  <c r="L759" i="12" s="1"/>
  <c r="M759" i="12" s="1"/>
  <c r="N759" i="12" s="1"/>
  <c r="L760" i="12" a="1"/>
  <c r="L760" i="12" s="1"/>
  <c r="M760" i="12" s="1"/>
  <c r="N760" i="12" s="1"/>
  <c r="L761" i="12" a="1"/>
  <c r="L761" i="12" s="1"/>
  <c r="M761" i="12" s="1"/>
  <c r="N761" i="12" s="1"/>
  <c r="L762" i="12" a="1"/>
  <c r="L762" i="12" s="1"/>
  <c r="L763" i="12" a="1"/>
  <c r="L763" i="12" s="1"/>
  <c r="L764" i="12" a="1"/>
  <c r="L764" i="12" s="1"/>
  <c r="L765" i="12" a="1"/>
  <c r="L765" i="12" s="1"/>
  <c r="L766" i="12" a="1"/>
  <c r="L766" i="12" s="1"/>
  <c r="L767" i="12" a="1"/>
  <c r="L767" i="12" s="1"/>
  <c r="L768" i="12" a="1"/>
  <c r="L768" i="12" s="1"/>
  <c r="M768" i="12" s="1"/>
  <c r="N768" i="12" s="1"/>
  <c r="L769" i="12" a="1"/>
  <c r="L769" i="12" s="1"/>
  <c r="L770" i="12" a="1"/>
  <c r="L770" i="12" s="1"/>
  <c r="L771" i="12" a="1"/>
  <c r="L771" i="12" s="1"/>
  <c r="L772" i="12" a="1"/>
  <c r="L772" i="12" s="1"/>
  <c r="L773" i="12" a="1"/>
  <c r="L773" i="12" s="1"/>
  <c r="L774" i="12" a="1"/>
  <c r="L774" i="12" s="1"/>
  <c r="M774" i="12" s="1"/>
  <c r="N774" i="12" s="1"/>
  <c r="L775" i="12" a="1"/>
  <c r="L775" i="12" s="1"/>
  <c r="L776" i="12" a="1"/>
  <c r="L776" i="12" s="1"/>
  <c r="M776" i="12" s="1"/>
  <c r="N776" i="12" s="1"/>
  <c r="L777" i="12" a="1"/>
  <c r="L777" i="12" s="1"/>
  <c r="M777" i="12" s="1"/>
  <c r="N777" i="12" s="1"/>
  <c r="L778" i="12" a="1"/>
  <c r="L778" i="12" s="1"/>
  <c r="L779" i="12" a="1"/>
  <c r="L779" i="12" s="1"/>
  <c r="L780" i="12" a="1"/>
  <c r="L780" i="12" s="1"/>
  <c r="M780" i="12" s="1"/>
  <c r="N780" i="12" s="1"/>
  <c r="L781" i="12" a="1"/>
  <c r="L781" i="12" s="1"/>
  <c r="L782" i="12" a="1"/>
  <c r="L782" i="12" s="1"/>
  <c r="L783" i="12" a="1"/>
  <c r="L783" i="12" s="1"/>
  <c r="L784" i="12" a="1"/>
  <c r="L784" i="12" s="1"/>
  <c r="M784" i="12" s="1"/>
  <c r="N784" i="12" s="1"/>
  <c r="L785" i="12" a="1"/>
  <c r="L785" i="12" s="1"/>
  <c r="L786" i="12" a="1"/>
  <c r="L786" i="12" s="1"/>
  <c r="L787" i="12" a="1"/>
  <c r="L787" i="12" s="1"/>
  <c r="L788" i="12" a="1"/>
  <c r="L788" i="12" s="1"/>
  <c r="L789" i="12" a="1"/>
  <c r="L789" i="12" s="1"/>
  <c r="M789" i="12" s="1"/>
  <c r="N789" i="12" s="1"/>
  <c r="L790" i="12" a="1"/>
  <c r="L790" i="12" s="1"/>
  <c r="M790" i="12" s="1"/>
  <c r="N790" i="12" s="1"/>
  <c r="L791" i="12" a="1"/>
  <c r="L791" i="12" s="1"/>
  <c r="L792" i="12" a="1"/>
  <c r="L792" i="12" s="1"/>
  <c r="M792" i="12" s="1"/>
  <c r="N792" i="12" s="1"/>
  <c r="L793" i="12" a="1"/>
  <c r="L793" i="12" s="1"/>
  <c r="L794" i="12" a="1"/>
  <c r="L794" i="12" s="1"/>
  <c r="L795" i="12" a="1"/>
  <c r="L795" i="12" s="1"/>
  <c r="L796" i="12" a="1"/>
  <c r="L796" i="12" s="1"/>
  <c r="M796" i="12" s="1"/>
  <c r="N796" i="12" s="1"/>
  <c r="L797" i="12" a="1"/>
  <c r="L797" i="12" s="1"/>
  <c r="L798" i="12" a="1"/>
  <c r="L798" i="12" s="1"/>
  <c r="L799" i="12" a="1"/>
  <c r="L799" i="12" s="1"/>
  <c r="L800" i="12" a="1"/>
  <c r="L800" i="12" s="1"/>
  <c r="M800" i="12" s="1"/>
  <c r="N800" i="12" s="1"/>
  <c r="L801" i="12" a="1"/>
  <c r="L801" i="12" s="1"/>
  <c r="L802" i="12" a="1"/>
  <c r="L802" i="12" s="1"/>
  <c r="L803" i="12" a="1"/>
  <c r="L803" i="12" s="1"/>
  <c r="L804" i="12" a="1"/>
  <c r="L804" i="12" s="1"/>
  <c r="M804" i="12" s="1"/>
  <c r="N804" i="12" s="1"/>
  <c r="L805" i="12" a="1"/>
  <c r="L805" i="12" s="1"/>
  <c r="M805" i="12" s="1"/>
  <c r="N805" i="12" s="1"/>
  <c r="L806" i="12" a="1"/>
  <c r="L806" i="12" s="1"/>
  <c r="L807" i="12" a="1"/>
  <c r="L807" i="12" s="1"/>
  <c r="L808" i="12" a="1"/>
  <c r="L808" i="12" s="1"/>
  <c r="M808" i="12" s="1"/>
  <c r="N808" i="12" s="1"/>
  <c r="L809" i="12" a="1"/>
  <c r="L809" i="12" s="1"/>
  <c r="L810" i="12" a="1"/>
  <c r="L810" i="12" s="1"/>
  <c r="L811" i="12" a="1"/>
  <c r="L811" i="12" s="1"/>
  <c r="L812" i="12" a="1"/>
  <c r="L812" i="12" s="1"/>
  <c r="M812" i="12" s="1"/>
  <c r="N812" i="12" s="1"/>
  <c r="L813" i="12" a="1"/>
  <c r="L813" i="12" s="1"/>
  <c r="L814" i="12" a="1"/>
  <c r="L814" i="12" s="1"/>
  <c r="L815" i="12" a="1"/>
  <c r="L815" i="12" s="1"/>
  <c r="L816" i="12" a="1"/>
  <c r="L816" i="12" s="1"/>
  <c r="M816" i="12" s="1"/>
  <c r="N816" i="12" s="1"/>
  <c r="L817" i="12" a="1"/>
  <c r="L817" i="12" s="1"/>
  <c r="L818" i="12" a="1"/>
  <c r="L818" i="12" s="1"/>
  <c r="L819" i="12" a="1"/>
  <c r="L819" i="12" s="1"/>
  <c r="L820" i="12" a="1"/>
  <c r="L820" i="12" s="1"/>
  <c r="M820" i="12" s="1"/>
  <c r="N820" i="12" s="1"/>
  <c r="L821" i="12" a="1"/>
  <c r="L821" i="12" s="1"/>
  <c r="M821" i="12" s="1"/>
  <c r="N821" i="12" s="1"/>
  <c r="L822" i="12" a="1"/>
  <c r="L822" i="12" s="1"/>
  <c r="L823" i="12" a="1"/>
  <c r="L823" i="12" s="1"/>
  <c r="L824" i="12" a="1"/>
  <c r="L824" i="12" s="1"/>
  <c r="M824" i="12" s="1"/>
  <c r="N824" i="12" s="1"/>
  <c r="L825" i="12" a="1"/>
  <c r="L825" i="12" s="1"/>
  <c r="L826" i="12" a="1"/>
  <c r="L826" i="12" s="1"/>
  <c r="L827" i="12" a="1"/>
  <c r="L827" i="12" s="1"/>
  <c r="L828" i="12" a="1"/>
  <c r="L828" i="12" s="1"/>
  <c r="M828" i="12" s="1"/>
  <c r="N828" i="12" s="1"/>
  <c r="L829" i="12" a="1"/>
  <c r="L829" i="12" s="1"/>
  <c r="L3" i="12" a="1"/>
  <c r="L3" i="12" s="1"/>
  <c r="L4" i="12" a="1"/>
  <c r="L4" i="12" s="1"/>
  <c r="L5" i="12" a="1"/>
  <c r="L5" i="12" s="1"/>
  <c r="M5" i="12" s="1"/>
  <c r="N5" i="12" s="1"/>
  <c r="L6" i="12" a="1"/>
  <c r="L6" i="12" s="1"/>
  <c r="L7" i="12" a="1"/>
  <c r="L7" i="12" s="1"/>
  <c r="L8" i="12" a="1"/>
  <c r="L8" i="12" s="1"/>
  <c r="L9" i="12" a="1"/>
  <c r="L9" i="12" s="1"/>
  <c r="M9" i="12" s="1"/>
  <c r="N9" i="12" s="1"/>
  <c r="L10" i="12" a="1"/>
  <c r="L10" i="12" s="1"/>
  <c r="M10" i="12" s="1"/>
  <c r="N10" i="12" s="1"/>
  <c r="L11" i="12" a="1"/>
  <c r="L11" i="12" s="1"/>
  <c r="L12" i="12" a="1"/>
  <c r="L12" i="12" s="1"/>
  <c r="L13" i="12" a="1"/>
  <c r="L13" i="12" s="1"/>
  <c r="M13" i="12" s="1"/>
  <c r="N13" i="12" s="1"/>
  <c r="L14" i="12" a="1"/>
  <c r="L14" i="12" s="1"/>
  <c r="M14" i="12" s="1"/>
  <c r="N14" i="12" s="1"/>
  <c r="L15" i="12" a="1"/>
  <c r="L15" i="12" s="1"/>
  <c r="L16" i="12" a="1"/>
  <c r="L16" i="12" s="1"/>
  <c r="L17" i="12" a="1"/>
  <c r="L17" i="12" s="1"/>
  <c r="M17" i="12" s="1"/>
  <c r="N17" i="12" s="1"/>
  <c r="L18" i="12" a="1"/>
  <c r="L18" i="12" s="1"/>
  <c r="L19" i="12" a="1"/>
  <c r="L19" i="12" s="1"/>
  <c r="L20" i="12" a="1"/>
  <c r="L20" i="12" s="1"/>
  <c r="L21" i="12" a="1"/>
  <c r="L21" i="12" s="1"/>
  <c r="M21" i="12" s="1"/>
  <c r="N21" i="12" s="1"/>
  <c r="L22" i="12" a="1"/>
  <c r="L22" i="12" s="1"/>
  <c r="L23" i="12" a="1"/>
  <c r="L23" i="12" s="1"/>
  <c r="L24" i="12" a="1"/>
  <c r="L24" i="12" s="1"/>
  <c r="L25" i="12" a="1"/>
  <c r="L25" i="12" s="1"/>
  <c r="M25" i="12" s="1"/>
  <c r="N25" i="12" s="1"/>
  <c r="L26" i="12" a="1"/>
  <c r="L26" i="12" s="1"/>
  <c r="M26" i="12" s="1"/>
  <c r="N26" i="12" s="1"/>
  <c r="L27" i="12" a="1"/>
  <c r="L27" i="12" s="1"/>
  <c r="L28" i="12" a="1"/>
  <c r="L28" i="12" s="1"/>
  <c r="L29" i="12" a="1"/>
  <c r="L29" i="12" s="1"/>
  <c r="M29" i="12" s="1"/>
  <c r="N29" i="12" s="1"/>
  <c r="L30" i="12" a="1"/>
  <c r="L30" i="12" s="1"/>
  <c r="M30" i="12" s="1"/>
  <c r="N30" i="12" s="1"/>
  <c r="L31" i="12" a="1"/>
  <c r="L31" i="12" s="1"/>
  <c r="L32" i="12" a="1"/>
  <c r="L32" i="12" s="1"/>
  <c r="L33" i="12" a="1"/>
  <c r="L33" i="12" s="1"/>
  <c r="M33" i="12" s="1"/>
  <c r="N33" i="12" s="1"/>
  <c r="L34" i="12" a="1"/>
  <c r="L34" i="12" s="1"/>
  <c r="L35" i="12" a="1"/>
  <c r="L35" i="12" s="1"/>
  <c r="L36" i="12" a="1"/>
  <c r="L36" i="12" s="1"/>
  <c r="L37" i="12" a="1"/>
  <c r="L37" i="12" s="1"/>
  <c r="M37" i="12" s="1"/>
  <c r="N37" i="12" s="1"/>
  <c r="L38" i="12" a="1"/>
  <c r="L38" i="12" s="1"/>
  <c r="L39" i="12" a="1"/>
  <c r="L39" i="12" s="1"/>
  <c r="L40" i="12" a="1"/>
  <c r="L40" i="12" s="1"/>
  <c r="L41" i="12" a="1"/>
  <c r="L41" i="12" s="1"/>
  <c r="M41" i="12" s="1"/>
  <c r="N41" i="12" s="1"/>
  <c r="L42" i="12" a="1"/>
  <c r="L42" i="12" s="1"/>
  <c r="M42" i="12" s="1"/>
  <c r="N42" i="12" s="1"/>
  <c r="L43" i="12" a="1"/>
  <c r="L43" i="12" s="1"/>
  <c r="L44" i="12" a="1"/>
  <c r="L44" i="12" s="1"/>
  <c r="L45" i="12" a="1"/>
  <c r="L45" i="12" s="1"/>
  <c r="M45" i="12" s="1"/>
  <c r="N45" i="12" s="1"/>
  <c r="L46" i="12" a="1"/>
  <c r="L46" i="12" s="1"/>
  <c r="M46" i="12" s="1"/>
  <c r="N46" i="12" s="1"/>
  <c r="L47" i="12" a="1"/>
  <c r="L47" i="12" s="1"/>
  <c r="L48" i="12" a="1"/>
  <c r="L48" i="12" s="1"/>
  <c r="L49" i="12" a="1"/>
  <c r="L49" i="12" s="1"/>
  <c r="M49" i="12" s="1"/>
  <c r="N49" i="12" s="1"/>
  <c r="L50" i="12" a="1"/>
  <c r="L50" i="12" s="1"/>
  <c r="L51" i="12" a="1"/>
  <c r="L51" i="12" s="1"/>
  <c r="L52" i="12" a="1"/>
  <c r="L52" i="12" s="1"/>
  <c r="L53" i="12" a="1"/>
  <c r="L53" i="12" s="1"/>
  <c r="M53" i="12" s="1"/>
  <c r="N53" i="12" s="1"/>
  <c r="L54" i="12" a="1"/>
  <c r="L54" i="12" s="1"/>
  <c r="L55" i="12" a="1"/>
  <c r="L55" i="12" s="1"/>
  <c r="L56" i="12" a="1"/>
  <c r="L56" i="12" s="1"/>
  <c r="L57" i="12" a="1"/>
  <c r="L57" i="12" s="1"/>
  <c r="M57" i="12" s="1"/>
  <c r="N57" i="12" s="1"/>
  <c r="L58" i="12" a="1"/>
  <c r="L58" i="12" s="1"/>
  <c r="M58" i="12" s="1"/>
  <c r="N58" i="12" s="1"/>
  <c r="L59" i="12" a="1"/>
  <c r="L59" i="12" s="1"/>
  <c r="L60" i="12" a="1"/>
  <c r="L60" i="12" s="1"/>
  <c r="L61" i="12" a="1"/>
  <c r="L61" i="12" s="1"/>
  <c r="M61" i="12" s="1"/>
  <c r="N61" i="12" s="1"/>
  <c r="L62" i="12" a="1"/>
  <c r="L62" i="12" s="1"/>
  <c r="M62" i="12" s="1"/>
  <c r="N62" i="12" s="1"/>
  <c r="L63" i="12" a="1"/>
  <c r="L63" i="12" s="1"/>
  <c r="L64" i="12" a="1"/>
  <c r="L64" i="12" s="1"/>
  <c r="L65" i="12" a="1"/>
  <c r="L65" i="12" s="1"/>
  <c r="L66" i="12" a="1"/>
  <c r="L66" i="12" s="1"/>
  <c r="L67" i="12" a="1"/>
  <c r="L67" i="12" s="1"/>
  <c r="L68" i="12" a="1"/>
  <c r="L68" i="12" s="1"/>
  <c r="L69" i="12" a="1"/>
  <c r="L69" i="12" s="1"/>
  <c r="M69" i="12" s="1"/>
  <c r="N69" i="12" s="1"/>
  <c r="L70" i="12" a="1"/>
  <c r="L70" i="12" s="1"/>
  <c r="L71" i="12" a="1"/>
  <c r="L71" i="12" s="1"/>
  <c r="L72" i="12" a="1"/>
  <c r="L72" i="12" s="1"/>
  <c r="L73" i="12" a="1"/>
  <c r="L73" i="12" s="1"/>
  <c r="M73" i="12" s="1"/>
  <c r="N73" i="12" s="1"/>
  <c r="L74" i="12" a="1"/>
  <c r="L74" i="12" s="1"/>
  <c r="M74" i="12" s="1"/>
  <c r="N74" i="12" s="1"/>
  <c r="L75" i="12" a="1"/>
  <c r="L75" i="12" s="1"/>
  <c r="L76" i="12" a="1"/>
  <c r="L76" i="12" s="1"/>
  <c r="L77" i="12" a="1"/>
  <c r="L77" i="12" s="1"/>
  <c r="M77" i="12" s="1"/>
  <c r="N77" i="12" s="1"/>
  <c r="L78" i="12" a="1"/>
  <c r="L78" i="12" s="1"/>
  <c r="M78" i="12" s="1"/>
  <c r="N78" i="12" s="1"/>
  <c r="L79" i="12" a="1"/>
  <c r="L79" i="12" s="1"/>
  <c r="L80" i="12" a="1"/>
  <c r="L80" i="12" s="1"/>
  <c r="L81" i="12" a="1"/>
  <c r="L81" i="12" s="1"/>
  <c r="M81" i="12" s="1"/>
  <c r="N81" i="12" s="1"/>
  <c r="L82" i="12" a="1"/>
  <c r="L82" i="12" s="1"/>
  <c r="L83" i="12" a="1"/>
  <c r="L83" i="12" s="1"/>
  <c r="L84" i="12" a="1"/>
  <c r="L84" i="12" s="1"/>
  <c r="L85" i="12" a="1"/>
  <c r="L85" i="12" s="1"/>
  <c r="M85" i="12" s="1"/>
  <c r="N85" i="12" s="1"/>
  <c r="L86" i="12" a="1"/>
  <c r="L86" i="12" s="1"/>
  <c r="L87" i="12" a="1"/>
  <c r="L87" i="12" s="1"/>
  <c r="L88" i="12" a="1"/>
  <c r="L88" i="12" s="1"/>
  <c r="L89" i="12" a="1"/>
  <c r="L89" i="12" s="1"/>
  <c r="L90" i="12" a="1"/>
  <c r="L90" i="12" s="1"/>
  <c r="M90" i="12" s="1"/>
  <c r="N90" i="12" s="1"/>
  <c r="L91" i="12" a="1"/>
  <c r="L91" i="12" s="1"/>
  <c r="L92" i="12" a="1"/>
  <c r="L92" i="12" s="1"/>
  <c r="L93" i="12" a="1"/>
  <c r="L93" i="12" s="1"/>
  <c r="M93" i="12" s="1"/>
  <c r="N93" i="12" s="1"/>
  <c r="L94" i="12" a="1"/>
  <c r="L94" i="12" s="1"/>
  <c r="M94" i="12" s="1"/>
  <c r="N94" i="12" s="1"/>
  <c r="L95" i="12" a="1"/>
  <c r="L95" i="12" s="1"/>
  <c r="M95" i="12" s="1"/>
  <c r="N95" i="12" s="1"/>
  <c r="L96" i="12" a="1"/>
  <c r="L96" i="12" s="1"/>
  <c r="L97" i="12" a="1"/>
  <c r="L97" i="12" s="1"/>
  <c r="M97" i="12" s="1"/>
  <c r="N97" i="12" s="1"/>
  <c r="L98" i="12" a="1"/>
  <c r="L98" i="12" s="1"/>
  <c r="L99" i="12" a="1"/>
  <c r="L99" i="12" s="1"/>
  <c r="L100" i="12" a="1"/>
  <c r="L100" i="12" s="1"/>
  <c r="L101" i="12" a="1"/>
  <c r="L101" i="12" s="1"/>
  <c r="M101" i="12" s="1"/>
  <c r="N101" i="12" s="1"/>
  <c r="L102" i="12" a="1"/>
  <c r="L102" i="12" s="1"/>
  <c r="L103" i="12" a="1"/>
  <c r="L103" i="12" s="1"/>
  <c r="L104" i="12" a="1"/>
  <c r="L104" i="12" s="1"/>
  <c r="M104" i="12" s="1"/>
  <c r="N104" i="12" s="1"/>
  <c r="L105" i="12" a="1"/>
  <c r="L105" i="12" s="1"/>
  <c r="M105" i="12" s="1"/>
  <c r="N105" i="12" s="1"/>
  <c r="L106" i="12" a="1"/>
  <c r="L106" i="12" s="1"/>
  <c r="L107" i="12" a="1"/>
  <c r="L107" i="12" s="1"/>
  <c r="L108" i="12" a="1"/>
  <c r="L108" i="12" s="1"/>
  <c r="L109" i="12" a="1"/>
  <c r="L109" i="12" s="1"/>
  <c r="M109" i="12" s="1"/>
  <c r="N109" i="12" s="1"/>
  <c r="L110" i="12" a="1"/>
  <c r="L110" i="12" s="1"/>
  <c r="M110" i="12" s="1"/>
  <c r="N110" i="12" s="1"/>
  <c r="L111" i="12" a="1"/>
  <c r="L111" i="12" s="1"/>
  <c r="L112" i="12" a="1"/>
  <c r="L112" i="12" s="1"/>
  <c r="L113" i="12" a="1"/>
  <c r="L113" i="12" s="1"/>
  <c r="M113" i="12" s="1"/>
  <c r="N113" i="12" s="1"/>
  <c r="L114" i="12" a="1"/>
  <c r="L114" i="12" s="1"/>
  <c r="L115" i="12" a="1"/>
  <c r="L115" i="12" s="1"/>
  <c r="L116" i="12" a="1"/>
  <c r="L116" i="12" s="1"/>
  <c r="L117" i="12" a="1"/>
  <c r="L117" i="12" s="1"/>
  <c r="M117" i="12" s="1"/>
  <c r="N117" i="12" s="1"/>
  <c r="L118" i="12" a="1"/>
  <c r="L118" i="12" s="1"/>
  <c r="L119" i="12" a="1"/>
  <c r="L119" i="12" s="1"/>
  <c r="L120" i="12" a="1"/>
  <c r="L120" i="12" s="1"/>
  <c r="M120" i="12" s="1"/>
  <c r="N120" i="12" s="1"/>
  <c r="L121" i="12" a="1"/>
  <c r="L121" i="12" s="1"/>
  <c r="M121" i="12" s="1"/>
  <c r="N121" i="12" s="1"/>
  <c r="L122" i="12" a="1"/>
  <c r="L122" i="12" s="1"/>
  <c r="L123" i="12" a="1"/>
  <c r="L123" i="12" s="1"/>
  <c r="L124" i="12" a="1"/>
  <c r="L124" i="12" s="1"/>
  <c r="L125" i="12" a="1"/>
  <c r="L125" i="12" s="1"/>
  <c r="M125" i="12" s="1"/>
  <c r="N125" i="12" s="1"/>
  <c r="L126" i="12" a="1"/>
  <c r="L126" i="12" s="1"/>
  <c r="M126" i="12" s="1"/>
  <c r="N126" i="12" s="1"/>
  <c r="L127" i="12" a="1"/>
  <c r="L127" i="12" s="1"/>
  <c r="L128" i="12" a="1"/>
  <c r="L128" i="12" s="1"/>
  <c r="L129" i="12" a="1"/>
  <c r="L129" i="12" s="1"/>
  <c r="M129" i="12" s="1"/>
  <c r="N129" i="12" s="1"/>
  <c r="L130" i="12" a="1"/>
  <c r="L130" i="12" s="1"/>
  <c r="L131" i="12" a="1"/>
  <c r="L131" i="12" s="1"/>
  <c r="M131" i="12" s="1"/>
  <c r="N131" i="12" s="1"/>
  <c r="L132" i="12" a="1"/>
  <c r="L132" i="12" s="1"/>
  <c r="L133" i="12" a="1"/>
  <c r="L133" i="12" s="1"/>
  <c r="M133" i="12" s="1"/>
  <c r="N133" i="12" s="1"/>
  <c r="L134" i="12" a="1"/>
  <c r="L134" i="12" s="1"/>
  <c r="L135" i="12" a="1"/>
  <c r="L135" i="12" s="1"/>
  <c r="L136" i="12" a="1"/>
  <c r="L136" i="12" s="1"/>
  <c r="M136" i="12" s="1"/>
  <c r="N136" i="12" s="1"/>
  <c r="L137" i="12" a="1"/>
  <c r="L137" i="12" s="1"/>
  <c r="M137" i="12" s="1"/>
  <c r="N137" i="12" s="1"/>
  <c r="L138" i="12" a="1"/>
  <c r="L138" i="12" s="1"/>
  <c r="L139" i="12" a="1"/>
  <c r="L139" i="12" s="1"/>
  <c r="L140" i="12" a="1"/>
  <c r="L140" i="12" s="1"/>
  <c r="L141" i="12" a="1"/>
  <c r="L141" i="12" s="1"/>
  <c r="M141" i="12" s="1"/>
  <c r="N141" i="12" s="1"/>
  <c r="L142" i="12" a="1"/>
  <c r="L142" i="12" s="1"/>
  <c r="M142" i="12" s="1"/>
  <c r="N142" i="12" s="1"/>
  <c r="L143" i="12" a="1"/>
  <c r="L143" i="12" s="1"/>
  <c r="L144" i="12" a="1"/>
  <c r="L144" i="12" s="1"/>
  <c r="L145" i="12" a="1"/>
  <c r="L145" i="12" s="1"/>
  <c r="M145" i="12" s="1"/>
  <c r="N145" i="12" s="1"/>
  <c r="L146" i="12" a="1"/>
  <c r="L146" i="12" s="1"/>
  <c r="L147" i="12" a="1"/>
  <c r="L147" i="12" s="1"/>
  <c r="L148" i="12" a="1"/>
  <c r="L148" i="12" s="1"/>
  <c r="L149" i="12" a="1"/>
  <c r="L149" i="12" s="1"/>
  <c r="M149" i="12" s="1"/>
  <c r="N149" i="12" s="1"/>
  <c r="L150" i="12" a="1"/>
  <c r="L150" i="12" s="1"/>
  <c r="L151" i="12" a="1"/>
  <c r="L151" i="12" s="1"/>
  <c r="L152" i="12" a="1"/>
  <c r="L152" i="12" s="1"/>
  <c r="M152" i="12" s="1"/>
  <c r="N152" i="12" s="1"/>
  <c r="L153" i="12" a="1"/>
  <c r="L153" i="12" s="1"/>
  <c r="M153" i="12" s="1"/>
  <c r="N153" i="12" s="1"/>
  <c r="L154" i="12" a="1"/>
  <c r="L154" i="12" s="1"/>
  <c r="L155" i="12" a="1"/>
  <c r="L155" i="12" s="1"/>
  <c r="L156" i="12" a="1"/>
  <c r="L156" i="12" s="1"/>
  <c r="L157" i="12" a="1"/>
  <c r="L157" i="12" s="1"/>
  <c r="M157" i="12" s="1"/>
  <c r="N157" i="12" s="1"/>
  <c r="L158" i="12" a="1"/>
  <c r="L158" i="12" s="1"/>
  <c r="M158" i="12" s="1"/>
  <c r="N158" i="12" s="1"/>
  <c r="L159" i="12" a="1"/>
  <c r="L159" i="12" s="1"/>
  <c r="L160" i="12" a="1"/>
  <c r="L160" i="12" s="1"/>
  <c r="L161" i="12" a="1"/>
  <c r="L161" i="12" s="1"/>
  <c r="M161" i="12" s="1"/>
  <c r="N161" i="12" s="1"/>
  <c r="L162" i="12" a="1"/>
  <c r="L162" i="12" s="1"/>
  <c r="L163" i="12" a="1"/>
  <c r="L163" i="12" s="1"/>
  <c r="L164" i="12" a="1"/>
  <c r="L164" i="12" s="1"/>
  <c r="L165" i="12" a="1"/>
  <c r="L165" i="12" s="1"/>
  <c r="M165" i="12" s="1"/>
  <c r="N165" i="12" s="1"/>
  <c r="L166" i="12" a="1"/>
  <c r="L166" i="12" s="1"/>
  <c r="L167" i="12" a="1"/>
  <c r="L167" i="12" s="1"/>
  <c r="L168" i="12" a="1"/>
  <c r="L168" i="12" s="1"/>
  <c r="M168" i="12" s="1"/>
  <c r="N168" i="12" s="1"/>
  <c r="L169" i="12" a="1"/>
  <c r="L169" i="12" s="1"/>
  <c r="M169" i="12" s="1"/>
  <c r="N169" i="12" s="1"/>
  <c r="L170" i="12" a="1"/>
  <c r="L170" i="12" s="1"/>
  <c r="M170" i="12" s="1"/>
  <c r="N170" i="12" s="1"/>
  <c r="L171" i="12" a="1"/>
  <c r="L171" i="12" s="1"/>
  <c r="L172" i="12" a="1"/>
  <c r="L172" i="12" s="1"/>
  <c r="L173" i="12" a="1"/>
  <c r="L173" i="12" s="1"/>
  <c r="M173" i="12" s="1"/>
  <c r="N173" i="12" s="1"/>
  <c r="L174" i="12" a="1"/>
  <c r="L174" i="12" s="1"/>
  <c r="M174" i="12" s="1"/>
  <c r="N174" i="12" s="1"/>
  <c r="L175" i="12" a="1"/>
  <c r="L175" i="12" s="1"/>
  <c r="L176" i="12" a="1"/>
  <c r="L176" i="12" s="1"/>
  <c r="L177" i="12" a="1"/>
  <c r="L177" i="12" s="1"/>
  <c r="M177" i="12" s="1"/>
  <c r="N177" i="12" s="1"/>
  <c r="L178" i="12" a="1"/>
  <c r="L178" i="12" s="1"/>
  <c r="M178" i="12" s="1"/>
  <c r="N178" i="12" s="1"/>
  <c r="L179" i="12" a="1"/>
  <c r="L179" i="12" s="1"/>
  <c r="L180" i="12" a="1"/>
  <c r="L180" i="12" s="1"/>
  <c r="L181" i="12" a="1"/>
  <c r="L181" i="12" s="1"/>
  <c r="M181" i="12" s="1"/>
  <c r="N181" i="12" s="1"/>
  <c r="L182" i="12" a="1"/>
  <c r="L182" i="12" s="1"/>
  <c r="L183" i="12" a="1"/>
  <c r="L183" i="12" s="1"/>
  <c r="L184" i="12" a="1"/>
  <c r="L184" i="12" s="1"/>
  <c r="M184" i="12" s="1"/>
  <c r="N184" i="12" s="1"/>
  <c r="L185" i="12" a="1"/>
  <c r="L185" i="12" s="1"/>
  <c r="M185" i="12" s="1"/>
  <c r="N185" i="12" s="1"/>
  <c r="L186" i="12" a="1"/>
  <c r="L186" i="12" s="1"/>
  <c r="M186" i="12" s="1"/>
  <c r="N186" i="12" s="1"/>
  <c r="L187" i="12" a="1"/>
  <c r="L187" i="12" s="1"/>
  <c r="L188" i="12" a="1"/>
  <c r="L188" i="12" s="1"/>
  <c r="L189" i="12" a="1"/>
  <c r="L189" i="12" s="1"/>
  <c r="M189" i="12" s="1"/>
  <c r="N189" i="12" s="1"/>
  <c r="L190" i="12" a="1"/>
  <c r="L190" i="12" s="1"/>
  <c r="M190" i="12" s="1"/>
  <c r="N190" i="12" s="1"/>
  <c r="L191" i="12" a="1"/>
  <c r="L191" i="12" s="1"/>
  <c r="L192" i="12" a="1"/>
  <c r="L192" i="12" s="1"/>
  <c r="L193" i="12" a="1"/>
  <c r="L193" i="12" s="1"/>
  <c r="M193" i="12" s="1"/>
  <c r="N193" i="12" s="1"/>
  <c r="L194" i="12" a="1"/>
  <c r="L194" i="12" s="1"/>
  <c r="M194" i="12" s="1"/>
  <c r="N194" i="12" s="1"/>
  <c r="L195" i="12" a="1"/>
  <c r="L195" i="12" s="1"/>
  <c r="L196" i="12" a="1"/>
  <c r="L196" i="12" s="1"/>
  <c r="L197" i="12" a="1"/>
  <c r="L197" i="12" s="1"/>
  <c r="M197" i="12" s="1"/>
  <c r="N197" i="12" s="1"/>
  <c r="L198" i="12" a="1"/>
  <c r="L198" i="12" s="1"/>
  <c r="L199" i="12" a="1"/>
  <c r="L199" i="12" s="1"/>
  <c r="L200" i="12" a="1"/>
  <c r="L200" i="12" s="1"/>
  <c r="L201" i="12" a="1"/>
  <c r="L201" i="12" s="1"/>
  <c r="M201" i="12" s="1"/>
  <c r="N201" i="12" s="1"/>
  <c r="L202" i="12" a="1"/>
  <c r="L202" i="12" s="1"/>
  <c r="L203" i="12" a="1"/>
  <c r="L203" i="12" s="1"/>
  <c r="L204" i="12" a="1"/>
  <c r="L204" i="12" s="1"/>
  <c r="L205" i="12" a="1"/>
  <c r="L205" i="12" s="1"/>
  <c r="M205" i="12" s="1"/>
  <c r="N205" i="12" s="1"/>
  <c r="L206" i="12" a="1"/>
  <c r="L206" i="12" s="1"/>
  <c r="M206" i="12" s="1"/>
  <c r="N206" i="12" s="1"/>
  <c r="L207" i="12" a="1"/>
  <c r="L207" i="12" s="1"/>
  <c r="M207" i="12" s="1"/>
  <c r="N207" i="12" s="1"/>
  <c r="L208" i="12" a="1"/>
  <c r="L208" i="12" s="1"/>
  <c r="M208" i="12" s="1"/>
  <c r="N208" i="12" s="1"/>
  <c r="L209" i="12" a="1"/>
  <c r="L209" i="12" s="1"/>
  <c r="M209" i="12" s="1"/>
  <c r="N209" i="12" s="1"/>
  <c r="L210" i="12" a="1"/>
  <c r="L210" i="12" s="1"/>
  <c r="M210" i="12" s="1"/>
  <c r="N210" i="12" s="1"/>
  <c r="L211" i="12" a="1"/>
  <c r="L211" i="12" s="1"/>
  <c r="L212" i="12" a="1"/>
  <c r="L212" i="12" s="1"/>
  <c r="L213" i="12" a="1"/>
  <c r="L213" i="12" s="1"/>
  <c r="M213" i="12" s="1"/>
  <c r="N213" i="12" s="1"/>
  <c r="L214" i="12" a="1"/>
  <c r="L214" i="12" s="1"/>
  <c r="L215" i="12" a="1"/>
  <c r="L215" i="12" s="1"/>
  <c r="L216" i="12" a="1"/>
  <c r="L216" i="12" s="1"/>
  <c r="L217" i="12" a="1"/>
  <c r="L217" i="12" s="1"/>
  <c r="M217" i="12" s="1"/>
  <c r="N217" i="12" s="1"/>
  <c r="L218" i="12" a="1"/>
  <c r="L218" i="12" s="1"/>
  <c r="L219" i="12" a="1"/>
  <c r="L219" i="12" s="1"/>
  <c r="L220" i="12" a="1"/>
  <c r="L220" i="12" s="1"/>
  <c r="L221" i="12" a="1"/>
  <c r="L221" i="12" s="1"/>
  <c r="M221" i="12" s="1"/>
  <c r="N221" i="12" s="1"/>
  <c r="L222" i="12" a="1"/>
  <c r="L222" i="12" s="1"/>
  <c r="M222" i="12" s="1"/>
  <c r="N222" i="12" s="1"/>
  <c r="L223" i="12" a="1"/>
  <c r="L223" i="12" s="1"/>
  <c r="L224" i="12" a="1"/>
  <c r="L224" i="12" s="1"/>
  <c r="L225" i="12" a="1"/>
  <c r="L225" i="12" s="1"/>
  <c r="M225" i="12" s="1"/>
  <c r="N225" i="12" s="1"/>
  <c r="L226" i="12" a="1"/>
  <c r="L226" i="12" s="1"/>
  <c r="M226" i="12" s="1"/>
  <c r="N226" i="12" s="1"/>
  <c r="L227" i="12" a="1"/>
  <c r="L227" i="12" s="1"/>
  <c r="L228" i="12" a="1"/>
  <c r="L228" i="12" s="1"/>
  <c r="L229" i="12" a="1"/>
  <c r="L229" i="12" s="1"/>
  <c r="M229" i="12" s="1"/>
  <c r="N229" i="12" s="1"/>
  <c r="L230" i="12" a="1"/>
  <c r="L230" i="12" s="1"/>
  <c r="L231" i="12" a="1"/>
  <c r="L231" i="12" s="1"/>
  <c r="L232" i="12" a="1"/>
  <c r="L232" i="12" s="1"/>
  <c r="M232" i="12" s="1"/>
  <c r="N232" i="12" s="1"/>
  <c r="L233" i="12" a="1"/>
  <c r="L233" i="12" s="1"/>
  <c r="M233" i="12" s="1"/>
  <c r="N233" i="12" s="1"/>
  <c r="L234" i="12" a="1"/>
  <c r="L234" i="12" s="1"/>
  <c r="L235" i="12" a="1"/>
  <c r="L235" i="12" s="1"/>
  <c r="L236" i="12" a="1"/>
  <c r="L236" i="12" s="1"/>
  <c r="L237" i="12" a="1"/>
  <c r="L237" i="12" s="1"/>
  <c r="M237" i="12" s="1"/>
  <c r="N237" i="12" s="1"/>
  <c r="L238" i="12" a="1"/>
  <c r="L238" i="12" s="1"/>
  <c r="M238" i="12" s="1"/>
  <c r="N238" i="12" s="1"/>
  <c r="L239" i="12" a="1"/>
  <c r="L239" i="12" s="1"/>
  <c r="L240" i="12" a="1"/>
  <c r="L240" i="12" s="1"/>
  <c r="L241" i="12" a="1"/>
  <c r="L241" i="12" s="1"/>
  <c r="M241" i="12" s="1"/>
  <c r="N241" i="12" s="1"/>
  <c r="L242" i="12" a="1"/>
  <c r="L242" i="12" s="1"/>
  <c r="M242" i="12" s="1"/>
  <c r="N242" i="12" s="1"/>
  <c r="L243" i="12" a="1"/>
  <c r="L243" i="12" s="1"/>
  <c r="L244" i="12" a="1"/>
  <c r="L244" i="12" s="1"/>
  <c r="L245" i="12" a="1"/>
  <c r="L245" i="12" s="1"/>
  <c r="M245" i="12" s="1"/>
  <c r="N245" i="12" s="1"/>
  <c r="L246" i="12" a="1"/>
  <c r="L246" i="12" s="1"/>
  <c r="M246" i="12" s="1"/>
  <c r="N246" i="12" s="1"/>
  <c r="L247" i="12" a="1"/>
  <c r="L247" i="12" s="1"/>
  <c r="L248" i="12" a="1"/>
  <c r="L248" i="12" s="1"/>
  <c r="M248" i="12" s="1"/>
  <c r="N248" i="12" s="1"/>
  <c r="L249" i="12" a="1"/>
  <c r="L249" i="12" s="1"/>
  <c r="M249" i="12" s="1"/>
  <c r="N249" i="12" s="1"/>
  <c r="L250" i="12" a="1"/>
  <c r="L250" i="12" s="1"/>
  <c r="L251" i="12" a="1"/>
  <c r="L251" i="12" s="1"/>
  <c r="L252" i="12" a="1"/>
  <c r="L252" i="12" s="1"/>
  <c r="L253" i="12" a="1"/>
  <c r="L253" i="12" s="1"/>
  <c r="M253" i="12" s="1"/>
  <c r="N253" i="12" s="1"/>
  <c r="L254" i="12" a="1"/>
  <c r="L254" i="12" s="1"/>
  <c r="M254" i="12" s="1"/>
  <c r="N254" i="12" s="1"/>
  <c r="L255" i="12" a="1"/>
  <c r="L255" i="12" s="1"/>
  <c r="L256" i="12" a="1"/>
  <c r="L256" i="12" s="1"/>
  <c r="L257" i="12" a="1"/>
  <c r="L257" i="12" s="1"/>
  <c r="M257" i="12" s="1"/>
  <c r="N257" i="12" s="1"/>
  <c r="L258" i="12" a="1"/>
  <c r="L258" i="12" s="1"/>
  <c r="M258" i="12" s="1"/>
  <c r="N258" i="12" s="1"/>
  <c r="L259" i="12" a="1"/>
  <c r="L259" i="12" s="1"/>
  <c r="L260" i="12" a="1"/>
  <c r="L260" i="12" s="1"/>
  <c r="L261" i="12" a="1"/>
  <c r="L261" i="12" s="1"/>
  <c r="M261" i="12" s="1"/>
  <c r="N261" i="12" s="1"/>
  <c r="L262" i="12" a="1"/>
  <c r="L262" i="12" s="1"/>
  <c r="M262" i="12" s="1"/>
  <c r="N262" i="12" s="1"/>
  <c r="L263" i="12" a="1"/>
  <c r="L263" i="12" s="1"/>
  <c r="L264" i="12" a="1"/>
  <c r="L264" i="12" s="1"/>
  <c r="M264" i="12" s="1"/>
  <c r="N264" i="12" s="1"/>
  <c r="L265" i="12" a="1"/>
  <c r="L265" i="12" s="1"/>
  <c r="M265" i="12" s="1"/>
  <c r="N265" i="12" s="1"/>
  <c r="L266" i="12" a="1"/>
  <c r="L266" i="12" s="1"/>
  <c r="L267" i="12" a="1"/>
  <c r="L267" i="12" s="1"/>
  <c r="L268" i="12" a="1"/>
  <c r="L268" i="12" s="1"/>
  <c r="L269" i="12" a="1"/>
  <c r="L269" i="12" s="1"/>
  <c r="M269" i="12" s="1"/>
  <c r="N269" i="12" s="1"/>
  <c r="L270" i="12" a="1"/>
  <c r="L270" i="12" s="1"/>
  <c r="M270" i="12" s="1"/>
  <c r="N270" i="12" s="1"/>
  <c r="L271" i="12" a="1"/>
  <c r="L271" i="12" s="1"/>
  <c r="L272" i="12" a="1"/>
  <c r="L272" i="12" s="1"/>
  <c r="M272" i="12" s="1"/>
  <c r="N272" i="12" s="1"/>
  <c r="L273" i="12" a="1"/>
  <c r="L273" i="12" s="1"/>
  <c r="M273" i="12" s="1"/>
  <c r="N273" i="12" s="1"/>
  <c r="L274" i="12" a="1"/>
  <c r="L274" i="12" s="1"/>
  <c r="M274" i="12" s="1"/>
  <c r="N274" i="12" s="1"/>
  <c r="L275" i="12" a="1"/>
  <c r="L275" i="12" s="1"/>
  <c r="L276" i="12" a="1"/>
  <c r="L276" i="12" s="1"/>
  <c r="L277" i="12" a="1"/>
  <c r="L277" i="12" s="1"/>
  <c r="M277" i="12" s="1"/>
  <c r="N277" i="12" s="1"/>
  <c r="L278" i="12" a="1"/>
  <c r="L278" i="12" s="1"/>
  <c r="M278" i="12" s="1"/>
  <c r="N278" i="12" s="1"/>
  <c r="L279" i="12" a="1"/>
  <c r="L279" i="12" s="1"/>
  <c r="L280" i="12" a="1"/>
  <c r="L280" i="12" s="1"/>
  <c r="L281" i="12" a="1"/>
  <c r="L281" i="12" s="1"/>
  <c r="L282" i="12" a="1"/>
  <c r="L282" i="12" s="1"/>
  <c r="M282" i="12" s="1"/>
  <c r="N282" i="12" s="1"/>
  <c r="L283" i="12" a="1"/>
  <c r="L283" i="12" s="1"/>
  <c r="L284" i="12" a="1"/>
  <c r="L284" i="12" s="1"/>
  <c r="L285" i="12" a="1"/>
  <c r="L285" i="12" s="1"/>
  <c r="M285" i="12" s="1"/>
  <c r="N285" i="12" s="1"/>
  <c r="L286" i="12" a="1"/>
  <c r="L286" i="12" s="1"/>
  <c r="M286" i="12" s="1"/>
  <c r="N286" i="12" s="1"/>
  <c r="L287" i="12" a="1"/>
  <c r="L287" i="12" s="1"/>
  <c r="L288" i="12" a="1"/>
  <c r="L288" i="12" s="1"/>
  <c r="M288" i="12" s="1"/>
  <c r="N288" i="12" s="1"/>
  <c r="L289" i="12" a="1"/>
  <c r="L289" i="12" s="1"/>
  <c r="M289" i="12" s="1"/>
  <c r="N289" i="12" s="1"/>
  <c r="L290" i="12" a="1"/>
  <c r="L290" i="12" s="1"/>
  <c r="M290" i="12" s="1"/>
  <c r="N290" i="12" s="1"/>
  <c r="L291" i="12" a="1"/>
  <c r="L291" i="12" s="1"/>
  <c r="L292" i="12" a="1"/>
  <c r="L292" i="12" s="1"/>
  <c r="L293" i="12" a="1"/>
  <c r="L293" i="12" s="1"/>
  <c r="L294" i="12" a="1"/>
  <c r="L294" i="12" s="1"/>
  <c r="M294" i="12" s="1"/>
  <c r="N294" i="12" s="1"/>
  <c r="L295" i="12" a="1"/>
  <c r="L295" i="12" s="1"/>
  <c r="M295" i="12" s="1"/>
  <c r="N295" i="12" s="1"/>
  <c r="L296" i="12" a="1"/>
  <c r="L296" i="12" s="1"/>
  <c r="M296" i="12" s="1"/>
  <c r="N296" i="12" s="1"/>
  <c r="L297" i="12" a="1"/>
  <c r="L297" i="12" s="1"/>
  <c r="L298" i="12" a="1"/>
  <c r="L298" i="12" s="1"/>
  <c r="M298" i="12" s="1"/>
  <c r="N298" i="12" s="1"/>
  <c r="L299" i="12" a="1"/>
  <c r="L299" i="12" s="1"/>
  <c r="L300" i="12" a="1"/>
  <c r="L300" i="12" s="1"/>
  <c r="M300" i="12" s="1"/>
  <c r="N300" i="12" s="1"/>
  <c r="L301" i="12" a="1"/>
  <c r="L301" i="12" s="1"/>
  <c r="M301" i="12" s="1"/>
  <c r="N301" i="12" s="1"/>
  <c r="L302" i="12" a="1"/>
  <c r="L302" i="12" s="1"/>
  <c r="M302" i="12" s="1"/>
  <c r="N302" i="12" s="1"/>
  <c r="L303" i="12" a="1"/>
  <c r="L303" i="12" s="1"/>
  <c r="L304" i="12" a="1"/>
  <c r="L304" i="12" s="1"/>
  <c r="M304" i="12" s="1"/>
  <c r="N304" i="12" s="1"/>
  <c r="L305" i="12" a="1"/>
  <c r="L305" i="12" s="1"/>
  <c r="M305" i="12" s="1"/>
  <c r="N305" i="12" s="1"/>
  <c r="L306" i="12" a="1"/>
  <c r="L306" i="12" s="1"/>
  <c r="M306" i="12" s="1"/>
  <c r="N306" i="12" s="1"/>
  <c r="L307" i="12" a="1"/>
  <c r="L307" i="12" s="1"/>
  <c r="L308" i="12" a="1"/>
  <c r="L308" i="12" s="1"/>
  <c r="L309" i="12" a="1"/>
  <c r="L309" i="12" s="1"/>
  <c r="L310" i="12" a="1"/>
  <c r="L310" i="12" s="1"/>
  <c r="M310" i="12" s="1"/>
  <c r="N310" i="12" s="1"/>
  <c r="L311" i="12" a="1"/>
  <c r="L311" i="12" s="1"/>
  <c r="L312" i="12" a="1"/>
  <c r="L312" i="12" s="1"/>
  <c r="M312" i="12" s="1"/>
  <c r="N312" i="12" s="1"/>
  <c r="L313" i="12" a="1"/>
  <c r="L313" i="12" s="1"/>
  <c r="L314" i="12" a="1"/>
  <c r="L314" i="12" s="1"/>
  <c r="M314" i="12" s="1"/>
  <c r="N314" i="12" s="1"/>
  <c r="L315" i="12" a="1"/>
  <c r="L315" i="12" s="1"/>
  <c r="L316" i="12" a="1"/>
  <c r="L316" i="12" s="1"/>
  <c r="M316" i="12" s="1"/>
  <c r="N316" i="12" s="1"/>
  <c r="L317" i="12" a="1"/>
  <c r="L317" i="12" s="1"/>
  <c r="M317" i="12" s="1"/>
  <c r="N317" i="12" s="1"/>
  <c r="L318" i="12" a="1"/>
  <c r="L318" i="12" s="1"/>
  <c r="M318" i="12" s="1"/>
  <c r="N318" i="12" s="1"/>
  <c r="L319" i="12" a="1"/>
  <c r="L319" i="12" s="1"/>
  <c r="L320" i="12" a="1"/>
  <c r="L320" i="12" s="1"/>
  <c r="L321" i="12" a="1"/>
  <c r="L321" i="12" s="1"/>
  <c r="M321" i="12" s="1"/>
  <c r="N321" i="12" s="1"/>
  <c r="L322" i="12" a="1"/>
  <c r="L322" i="12" s="1"/>
  <c r="M322" i="12" s="1"/>
  <c r="N322" i="12" s="1"/>
  <c r="L323" i="12" a="1"/>
  <c r="L323" i="12" s="1"/>
  <c r="L324" i="12" a="1"/>
  <c r="L324" i="12" s="1"/>
  <c r="L325" i="12" a="1"/>
  <c r="L325" i="12" s="1"/>
  <c r="M325" i="12" s="1"/>
  <c r="N325" i="12" s="1"/>
  <c r="L326" i="12" a="1"/>
  <c r="L326" i="12" s="1"/>
  <c r="M326" i="12" s="1"/>
  <c r="N326" i="12" s="1"/>
  <c r="L327" i="12" a="1"/>
  <c r="L327" i="12" s="1"/>
  <c r="M327" i="12" s="1"/>
  <c r="N327" i="12" s="1"/>
  <c r="L328" i="12" a="1"/>
  <c r="L328" i="12" s="1"/>
  <c r="M328" i="12" s="1"/>
  <c r="N328" i="12" s="1"/>
  <c r="L329" i="12" a="1"/>
  <c r="L329" i="12" s="1"/>
  <c r="L330" i="12" a="1"/>
  <c r="L330" i="12" s="1"/>
  <c r="L331" i="12" a="1"/>
  <c r="L331" i="12" s="1"/>
  <c r="L332" i="12" a="1"/>
  <c r="L332" i="12" s="1"/>
  <c r="M332" i="12" s="1"/>
  <c r="N332" i="12" s="1"/>
  <c r="L333" i="12" a="1"/>
  <c r="L333" i="12" s="1"/>
  <c r="M333" i="12" s="1"/>
  <c r="N333" i="12" s="1"/>
  <c r="L334" i="12" a="1"/>
  <c r="L334" i="12" s="1"/>
  <c r="M334" i="12" s="1"/>
  <c r="N334" i="12" s="1"/>
  <c r="L335" i="12" a="1"/>
  <c r="L335" i="12" s="1"/>
  <c r="L336" i="12" a="1"/>
  <c r="L336" i="12" s="1"/>
  <c r="M336" i="12" s="1"/>
  <c r="N336" i="12" s="1"/>
  <c r="L337" i="12" a="1"/>
  <c r="L337" i="12" s="1"/>
  <c r="M337" i="12" s="1"/>
  <c r="N337" i="12" s="1"/>
  <c r="L338" i="12" a="1"/>
  <c r="L338" i="12" s="1"/>
  <c r="M338" i="12" s="1"/>
  <c r="N338" i="12" s="1"/>
  <c r="L339" i="12" a="1"/>
  <c r="L339" i="12" s="1"/>
  <c r="L340" i="12" a="1"/>
  <c r="L340" i="12" s="1"/>
  <c r="L341" i="12" a="1"/>
  <c r="L341" i="12" s="1"/>
  <c r="M341" i="12" s="1"/>
  <c r="N341" i="12" s="1"/>
  <c r="L342" i="12" a="1"/>
  <c r="L342" i="12" s="1"/>
  <c r="L343" i="12" a="1"/>
  <c r="L343" i="12" s="1"/>
  <c r="L344" i="12" a="1"/>
  <c r="L344" i="12" s="1"/>
  <c r="M344" i="12" s="1"/>
  <c r="N344" i="12" s="1"/>
  <c r="L345" i="12" a="1"/>
  <c r="L345" i="12" s="1"/>
  <c r="L346" i="12" a="1"/>
  <c r="L346" i="12" s="1"/>
  <c r="L347" i="12" a="1"/>
  <c r="L347" i="12" s="1"/>
  <c r="L348" i="12" a="1"/>
  <c r="L348" i="12" s="1"/>
  <c r="M348" i="12" s="1"/>
  <c r="N348" i="12" s="1"/>
  <c r="L349" i="12" a="1"/>
  <c r="L349" i="12" s="1"/>
  <c r="M349" i="12" s="1"/>
  <c r="N349" i="12" s="1"/>
  <c r="L350" i="12" a="1"/>
  <c r="L350" i="12" s="1"/>
  <c r="M350" i="12" s="1"/>
  <c r="N350" i="12" s="1"/>
  <c r="L351" i="12" a="1"/>
  <c r="L351" i="12" s="1"/>
  <c r="L352" i="12" a="1"/>
  <c r="L352" i="12" s="1"/>
  <c r="L353" i="12" a="1"/>
  <c r="L353" i="12" s="1"/>
  <c r="M353" i="12" s="1"/>
  <c r="N353" i="12" s="1"/>
  <c r="L354" i="12" a="1"/>
  <c r="L354" i="12" s="1"/>
  <c r="M354" i="12" s="1"/>
  <c r="N354" i="12" s="1"/>
  <c r="L355" i="12" a="1"/>
  <c r="L355" i="12" s="1"/>
  <c r="L356" i="12" a="1"/>
  <c r="L356" i="12" s="1"/>
  <c r="L357" i="12" a="1"/>
  <c r="L357" i="12" s="1"/>
  <c r="M357" i="12" s="1"/>
  <c r="N357" i="12" s="1"/>
  <c r="L358" i="12" a="1"/>
  <c r="L358" i="12" s="1"/>
  <c r="L359" i="12" a="1"/>
  <c r="L359" i="12" s="1"/>
  <c r="M359" i="12" s="1"/>
  <c r="N359" i="12" s="1"/>
  <c r="L360" i="12" a="1"/>
  <c r="L360" i="12" s="1"/>
  <c r="M360" i="12" s="1"/>
  <c r="N360" i="12" s="1"/>
  <c r="L361" i="12" a="1"/>
  <c r="L361" i="12" s="1"/>
  <c r="M361" i="12" s="1"/>
  <c r="N361" i="12" s="1"/>
  <c r="L362" i="12" a="1"/>
  <c r="L362" i="12" s="1"/>
  <c r="L363" i="12" a="1"/>
  <c r="L363" i="12" s="1"/>
  <c r="L364" i="12" a="1"/>
  <c r="L364" i="12" s="1"/>
  <c r="M364" i="12" s="1"/>
  <c r="N364" i="12" s="1"/>
  <c r="L365" i="12" a="1"/>
  <c r="L365" i="12" s="1"/>
  <c r="M365" i="12" s="1"/>
  <c r="N365" i="12" s="1"/>
  <c r="L366" i="12" a="1"/>
  <c r="L366" i="12" s="1"/>
  <c r="M366" i="12" s="1"/>
  <c r="N366" i="12" s="1"/>
  <c r="L367" i="12" a="1"/>
  <c r="L367" i="12" s="1"/>
  <c r="L368" i="12" a="1"/>
  <c r="L368" i="12" s="1"/>
  <c r="L369" i="12" a="1"/>
  <c r="L369" i="12" s="1"/>
  <c r="M369" i="12" s="1"/>
  <c r="N369" i="12" s="1"/>
  <c r="L370" i="12" a="1"/>
  <c r="L370" i="12" s="1"/>
  <c r="M370" i="12" s="1"/>
  <c r="N370" i="12" s="1"/>
  <c r="L371" i="12" a="1"/>
  <c r="L371" i="12" s="1"/>
  <c r="L372" i="12" a="1"/>
  <c r="L372" i="12" s="1"/>
  <c r="M372" i="12" s="1"/>
  <c r="N372" i="12" s="1"/>
  <c r="L373" i="12" a="1"/>
  <c r="L373" i="12" s="1"/>
  <c r="L374" i="12" a="1"/>
  <c r="L374" i="12" s="1"/>
  <c r="M374" i="12" s="1"/>
  <c r="N374" i="12" s="1"/>
  <c r="L375" i="12" a="1"/>
  <c r="L375" i="12" s="1"/>
  <c r="M375" i="12" s="1"/>
  <c r="N375" i="12" s="1"/>
  <c r="L376" i="12" a="1"/>
  <c r="L376" i="12" s="1"/>
  <c r="M376" i="12" s="1"/>
  <c r="N376" i="12" s="1"/>
  <c r="L377" i="12" a="1"/>
  <c r="L377" i="12" s="1"/>
  <c r="L378" i="12" a="1"/>
  <c r="L378" i="12" s="1"/>
  <c r="L379" i="12" a="1"/>
  <c r="L379" i="12" s="1"/>
  <c r="M379" i="12" s="1"/>
  <c r="N379" i="12" s="1"/>
  <c r="L380" i="12" a="1"/>
  <c r="L380" i="12" s="1"/>
  <c r="M380" i="12" s="1"/>
  <c r="N380" i="12" s="1"/>
  <c r="L381" i="12" a="1"/>
  <c r="L381" i="12" s="1"/>
  <c r="M381" i="12" s="1"/>
  <c r="N381" i="12" s="1"/>
  <c r="L382" i="12" a="1"/>
  <c r="L382" i="12" s="1"/>
  <c r="M382" i="12" s="1"/>
  <c r="N382" i="12" s="1"/>
  <c r="L383" i="12" a="1"/>
  <c r="L383" i="12" s="1"/>
  <c r="L384" i="12" a="1"/>
  <c r="L384" i="12" s="1"/>
  <c r="L385" i="12" a="1"/>
  <c r="L385" i="12" s="1"/>
  <c r="M385" i="12" s="1"/>
  <c r="N385" i="12" s="1"/>
  <c r="L386" i="12" a="1"/>
  <c r="L386" i="12" s="1"/>
  <c r="M386" i="12" s="1"/>
  <c r="N386" i="12" s="1"/>
  <c r="L387" i="12" a="1"/>
  <c r="L387" i="12" s="1"/>
  <c r="L388" i="12" a="1"/>
  <c r="L388" i="12" s="1"/>
  <c r="M388" i="12" s="1"/>
  <c r="N388" i="12" s="1"/>
  <c r="L389" i="12" a="1"/>
  <c r="L389" i="12" s="1"/>
  <c r="M389" i="12" s="1"/>
  <c r="N389" i="12" s="1"/>
  <c r="L390" i="12" a="1"/>
  <c r="L390" i="12" s="1"/>
  <c r="M390" i="12" s="1"/>
  <c r="N390" i="12" s="1"/>
  <c r="L391" i="12" a="1"/>
  <c r="L391" i="12" s="1"/>
  <c r="L392" i="12" a="1"/>
  <c r="L392" i="12" s="1"/>
  <c r="L393" i="12" a="1"/>
  <c r="L393" i="12" s="1"/>
  <c r="L394" i="12" a="1"/>
  <c r="L394" i="12" s="1"/>
  <c r="M394" i="12" s="1"/>
  <c r="N394" i="12" s="1"/>
  <c r="L395" i="12" a="1"/>
  <c r="L395" i="12" s="1"/>
  <c r="M395" i="12" s="1"/>
  <c r="N395" i="12" s="1"/>
  <c r="L396" i="12" a="1"/>
  <c r="L396" i="12" s="1"/>
  <c r="M396" i="12" s="1"/>
  <c r="N396" i="12" s="1"/>
  <c r="L397" i="12" a="1"/>
  <c r="L397" i="12" s="1"/>
  <c r="M397" i="12" s="1"/>
  <c r="N397" i="12" s="1"/>
  <c r="L398" i="12" a="1"/>
  <c r="L398" i="12" s="1"/>
  <c r="M398" i="12" s="1"/>
  <c r="N398" i="12" s="1"/>
  <c r="L399" i="12" a="1"/>
  <c r="L399" i="12" s="1"/>
  <c r="L400" i="12" a="1"/>
  <c r="L400" i="12" s="1"/>
  <c r="M400" i="12" s="1"/>
  <c r="N400" i="12" s="1"/>
  <c r="L401" i="12" a="1"/>
  <c r="L401" i="12" s="1"/>
  <c r="M401" i="12" s="1"/>
  <c r="N401" i="12" s="1"/>
  <c r="L402" i="12" a="1"/>
  <c r="L402" i="12" s="1"/>
  <c r="M402" i="12" s="1"/>
  <c r="N402" i="12" s="1"/>
  <c r="L403" i="12" a="1"/>
  <c r="L403" i="12" s="1"/>
  <c r="L404" i="12" a="1"/>
  <c r="L404" i="12" s="1"/>
  <c r="L405" i="12" a="1"/>
  <c r="L405" i="12" s="1"/>
  <c r="M405" i="12" s="1"/>
  <c r="N405" i="12" s="1"/>
  <c r="L406" i="12" a="1"/>
  <c r="L406" i="12" s="1"/>
  <c r="M406" i="12" s="1"/>
  <c r="N406" i="12" s="1"/>
  <c r="L407" i="12" a="1"/>
  <c r="L407" i="12" s="1"/>
  <c r="L408" i="12" a="1"/>
  <c r="L408" i="12" s="1"/>
  <c r="L409" i="12" a="1"/>
  <c r="L409" i="12" s="1"/>
  <c r="M409" i="12" s="1"/>
  <c r="N409" i="12" s="1"/>
  <c r="L410" i="12" a="1"/>
  <c r="L410" i="12" s="1"/>
  <c r="L411" i="12" a="1"/>
  <c r="L411" i="12" s="1"/>
  <c r="M411" i="12" s="1"/>
  <c r="N411" i="12" s="1"/>
  <c r="L412" i="12" a="1"/>
  <c r="L412" i="12" s="1"/>
  <c r="M412" i="12" s="1"/>
  <c r="N412" i="12" s="1"/>
  <c r="L413" i="12" a="1"/>
  <c r="L413" i="12" s="1"/>
  <c r="M413" i="12" s="1"/>
  <c r="N413" i="12" s="1"/>
  <c r="L414" i="12" a="1"/>
  <c r="L414" i="12" s="1"/>
  <c r="M414" i="12" s="1"/>
  <c r="N414" i="12" s="1"/>
  <c r="L415" i="12" a="1"/>
  <c r="L415" i="12" s="1"/>
  <c r="L416" i="12" a="1"/>
  <c r="L416" i="12" s="1"/>
  <c r="M416" i="12" s="1"/>
  <c r="N416" i="12" s="1"/>
  <c r="L417" i="12" a="1"/>
  <c r="L417" i="12" s="1"/>
  <c r="M417" i="12" s="1"/>
  <c r="N417" i="12" s="1"/>
  <c r="L418" i="12" a="1"/>
  <c r="L418" i="12" s="1"/>
  <c r="M418" i="12" s="1"/>
  <c r="N418" i="12" s="1"/>
  <c r="L419" i="12" a="1"/>
  <c r="L419" i="12" s="1"/>
  <c r="L420" i="12" a="1"/>
  <c r="L420" i="12" s="1"/>
  <c r="M420" i="12" s="1"/>
  <c r="N420" i="12" s="1"/>
  <c r="L421" i="12" a="1"/>
  <c r="L421" i="12" s="1"/>
  <c r="M421" i="12" s="1"/>
  <c r="N421" i="12" s="1"/>
  <c r="L422" i="12" a="1"/>
  <c r="L422" i="12" s="1"/>
  <c r="L423" i="12" a="1"/>
  <c r="L423" i="12" s="1"/>
  <c r="L424" i="12" a="1"/>
  <c r="L424" i="12" s="1"/>
  <c r="L425" i="12" a="1"/>
  <c r="L425" i="12" s="1"/>
  <c r="M425" i="12" s="1"/>
  <c r="N425" i="12" s="1"/>
  <c r="L426" i="12" a="1"/>
  <c r="L426" i="12" s="1"/>
  <c r="L427" i="12" a="1"/>
  <c r="L427" i="12" s="1"/>
  <c r="M427" i="12" s="1"/>
  <c r="N427" i="12" s="1"/>
  <c r="L428" i="12" a="1"/>
  <c r="L428" i="12" s="1"/>
  <c r="M428" i="12" s="1"/>
  <c r="N428" i="12" s="1"/>
  <c r="L429" i="12" a="1"/>
  <c r="L429" i="12" s="1"/>
  <c r="M429" i="12" s="1"/>
  <c r="N429" i="12" s="1"/>
  <c r="L430" i="12" a="1"/>
  <c r="L430" i="12" s="1"/>
  <c r="M430" i="12" s="1"/>
  <c r="N430" i="12" s="1"/>
  <c r="L431" i="12" a="1"/>
  <c r="L431" i="12" s="1"/>
  <c r="L432" i="12" a="1"/>
  <c r="L432" i="12" s="1"/>
  <c r="L433" i="12" a="1"/>
  <c r="L433" i="12" s="1"/>
  <c r="M433" i="12" s="1"/>
  <c r="N433" i="12" s="1"/>
  <c r="L434" i="12" a="1"/>
  <c r="L434" i="12" s="1"/>
  <c r="M434" i="12" s="1"/>
  <c r="N434" i="12" s="1"/>
  <c r="L435" i="12" a="1"/>
  <c r="L435" i="12" s="1"/>
  <c r="L436" i="12" a="1"/>
  <c r="L436" i="12" s="1"/>
  <c r="M436" i="12" s="1"/>
  <c r="N436" i="12" s="1"/>
  <c r="L437" i="12" a="1"/>
  <c r="L437" i="12" s="1"/>
  <c r="M437" i="12" s="1"/>
  <c r="N437" i="12" s="1"/>
  <c r="L438" i="12" a="1"/>
  <c r="L438" i="12" s="1"/>
  <c r="M438" i="12" s="1"/>
  <c r="N438" i="12" s="1"/>
  <c r="L439" i="12" a="1"/>
  <c r="L439" i="12" s="1"/>
  <c r="L440" i="12" a="1"/>
  <c r="L440" i="12" s="1"/>
  <c r="M440" i="12" s="1"/>
  <c r="N440" i="12" s="1"/>
  <c r="L441" i="12" a="1"/>
  <c r="L441" i="12" s="1"/>
  <c r="L442" i="12" a="1"/>
  <c r="L442" i="12" s="1"/>
  <c r="L443" i="12" a="1"/>
  <c r="L443" i="12" s="1"/>
  <c r="M443" i="12" s="1"/>
  <c r="N443" i="12" s="1"/>
  <c r="L444" i="12" a="1"/>
  <c r="L444" i="12" s="1"/>
  <c r="M444" i="12" s="1"/>
  <c r="N444" i="12" s="1"/>
  <c r="L445" i="12" a="1"/>
  <c r="L445" i="12" s="1"/>
  <c r="M445" i="12" s="1"/>
  <c r="N445" i="12" s="1"/>
  <c r="L446" i="12" a="1"/>
  <c r="L446" i="12" s="1"/>
  <c r="M446" i="12" s="1"/>
  <c r="N446" i="12" s="1"/>
  <c r="L447" i="12" a="1"/>
  <c r="L447" i="12" s="1"/>
  <c r="L448" i="12" a="1"/>
  <c r="L448" i="12" s="1"/>
  <c r="M448" i="12" s="1"/>
  <c r="N448" i="12" s="1"/>
  <c r="L449" i="12" a="1"/>
  <c r="L449" i="12" s="1"/>
  <c r="M449" i="12" s="1"/>
  <c r="N449" i="12" s="1"/>
  <c r="L450" i="12" a="1"/>
  <c r="L450" i="12" s="1"/>
  <c r="M450" i="12" s="1"/>
  <c r="N450" i="12" s="1"/>
  <c r="L451" i="12" a="1"/>
  <c r="L451" i="12" s="1"/>
  <c r="L452" i="12" a="1"/>
  <c r="L452" i="12" s="1"/>
  <c r="M452" i="12" s="1"/>
  <c r="N452" i="12" s="1"/>
  <c r="L453" i="12" a="1"/>
  <c r="L453" i="12" s="1"/>
  <c r="M453" i="12" s="1"/>
  <c r="N453" i="12" s="1"/>
  <c r="L454" i="12" a="1"/>
  <c r="L454" i="12" s="1"/>
  <c r="M454" i="12" s="1"/>
  <c r="N454" i="12" s="1"/>
  <c r="L455" i="12" a="1"/>
  <c r="L455" i="12" s="1"/>
  <c r="L456" i="12" a="1"/>
  <c r="L456" i="12" s="1"/>
  <c r="L457" i="12" a="1"/>
  <c r="L457" i="12" s="1"/>
  <c r="L458" i="12" a="1"/>
  <c r="L458" i="12" s="1"/>
  <c r="M458" i="12" s="1"/>
  <c r="N458" i="12" s="1"/>
  <c r="L459" i="12" a="1"/>
  <c r="L459" i="12" s="1"/>
  <c r="M459" i="12" s="1"/>
  <c r="N459" i="12" s="1"/>
  <c r="L460" i="12" a="1"/>
  <c r="L460" i="12" s="1"/>
  <c r="M460" i="12" s="1"/>
  <c r="N460" i="12" s="1"/>
  <c r="L461" i="12" a="1"/>
  <c r="L461" i="12" s="1"/>
  <c r="M461" i="12" s="1"/>
  <c r="N461" i="12" s="1"/>
  <c r="L462" i="12" a="1"/>
  <c r="L462" i="12" s="1"/>
  <c r="M462" i="12" s="1"/>
  <c r="N462" i="12" s="1"/>
  <c r="L463" i="12" a="1"/>
  <c r="L463" i="12" s="1"/>
  <c r="L464" i="12" a="1"/>
  <c r="L464" i="12" s="1"/>
  <c r="M464" i="12" s="1"/>
  <c r="N464" i="12" s="1"/>
  <c r="L465" i="12" a="1"/>
  <c r="L465" i="12" s="1"/>
  <c r="M465" i="12" s="1"/>
  <c r="N465" i="12" s="1"/>
  <c r="L466" i="12" a="1"/>
  <c r="L466" i="12" s="1"/>
  <c r="M466" i="12" s="1"/>
  <c r="N466" i="12" s="1"/>
  <c r="L467" i="12" a="1"/>
  <c r="L467" i="12" s="1"/>
  <c r="L468" i="12" a="1"/>
  <c r="L468" i="12" s="1"/>
  <c r="M468" i="12" s="1"/>
  <c r="N468" i="12" s="1"/>
  <c r="L469" i="12" a="1"/>
  <c r="L469" i="12" s="1"/>
  <c r="M469" i="12" s="1"/>
  <c r="N469" i="12" s="1"/>
  <c r="L470" i="12" a="1"/>
  <c r="L470" i="12" s="1"/>
  <c r="M470" i="12" s="1"/>
  <c r="N470" i="12" s="1"/>
  <c r="L471" i="12" a="1"/>
  <c r="L471" i="12" s="1"/>
  <c r="L472" i="12" a="1"/>
  <c r="L472" i="12" s="1"/>
  <c r="L473" i="12" a="1"/>
  <c r="L473" i="12" s="1"/>
  <c r="M473" i="12" s="1"/>
  <c r="N473" i="12" s="1"/>
  <c r="L474" i="12" a="1"/>
  <c r="L474" i="12" s="1"/>
  <c r="L475" i="12" a="1"/>
  <c r="L475" i="12" s="1"/>
  <c r="M475" i="12" s="1"/>
  <c r="N475" i="12" s="1"/>
  <c r="L476" i="12" a="1"/>
  <c r="L476" i="12" s="1"/>
  <c r="M476" i="12" s="1"/>
  <c r="N476" i="12" s="1"/>
  <c r="L477" i="12" a="1"/>
  <c r="L477" i="12" s="1"/>
  <c r="M477" i="12" s="1"/>
  <c r="N477" i="12" s="1"/>
  <c r="L478" i="12" a="1"/>
  <c r="L478" i="12" s="1"/>
  <c r="M478" i="12" s="1"/>
  <c r="N478" i="12" s="1"/>
  <c r="L479" i="12" a="1"/>
  <c r="L479" i="12" s="1"/>
  <c r="M479" i="12" s="1"/>
  <c r="N479" i="12" s="1"/>
  <c r="L480" i="12" a="1"/>
  <c r="L480" i="12" s="1"/>
  <c r="M480" i="12" s="1"/>
  <c r="N480" i="12" s="1"/>
  <c r="L481" i="12" a="1"/>
  <c r="L481" i="12" s="1"/>
  <c r="M481" i="12" s="1"/>
  <c r="N481" i="12" s="1"/>
  <c r="L482" i="12" a="1"/>
  <c r="L482" i="12" s="1"/>
  <c r="M482" i="12" s="1"/>
  <c r="N482" i="12" s="1"/>
  <c r="L483" i="12" a="1"/>
  <c r="L483" i="12" s="1"/>
  <c r="L484" i="12" a="1"/>
  <c r="L484" i="12" s="1"/>
  <c r="M484" i="12" s="1"/>
  <c r="N484" i="12" s="1"/>
  <c r="L485" i="12" a="1"/>
  <c r="L485" i="12" s="1"/>
  <c r="M485" i="12" s="1"/>
  <c r="N485" i="12" s="1"/>
  <c r="L486" i="12" a="1"/>
  <c r="L486" i="12" s="1"/>
  <c r="L487" i="12" a="1"/>
  <c r="L487" i="12" s="1"/>
  <c r="L488" i="12" a="1"/>
  <c r="L488" i="12" s="1"/>
  <c r="M488" i="12" s="1"/>
  <c r="N488" i="12" s="1"/>
  <c r="L489" i="12" a="1"/>
  <c r="L489" i="12" s="1"/>
  <c r="L490" i="12" a="1"/>
  <c r="L490" i="12" s="1"/>
  <c r="M490" i="12" s="1"/>
  <c r="N490" i="12" s="1"/>
  <c r="L491" i="12" a="1"/>
  <c r="L491" i="12" s="1"/>
  <c r="M491" i="12" s="1"/>
  <c r="N491" i="12" s="1"/>
  <c r="L492" i="12" a="1"/>
  <c r="L492" i="12" s="1"/>
  <c r="M492" i="12" s="1"/>
  <c r="N492" i="12" s="1"/>
  <c r="L493" i="12" a="1"/>
  <c r="L493" i="12" s="1"/>
  <c r="M493" i="12" s="1"/>
  <c r="N493" i="12" s="1"/>
  <c r="L494" i="12" a="1"/>
  <c r="L494" i="12" s="1"/>
  <c r="M494" i="12" s="1"/>
  <c r="N494" i="12" s="1"/>
  <c r="L495" i="12" a="1"/>
  <c r="L495" i="12" s="1"/>
  <c r="M495" i="12" s="1"/>
  <c r="N495" i="12" s="1"/>
  <c r="L496" i="12" a="1"/>
  <c r="L496" i="12" s="1"/>
  <c r="M496" i="12" s="1"/>
  <c r="N496" i="12" s="1"/>
  <c r="L497" i="12" a="1"/>
  <c r="L497" i="12" s="1"/>
  <c r="M497" i="12" s="1"/>
  <c r="N497" i="12" s="1"/>
  <c r="L498" i="12" a="1"/>
  <c r="L498" i="12" s="1"/>
  <c r="M498" i="12" s="1"/>
  <c r="N498" i="12" s="1"/>
  <c r="L499" i="12" a="1"/>
  <c r="L499" i="12" s="1"/>
  <c r="L500" i="12" a="1"/>
  <c r="L500" i="12" s="1"/>
  <c r="M500" i="12" s="1"/>
  <c r="N500" i="12" s="1"/>
  <c r="L501" i="12" a="1"/>
  <c r="L501" i="12" s="1"/>
  <c r="M501" i="12" s="1"/>
  <c r="N501" i="12" s="1"/>
  <c r="L502" i="12" a="1"/>
  <c r="L502" i="12" s="1"/>
  <c r="M502" i="12" s="1"/>
  <c r="N502" i="12" s="1"/>
  <c r="L503" i="12" a="1"/>
  <c r="L503" i="12" s="1"/>
  <c r="L504" i="12" a="1"/>
  <c r="L504" i="12" s="1"/>
  <c r="L505" i="12" a="1"/>
  <c r="L505" i="12" s="1"/>
  <c r="M505" i="12" s="1"/>
  <c r="N505" i="12" s="1"/>
  <c r="L506" i="12" a="1"/>
  <c r="L506" i="12" s="1"/>
  <c r="L507" i="12" a="1"/>
  <c r="L507" i="12" s="1"/>
  <c r="L508" i="12" a="1"/>
  <c r="L508" i="12" s="1"/>
  <c r="M508" i="12" s="1"/>
  <c r="N508" i="12" s="1"/>
  <c r="L509" i="12" a="1"/>
  <c r="L509" i="12" s="1"/>
  <c r="M509" i="12" s="1"/>
  <c r="N509" i="12" s="1"/>
  <c r="L510" i="12" a="1"/>
  <c r="L510" i="12" s="1"/>
  <c r="M510" i="12" s="1"/>
  <c r="N510" i="12" s="1"/>
  <c r="L511" i="12" a="1"/>
  <c r="L511" i="12" s="1"/>
  <c r="L512" i="12" a="1"/>
  <c r="L512" i="12" s="1"/>
  <c r="M512" i="12" s="1"/>
  <c r="N512" i="12" s="1"/>
  <c r="L513" i="12" a="1"/>
  <c r="L513" i="12" s="1"/>
  <c r="M513" i="12" s="1"/>
  <c r="N513" i="12" s="1"/>
  <c r="L514" i="12" a="1"/>
  <c r="L514" i="12" s="1"/>
  <c r="M514" i="12" s="1"/>
  <c r="N514" i="12" s="1"/>
  <c r="L515" i="12" a="1"/>
  <c r="L515" i="12" s="1"/>
  <c r="L516" i="12" a="1"/>
  <c r="L516" i="12" s="1"/>
  <c r="M516" i="12" s="1"/>
  <c r="N516" i="12" s="1"/>
  <c r="L517" i="12" a="1"/>
  <c r="L517" i="12" s="1"/>
  <c r="M517" i="12" s="1"/>
  <c r="N517" i="12" s="1"/>
  <c r="L518" i="12" a="1"/>
  <c r="L518" i="12" s="1"/>
  <c r="L519" i="12" a="1"/>
  <c r="L519" i="12" s="1"/>
  <c r="M519" i="12" s="1"/>
  <c r="N519" i="12" s="1"/>
  <c r="L520" i="12" a="1"/>
  <c r="L520" i="12" s="1"/>
  <c r="L521" i="12" a="1"/>
  <c r="L521" i="12" s="1"/>
  <c r="L522" i="12" a="1"/>
  <c r="L522" i="12" s="1"/>
  <c r="M522" i="12" s="1"/>
  <c r="N522" i="12" s="1"/>
  <c r="L523" i="12" a="1"/>
  <c r="L523" i="12" s="1"/>
  <c r="M523" i="12" s="1"/>
  <c r="N523" i="12" s="1"/>
  <c r="L524" i="12" a="1"/>
  <c r="L524" i="12" s="1"/>
  <c r="M524" i="12" s="1"/>
  <c r="N524" i="12" s="1"/>
  <c r="L525" i="12" a="1"/>
  <c r="L525" i="12" s="1"/>
  <c r="M525" i="12" s="1"/>
  <c r="N525" i="12" s="1"/>
  <c r="L526" i="12" a="1"/>
  <c r="L526" i="12" s="1"/>
  <c r="M526" i="12" s="1"/>
  <c r="N526" i="12" s="1"/>
  <c r="L527" i="12" a="1"/>
  <c r="L527" i="12" s="1"/>
  <c r="M527" i="12" s="1"/>
  <c r="N527" i="12" s="1"/>
  <c r="L528" i="12" a="1"/>
  <c r="L528" i="12" s="1"/>
  <c r="L529" i="12" a="1"/>
  <c r="L529" i="12" s="1"/>
  <c r="M529" i="12" s="1"/>
  <c r="N529" i="12" s="1"/>
  <c r="L530" i="12" a="1"/>
  <c r="L530" i="12" s="1"/>
  <c r="M530" i="12" s="1"/>
  <c r="N530" i="12" s="1"/>
  <c r="L531" i="12" a="1"/>
  <c r="L531" i="12" s="1"/>
  <c r="L532" i="12" a="1"/>
  <c r="L532" i="12" s="1"/>
  <c r="M532" i="12" s="1"/>
  <c r="N532" i="12" s="1"/>
  <c r="L533" i="12" a="1"/>
  <c r="L533" i="12" s="1"/>
  <c r="M533" i="12" s="1"/>
  <c r="N533" i="12" s="1"/>
  <c r="L534" i="12" a="1"/>
  <c r="L534" i="12" s="1"/>
  <c r="L535" i="12" a="1"/>
  <c r="L535" i="12" s="1"/>
  <c r="L536" i="12" a="1"/>
  <c r="L536" i="12" s="1"/>
  <c r="M536" i="12" s="1"/>
  <c r="N536" i="12" s="1"/>
  <c r="L537" i="12" a="1"/>
  <c r="L537" i="12" s="1"/>
  <c r="M537" i="12" s="1"/>
  <c r="N537" i="12" s="1"/>
  <c r="L538" i="12" a="1"/>
  <c r="L538" i="12" s="1"/>
  <c r="L539" i="12" a="1"/>
  <c r="L539" i="12" s="1"/>
  <c r="M539" i="12" s="1"/>
  <c r="N539" i="12" s="1"/>
  <c r="L540" i="12" a="1"/>
  <c r="L540" i="12" s="1"/>
  <c r="M540" i="12" s="1"/>
  <c r="N540" i="12" s="1"/>
  <c r="L541" i="12" a="1"/>
  <c r="L541" i="12" s="1"/>
  <c r="M541" i="12" s="1"/>
  <c r="N541" i="12" s="1"/>
  <c r="L542" i="12" a="1"/>
  <c r="L542" i="12" s="1"/>
  <c r="M542" i="12" s="1"/>
  <c r="N542" i="12" s="1"/>
  <c r="L543" i="12" a="1"/>
  <c r="L543" i="12" s="1"/>
  <c r="M543" i="12" s="1"/>
  <c r="N543" i="12" s="1"/>
  <c r="L544" i="12" a="1"/>
  <c r="L544" i="12" s="1"/>
  <c r="M544" i="12" s="1"/>
  <c r="N544" i="12" s="1"/>
  <c r="L545" i="12" a="1"/>
  <c r="L545" i="12" s="1"/>
  <c r="M545" i="12" s="1"/>
  <c r="N545" i="12" s="1"/>
  <c r="L546" i="12" a="1"/>
  <c r="L546" i="12" s="1"/>
  <c r="M546" i="12" s="1"/>
  <c r="N546" i="12" s="1"/>
  <c r="L547" i="12" a="1"/>
  <c r="L547" i="12" s="1"/>
  <c r="M547" i="12" s="1"/>
  <c r="N547" i="12" s="1"/>
  <c r="L548" i="12" a="1"/>
  <c r="L548" i="12" s="1"/>
  <c r="M548" i="12" s="1"/>
  <c r="N548" i="12" s="1"/>
  <c r="L549" i="12" a="1"/>
  <c r="L549" i="12" s="1"/>
  <c r="L550" i="12" a="1"/>
  <c r="L550" i="12" s="1"/>
  <c r="M550" i="12" s="1"/>
  <c r="N550" i="12" s="1"/>
  <c r="L551" i="12" a="1"/>
  <c r="L551" i="12" s="1"/>
  <c r="L552" i="12" a="1"/>
  <c r="L552" i="12" s="1"/>
  <c r="L553" i="12" a="1"/>
  <c r="L553" i="12" s="1"/>
  <c r="M553" i="12" s="1"/>
  <c r="N553" i="12" s="1"/>
  <c r="L554" i="12" a="1"/>
  <c r="L554" i="12" s="1"/>
  <c r="M554" i="12" s="1"/>
  <c r="N554" i="12" s="1"/>
  <c r="L555" i="12" a="1"/>
  <c r="L555" i="12" s="1"/>
  <c r="L556" i="12" a="1"/>
  <c r="L556" i="12" s="1"/>
  <c r="M556" i="12" s="1"/>
  <c r="N556" i="12" s="1"/>
  <c r="L557" i="12" a="1"/>
  <c r="L557" i="12" s="1"/>
  <c r="M557" i="12" s="1"/>
  <c r="N557" i="12" s="1"/>
  <c r="L558" i="12" a="1"/>
  <c r="L558" i="12" s="1"/>
  <c r="M558" i="12" s="1"/>
  <c r="N558" i="12" s="1"/>
  <c r="L559" i="12" a="1"/>
  <c r="L559" i="12" s="1"/>
  <c r="M559" i="12" s="1"/>
  <c r="N559" i="12" s="1"/>
  <c r="L560" i="12" a="1"/>
  <c r="L560" i="12" s="1"/>
  <c r="M560" i="12" s="1"/>
  <c r="N560" i="12" s="1"/>
  <c r="L561" i="12" a="1"/>
  <c r="L561" i="12" s="1"/>
  <c r="M561" i="12" s="1"/>
  <c r="N561" i="12" s="1"/>
  <c r="L562" i="12" a="1"/>
  <c r="L562" i="12" s="1"/>
  <c r="M562" i="12" s="1"/>
  <c r="N562" i="12" s="1"/>
  <c r="L563" i="12" a="1"/>
  <c r="L563" i="12" s="1"/>
  <c r="M563" i="12" s="1"/>
  <c r="N563" i="12" s="1"/>
  <c r="L564" i="12" a="1"/>
  <c r="L564" i="12" s="1"/>
  <c r="M564" i="12" s="1"/>
  <c r="N564" i="12" s="1"/>
  <c r="L565" i="12" a="1"/>
  <c r="L565" i="12" s="1"/>
  <c r="M565" i="12" s="1"/>
  <c r="N565" i="12" s="1"/>
  <c r="L566" i="12" a="1"/>
  <c r="L566" i="12" s="1"/>
  <c r="L567" i="12" a="1"/>
  <c r="L567" i="12" s="1"/>
  <c r="M567" i="12" s="1"/>
  <c r="N567" i="12" s="1"/>
  <c r="L568" i="12" a="1"/>
  <c r="L568" i="12" s="1"/>
  <c r="L569" i="12" a="1"/>
  <c r="L569" i="12" s="1"/>
  <c r="M569" i="12" s="1"/>
  <c r="N569" i="12" s="1"/>
  <c r="L570" i="12" a="1"/>
  <c r="L570" i="12" s="1"/>
  <c r="M570" i="12" s="1"/>
  <c r="N570" i="12" s="1"/>
  <c r="L571" i="12" a="1"/>
  <c r="L571" i="12" s="1"/>
  <c r="L572" i="12" a="1"/>
  <c r="L572" i="12" s="1"/>
  <c r="M572" i="12" s="1"/>
  <c r="N572" i="12" s="1"/>
  <c r="L573" i="12" a="1"/>
  <c r="L573" i="12" s="1"/>
  <c r="M573" i="12" s="1"/>
  <c r="N573" i="12" s="1"/>
  <c r="L574" i="12" a="1"/>
  <c r="L574" i="12" s="1"/>
  <c r="M574" i="12" s="1"/>
  <c r="N574" i="12" s="1"/>
  <c r="L575" i="12" a="1"/>
  <c r="L575" i="12" s="1"/>
  <c r="M575" i="12" s="1"/>
  <c r="N575" i="12" s="1"/>
  <c r="L576" i="12" a="1"/>
  <c r="L576" i="12" s="1"/>
  <c r="L577" i="12" a="1"/>
  <c r="L577" i="12" s="1"/>
  <c r="M577" i="12" s="1"/>
  <c r="N577" i="12" s="1"/>
  <c r="L578" i="12" a="1"/>
  <c r="L578" i="12" s="1"/>
  <c r="M578" i="12" s="1"/>
  <c r="N578" i="12" s="1"/>
  <c r="L579" i="12" a="1"/>
  <c r="L579" i="12" s="1"/>
  <c r="M579" i="12" s="1"/>
  <c r="N579" i="12" s="1"/>
  <c r="L580" i="12" a="1"/>
  <c r="L580" i="12" s="1"/>
  <c r="M580" i="12" s="1"/>
  <c r="N580" i="12" s="1"/>
  <c r="L581" i="12" a="1"/>
  <c r="L581" i="12" s="1"/>
  <c r="L582" i="12" a="1"/>
  <c r="L582" i="12" s="1"/>
  <c r="M582" i="12" s="1"/>
  <c r="N582" i="12" s="1"/>
  <c r="L583" i="12" a="1"/>
  <c r="L583" i="12" s="1"/>
  <c r="L584" i="12" a="1"/>
  <c r="L584" i="12" s="1"/>
  <c r="M584" i="12" s="1"/>
  <c r="N584" i="12" s="1"/>
  <c r="L585" i="12" a="1"/>
  <c r="L585" i="12" s="1"/>
  <c r="M585" i="12" s="1"/>
  <c r="N585" i="12" s="1"/>
  <c r="L586" i="12" a="1"/>
  <c r="L586" i="12" s="1"/>
  <c r="M586" i="12" s="1"/>
  <c r="N586" i="12" s="1"/>
  <c r="L587" i="12" a="1"/>
  <c r="L587" i="12" s="1"/>
  <c r="L588" i="12" a="1"/>
  <c r="L588" i="12" s="1"/>
  <c r="L589" i="12" a="1"/>
  <c r="L589" i="12" s="1"/>
  <c r="M589" i="12" s="1"/>
  <c r="N589" i="12" s="1"/>
  <c r="L590" i="12" a="1"/>
  <c r="L590" i="12" s="1"/>
  <c r="M590" i="12" s="1"/>
  <c r="N590" i="12" s="1"/>
  <c r="L591" i="12" a="1"/>
  <c r="L591" i="12" s="1"/>
  <c r="M591" i="12" s="1"/>
  <c r="N591" i="12" s="1"/>
  <c r="L592" i="12" a="1"/>
  <c r="L592" i="12" s="1"/>
  <c r="M592" i="12" s="1"/>
  <c r="N592" i="12" s="1"/>
  <c r="L593" i="12" a="1"/>
  <c r="L593" i="12" s="1"/>
  <c r="M593" i="12" s="1"/>
  <c r="N593" i="12" s="1"/>
  <c r="L594" i="12" a="1"/>
  <c r="L594" i="12" s="1"/>
  <c r="M594" i="12" s="1"/>
  <c r="N594" i="12" s="1"/>
  <c r="L595" i="12" a="1"/>
  <c r="L595" i="12" s="1"/>
  <c r="M595" i="12" s="1"/>
  <c r="N595" i="12" s="1"/>
  <c r="L596" i="12" a="1"/>
  <c r="L596" i="12" s="1"/>
  <c r="M596" i="12" s="1"/>
  <c r="N596" i="12" s="1"/>
  <c r="L597" i="12" a="1"/>
  <c r="L597" i="12" s="1"/>
  <c r="L598" i="12" a="1"/>
  <c r="L598" i="12" s="1"/>
  <c r="L599" i="12" a="1"/>
  <c r="L599" i="12" s="1"/>
  <c r="M599" i="12" s="1"/>
  <c r="N599" i="12" s="1"/>
  <c r="L600" i="12" a="1"/>
  <c r="L600" i="12" s="1"/>
  <c r="L601" i="12" a="1"/>
  <c r="L601" i="12" s="1"/>
  <c r="M601" i="12" s="1"/>
  <c r="N601" i="12" s="1"/>
  <c r="L602" i="12" a="1"/>
  <c r="L602" i="12" s="1"/>
  <c r="M602" i="12" s="1"/>
  <c r="N602" i="12" s="1"/>
  <c r="L603" i="12" a="1"/>
  <c r="L603" i="12" s="1"/>
  <c r="L604" i="12" a="1"/>
  <c r="L604" i="12" s="1"/>
  <c r="M604" i="12" s="1"/>
  <c r="N604" i="12" s="1"/>
  <c r="L605" i="12" a="1"/>
  <c r="L605" i="12" s="1"/>
  <c r="M605" i="12" s="1"/>
  <c r="N605" i="12" s="1"/>
  <c r="L606" i="12" a="1"/>
  <c r="L606" i="12" s="1"/>
  <c r="M606" i="12" s="1"/>
  <c r="N606" i="12" s="1"/>
  <c r="L607" i="12" a="1"/>
  <c r="L607" i="12" s="1"/>
  <c r="M607" i="12" s="1"/>
  <c r="N607" i="12" s="1"/>
  <c r="L608" i="12" a="1"/>
  <c r="L608" i="12" s="1"/>
  <c r="L609" i="12" a="1"/>
  <c r="L609" i="12" s="1"/>
  <c r="M609" i="12" s="1"/>
  <c r="N609" i="12" s="1"/>
  <c r="L610" i="12" a="1"/>
  <c r="L610" i="12" s="1"/>
  <c r="L611" i="12" a="1"/>
  <c r="L611" i="12" s="1"/>
  <c r="M611" i="12" s="1"/>
  <c r="N611" i="12" s="1"/>
  <c r="L612" i="12" a="1"/>
  <c r="L612" i="12" s="1"/>
  <c r="M612" i="12" s="1"/>
  <c r="N612" i="12" s="1"/>
  <c r="L613" i="12" a="1"/>
  <c r="L613" i="12" s="1"/>
  <c r="M613" i="12" s="1"/>
  <c r="N613" i="12" s="1"/>
  <c r="L614" i="12" a="1"/>
  <c r="L614" i="12" s="1"/>
  <c r="L615" i="12" a="1"/>
  <c r="L615" i="12" s="1"/>
  <c r="L616" i="12" a="1"/>
  <c r="L616" i="12" s="1"/>
  <c r="M616" i="12" s="1"/>
  <c r="N616" i="12" s="1"/>
  <c r="L617" i="12" a="1"/>
  <c r="L617" i="12" s="1"/>
  <c r="M617" i="12" s="1"/>
  <c r="N617" i="12" s="1"/>
  <c r="L618" i="12" a="1"/>
  <c r="L618" i="12" s="1"/>
  <c r="M618" i="12" s="1"/>
  <c r="N618" i="12" s="1"/>
  <c r="L619" i="12" a="1"/>
  <c r="L619" i="12" s="1"/>
  <c r="L620" i="12" a="1"/>
  <c r="L620" i="12" s="1"/>
  <c r="M620" i="12" s="1"/>
  <c r="N620" i="12" s="1"/>
  <c r="L621" i="12" a="1"/>
  <c r="L621" i="12" s="1"/>
  <c r="M621" i="12" s="1"/>
  <c r="N621" i="12" s="1"/>
  <c r="L622" i="12" a="1"/>
  <c r="L622" i="12" s="1"/>
  <c r="M622" i="12" s="1"/>
  <c r="N622" i="12" s="1"/>
  <c r="L623" i="12" a="1"/>
  <c r="L623" i="12" s="1"/>
  <c r="M623" i="12" s="1"/>
  <c r="N623" i="12" s="1"/>
  <c r="L624" i="12" a="1"/>
  <c r="L624" i="12" s="1"/>
  <c r="M624" i="12" s="1"/>
  <c r="N624" i="12" s="1"/>
  <c r="L625" i="12" a="1"/>
  <c r="L625" i="12" s="1"/>
  <c r="M625" i="12" s="1"/>
  <c r="N625" i="12" s="1"/>
  <c r="L626" i="12" a="1"/>
  <c r="L626" i="12" s="1"/>
  <c r="M626" i="12" s="1"/>
  <c r="N626" i="12" s="1"/>
  <c r="L627" i="12" a="1"/>
  <c r="L627" i="12" s="1"/>
  <c r="M627" i="12" s="1"/>
  <c r="N627" i="12" s="1"/>
  <c r="L628" i="12" a="1"/>
  <c r="L628" i="12" s="1"/>
  <c r="M628" i="12" s="1"/>
  <c r="N628" i="12" s="1"/>
  <c r="L629" i="12" a="1"/>
  <c r="L629" i="12" s="1"/>
  <c r="L630" i="12" a="1"/>
  <c r="L630" i="12" s="1"/>
  <c r="M630" i="12" s="1"/>
  <c r="N630" i="12" s="1"/>
  <c r="L631" i="12" a="1"/>
  <c r="L631" i="12" s="1"/>
  <c r="L632" i="12" a="1"/>
  <c r="L632" i="12" s="1"/>
  <c r="L633" i="12" a="1"/>
  <c r="L633" i="12" s="1"/>
  <c r="M633" i="12" s="1"/>
  <c r="N633" i="12" s="1"/>
  <c r="L634" i="12" a="1"/>
  <c r="L634" i="12" s="1"/>
  <c r="M634" i="12" s="1"/>
  <c r="N634" i="12" s="1"/>
  <c r="L635" i="12" a="1"/>
  <c r="L635" i="12" s="1"/>
  <c r="L636" i="12" a="1"/>
  <c r="L636" i="12" s="1"/>
  <c r="M636" i="12" s="1"/>
  <c r="N636" i="12" s="1"/>
  <c r="L637" i="12" a="1"/>
  <c r="L637" i="12" s="1"/>
  <c r="M637" i="12" s="1"/>
  <c r="N637" i="12" s="1"/>
  <c r="L638" i="12" a="1"/>
  <c r="L638" i="12" s="1"/>
  <c r="M638" i="12" s="1"/>
  <c r="N638" i="12" s="1"/>
  <c r="L639" i="12" a="1"/>
  <c r="L639" i="12" s="1"/>
  <c r="L640" i="12" a="1"/>
  <c r="L640" i="12" s="1"/>
  <c r="M640" i="12" s="1"/>
  <c r="N640" i="12" s="1"/>
  <c r="L641" i="12" a="1"/>
  <c r="L641" i="12" s="1"/>
  <c r="M641" i="12" s="1"/>
  <c r="N641" i="12" s="1"/>
  <c r="L642" i="12" a="1"/>
  <c r="L642" i="12" s="1"/>
  <c r="M642" i="12" s="1"/>
  <c r="N642" i="12" s="1"/>
  <c r="L643" i="12" a="1"/>
  <c r="L643" i="12" s="1"/>
  <c r="M643" i="12" s="1"/>
  <c r="N643" i="12" s="1"/>
  <c r="L644" i="12" a="1"/>
  <c r="L644" i="12" s="1"/>
  <c r="M644" i="12" s="1"/>
  <c r="N644" i="12" s="1"/>
  <c r="L645" i="12" a="1"/>
  <c r="L645" i="12" s="1"/>
  <c r="L646" i="12" a="1"/>
  <c r="L646" i="12" s="1"/>
  <c r="L647" i="12" a="1"/>
  <c r="L647" i="12" s="1"/>
  <c r="M647" i="12" s="1"/>
  <c r="N647" i="12" s="1"/>
  <c r="L648" i="12" a="1"/>
  <c r="L648" i="12" s="1"/>
  <c r="L649" i="12" a="1"/>
  <c r="L649" i="12" s="1"/>
  <c r="M649" i="12" s="1"/>
  <c r="N649" i="12" s="1"/>
  <c r="L650" i="12" a="1"/>
  <c r="L650" i="12" s="1"/>
  <c r="M650" i="12" s="1"/>
  <c r="N650" i="12" s="1"/>
  <c r="L651" i="12" a="1"/>
  <c r="L651" i="12" s="1"/>
  <c r="L652" i="12" a="1"/>
  <c r="L652" i="12" s="1"/>
  <c r="M652" i="12" s="1"/>
  <c r="N652" i="12" s="1"/>
  <c r="L653" i="12" a="1"/>
  <c r="L653" i="12" s="1"/>
  <c r="M653" i="12" s="1"/>
  <c r="N653" i="12" s="1"/>
  <c r="L654" i="12" a="1"/>
  <c r="L654" i="12" s="1"/>
  <c r="M654" i="12" s="1"/>
  <c r="N654" i="12" s="1"/>
  <c r="L655" i="12" a="1"/>
  <c r="L655" i="12" s="1"/>
  <c r="M655" i="12" s="1"/>
  <c r="N655" i="12" s="1"/>
  <c r="L656" i="12" a="1"/>
  <c r="L656" i="12" s="1"/>
  <c r="L657" i="12" a="1"/>
  <c r="L657" i="12" s="1"/>
  <c r="M657" i="12" s="1"/>
  <c r="N657" i="12" s="1"/>
  <c r="L658" i="12" a="1"/>
  <c r="L658" i="12" s="1"/>
  <c r="M658" i="12" s="1"/>
  <c r="N658" i="12" s="1"/>
  <c r="L659" i="12" a="1"/>
  <c r="L659" i="12" s="1"/>
  <c r="M659" i="12" s="1"/>
  <c r="N659" i="12" s="1"/>
  <c r="L660" i="12" a="1"/>
  <c r="L660" i="12" s="1"/>
  <c r="L661" i="12" a="1"/>
  <c r="L661" i="12" s="1"/>
  <c r="M661" i="12" s="1"/>
  <c r="N661" i="12" s="1"/>
  <c r="L662" i="12" a="1"/>
  <c r="L662" i="12" s="1"/>
  <c r="L663" i="12" a="1"/>
  <c r="L663" i="12" s="1"/>
  <c r="L664" i="12" a="1"/>
  <c r="L664" i="12" s="1"/>
  <c r="M664" i="12" s="1"/>
  <c r="N664" i="12" s="1"/>
  <c r="L665" i="12" a="1"/>
  <c r="L665" i="12" s="1"/>
  <c r="M665" i="12" s="1"/>
  <c r="N665" i="12" s="1"/>
  <c r="L666" i="12" a="1"/>
  <c r="L666" i="12" s="1"/>
  <c r="M666" i="12" s="1"/>
  <c r="N666" i="12" s="1"/>
  <c r="L667" i="12" a="1"/>
  <c r="L667" i="12" s="1"/>
  <c r="L668" i="12" a="1"/>
  <c r="L668" i="12" s="1"/>
  <c r="M668" i="12" s="1"/>
  <c r="N668" i="12" s="1"/>
  <c r="L669" i="12" a="1"/>
  <c r="L669" i="12" s="1"/>
  <c r="M669" i="12" s="1"/>
  <c r="N669" i="12" s="1"/>
  <c r="L670" i="12" a="1"/>
  <c r="L670" i="12" s="1"/>
  <c r="M670" i="12" s="1"/>
  <c r="N670" i="12" s="1"/>
  <c r="L671" i="12" a="1"/>
  <c r="L671" i="12" s="1"/>
  <c r="M671" i="12" s="1"/>
  <c r="N671" i="12" s="1"/>
  <c r="L672" i="12" a="1"/>
  <c r="L672" i="12" s="1"/>
  <c r="M672" i="12" s="1"/>
  <c r="N672" i="12" s="1"/>
  <c r="L673" i="12" a="1"/>
  <c r="L673" i="12" s="1"/>
  <c r="M673" i="12" s="1"/>
  <c r="N673" i="12" s="1"/>
  <c r="L674" i="12" a="1"/>
  <c r="L674" i="12" s="1"/>
  <c r="M674" i="12" s="1"/>
  <c r="N674" i="12" s="1"/>
  <c r="L675" i="12" a="1"/>
  <c r="L675" i="12" s="1"/>
  <c r="M675" i="12" s="1"/>
  <c r="N675" i="12" s="1"/>
  <c r="L676" i="12" a="1"/>
  <c r="L676" i="12" s="1"/>
  <c r="M676" i="12" s="1"/>
  <c r="N676" i="12" s="1"/>
  <c r="L677" i="12" a="1"/>
  <c r="L677" i="12" s="1"/>
  <c r="L678" i="12" a="1"/>
  <c r="L678" i="12" s="1"/>
  <c r="M678" i="12" s="1"/>
  <c r="N678" i="12" s="1"/>
  <c r="L679" i="12" a="1"/>
  <c r="L679" i="12" s="1"/>
  <c r="L680" i="12" a="1"/>
  <c r="L680" i="12" s="1"/>
  <c r="L681" i="12" a="1"/>
  <c r="L681" i="12" s="1"/>
  <c r="M681" i="12" s="1"/>
  <c r="N681" i="12" s="1"/>
  <c r="L682" i="12" a="1"/>
  <c r="L682" i="12" s="1"/>
  <c r="M682" i="12" s="1"/>
  <c r="N682" i="12" s="1"/>
  <c r="L683" i="12" a="1"/>
  <c r="L683" i="12" s="1"/>
  <c r="L684" i="12" a="1"/>
  <c r="L684" i="12" s="1"/>
  <c r="M684" i="12" s="1"/>
  <c r="N684" i="12" s="1"/>
  <c r="L685" i="12" a="1"/>
  <c r="L685" i="12" s="1"/>
  <c r="M685" i="12" s="1"/>
  <c r="N685" i="12" s="1"/>
  <c r="L686" i="12" a="1"/>
  <c r="L686" i="12" s="1"/>
  <c r="M686" i="12" s="1"/>
  <c r="N686" i="12" s="1"/>
  <c r="L687" i="12" a="1"/>
  <c r="L687" i="12" s="1"/>
  <c r="L688" i="12" a="1"/>
  <c r="L688" i="12" s="1"/>
  <c r="M688" i="12" s="1"/>
  <c r="N688" i="12" s="1"/>
  <c r="L689" i="12" a="1"/>
  <c r="L689" i="12" s="1"/>
  <c r="M689" i="12" s="1"/>
  <c r="N689" i="12" s="1"/>
  <c r="L690" i="12" a="1"/>
  <c r="L690" i="12" s="1"/>
  <c r="M690" i="12" s="1"/>
  <c r="N690" i="12" s="1"/>
  <c r="L691" i="12" a="1"/>
  <c r="L691" i="12" s="1"/>
  <c r="M691" i="12" s="1"/>
  <c r="N691" i="12" s="1"/>
  <c r="L692" i="12" a="1"/>
  <c r="L692" i="12" s="1"/>
  <c r="L693" i="12" a="1"/>
  <c r="L693" i="12" s="1"/>
  <c r="M693" i="12" s="1"/>
  <c r="N693" i="12" s="1"/>
  <c r="L694" i="12" a="1"/>
  <c r="L694" i="12" s="1"/>
  <c r="L695" i="12" a="1"/>
  <c r="L695" i="12" s="1"/>
  <c r="M695" i="12" s="1"/>
  <c r="N695" i="12" s="1"/>
  <c r="L696" i="12" a="1"/>
  <c r="L696" i="12" s="1"/>
  <c r="L697" i="12" a="1"/>
  <c r="L697" i="12" s="1"/>
  <c r="M697" i="12" s="1"/>
  <c r="N697" i="12" s="1"/>
  <c r="L698" i="12" a="1"/>
  <c r="L698" i="12" s="1"/>
  <c r="M698" i="12" s="1"/>
  <c r="N698" i="12" s="1"/>
  <c r="L699" i="12" a="1"/>
  <c r="L699" i="12" s="1"/>
  <c r="L700" i="12" a="1"/>
  <c r="L700" i="12" s="1"/>
  <c r="M700" i="12" s="1"/>
  <c r="N700" i="12" s="1"/>
  <c r="L701" i="12" a="1"/>
  <c r="L701" i="12" s="1"/>
  <c r="M701" i="12" s="1"/>
  <c r="N701" i="12" s="1"/>
  <c r="L702" i="12" a="1"/>
  <c r="L702" i="12" s="1"/>
  <c r="M702" i="12" s="1"/>
  <c r="N702" i="12" s="1"/>
  <c r="L703" i="12" a="1"/>
  <c r="L703" i="12" s="1"/>
  <c r="M703" i="12" s="1"/>
  <c r="N703" i="12" s="1"/>
  <c r="L704" i="12" a="1"/>
  <c r="L704" i="12" s="1"/>
  <c r="L705" i="12" a="1"/>
  <c r="L705" i="12" s="1"/>
  <c r="M705" i="12" s="1"/>
  <c r="N705" i="12" s="1"/>
  <c r="L706" i="12" a="1"/>
  <c r="L706" i="12" s="1"/>
  <c r="M706" i="12" s="1"/>
  <c r="N706" i="12" s="1"/>
  <c r="L707" i="12" a="1"/>
  <c r="L707" i="12" s="1"/>
  <c r="L708" i="12" a="1"/>
  <c r="L708" i="12" s="1"/>
  <c r="L709" i="12" a="1"/>
  <c r="L709" i="12" s="1"/>
  <c r="L710" i="12" a="1"/>
  <c r="L710" i="12" s="1"/>
  <c r="M710" i="12" s="1"/>
  <c r="N710" i="12" s="1"/>
  <c r="L711" i="12" a="1"/>
  <c r="L711" i="12" s="1"/>
  <c r="L712" i="12" a="1"/>
  <c r="L712" i="12" s="1"/>
  <c r="M712" i="12" s="1"/>
  <c r="N712" i="12" s="1"/>
  <c r="L713" i="12" a="1"/>
  <c r="L713" i="12" s="1"/>
  <c r="M713" i="12" s="1"/>
  <c r="N713" i="12" s="1"/>
  <c r="L714" i="12" a="1"/>
  <c r="L714" i="12" s="1"/>
  <c r="M714" i="12" s="1"/>
  <c r="N714" i="12" s="1"/>
  <c r="L715" i="12" a="1"/>
  <c r="L715" i="12" s="1"/>
  <c r="M715" i="12" s="1"/>
  <c r="N715" i="12" s="1"/>
  <c r="L716" i="12" a="1"/>
  <c r="L716" i="12" s="1"/>
  <c r="M716" i="12" s="1"/>
  <c r="N716" i="12" s="1"/>
  <c r="L717" i="12" a="1"/>
  <c r="L717" i="12" s="1"/>
  <c r="M717" i="12" s="1"/>
  <c r="N717" i="12" s="1"/>
  <c r="L718" i="12" a="1"/>
  <c r="L718" i="12" s="1"/>
  <c r="M718" i="12" s="1"/>
  <c r="N718" i="12" s="1"/>
  <c r="L719" i="12" a="1"/>
  <c r="L719" i="12" s="1"/>
  <c r="L720" i="12" a="1"/>
  <c r="L720" i="12" s="1"/>
  <c r="M720" i="12" s="1"/>
  <c r="N720" i="12" s="1"/>
  <c r="L721" i="12" a="1"/>
  <c r="L721" i="12" s="1"/>
  <c r="M721" i="12" s="1"/>
  <c r="N721" i="12" s="1"/>
  <c r="L722" i="12" a="1"/>
  <c r="L722" i="12" s="1"/>
  <c r="M722" i="12" s="1"/>
  <c r="N722" i="12" s="1"/>
  <c r="L723" i="12" a="1"/>
  <c r="L723" i="12" s="1"/>
  <c r="M723" i="12" s="1"/>
  <c r="N723" i="12" s="1"/>
  <c r="L724" i="12" a="1"/>
  <c r="L724" i="12" s="1"/>
  <c r="M724" i="12" s="1"/>
  <c r="N724" i="12" s="1"/>
  <c r="L725" i="12" a="1"/>
  <c r="L725" i="12" s="1"/>
  <c r="L726" i="12" a="1"/>
  <c r="L726" i="12" s="1"/>
  <c r="L727" i="12" a="1"/>
  <c r="L727" i="12" s="1"/>
  <c r="M727" i="12" s="1"/>
  <c r="N727" i="12" s="1"/>
  <c r="L728" i="12" a="1"/>
  <c r="L728" i="12" s="1"/>
  <c r="L729" i="12" a="1"/>
  <c r="L729" i="12" s="1"/>
  <c r="M729" i="12" s="1"/>
  <c r="N729" i="12" s="1"/>
  <c r="L730" i="12" a="1"/>
  <c r="L730" i="12" s="1"/>
  <c r="M730" i="12" s="1"/>
  <c r="N730" i="12" s="1"/>
  <c r="L731" i="12" a="1"/>
  <c r="L731" i="12" s="1"/>
  <c r="M731" i="12" s="1"/>
  <c r="N731" i="12" s="1"/>
  <c r="L732" i="12" a="1"/>
  <c r="L732" i="12" s="1"/>
  <c r="M732" i="12" s="1"/>
  <c r="N732" i="12" s="1"/>
  <c r="L733" i="12" a="1"/>
  <c r="L733" i="12" s="1"/>
  <c r="M733" i="12" s="1"/>
  <c r="N733" i="12" s="1"/>
  <c r="L734" i="12" a="1"/>
  <c r="L734" i="12" s="1"/>
  <c r="M734" i="12" s="1"/>
  <c r="N734" i="12" s="1"/>
  <c r="L735" i="12" a="1"/>
  <c r="L735" i="12" s="1"/>
  <c r="M735" i="12" s="1"/>
  <c r="N735" i="12" s="1"/>
  <c r="L736" i="12" a="1"/>
  <c r="L736" i="12" s="1"/>
  <c r="L737" i="12" a="1"/>
  <c r="L737" i="12" s="1"/>
  <c r="M737" i="12" s="1"/>
  <c r="N737" i="12" s="1"/>
  <c r="L738" i="12" a="1"/>
  <c r="L738" i="12" s="1"/>
  <c r="M738" i="12" s="1"/>
  <c r="N738" i="12" s="1"/>
  <c r="L739" i="12" a="1"/>
  <c r="L739" i="12" s="1"/>
  <c r="M739" i="12" s="1"/>
  <c r="N739" i="12" s="1"/>
  <c r="L740" i="12" a="1"/>
  <c r="L740" i="12" s="1"/>
  <c r="L741" i="12" a="1"/>
  <c r="L741" i="12" s="1"/>
  <c r="M741" i="12" s="1"/>
  <c r="N741" i="12" s="1"/>
  <c r="L742" i="12" a="1"/>
  <c r="L742" i="12" s="1"/>
  <c r="L743" i="12" a="1"/>
  <c r="L743" i="12" s="1"/>
  <c r="L744" i="12" a="1"/>
  <c r="L744" i="12" s="1"/>
  <c r="M744" i="12" s="1"/>
  <c r="N744" i="12" s="1"/>
  <c r="L745" i="12" a="1"/>
  <c r="L745" i="12" s="1"/>
  <c r="M745" i="12" s="1"/>
  <c r="N745" i="12" s="1"/>
  <c r="L746" i="12" a="1"/>
  <c r="L746" i="12" s="1"/>
  <c r="M746" i="12" s="1"/>
  <c r="N746" i="12" s="1"/>
  <c r="L747" i="12" a="1"/>
  <c r="L747" i="12" s="1"/>
  <c r="M747" i="12" s="1"/>
  <c r="N747" i="12" s="1"/>
  <c r="L748" i="12" a="1"/>
  <c r="L748" i="12" s="1"/>
  <c r="M748" i="12" s="1"/>
  <c r="N748" i="12" s="1"/>
  <c r="L749" i="12" a="1"/>
  <c r="L749" i="12" s="1"/>
  <c r="M749" i="12" s="1"/>
  <c r="N749" i="12" s="1"/>
  <c r="L750" i="12" a="1"/>
  <c r="L750" i="12" s="1"/>
  <c r="M750" i="12" s="1"/>
  <c r="N750" i="12" s="1"/>
  <c r="L751" i="12" a="1"/>
  <c r="L751" i="12" s="1"/>
  <c r="M751" i="12" s="1"/>
  <c r="N751" i="12" s="1"/>
  <c r="L752" i="12" a="1"/>
  <c r="L752" i="12" s="1"/>
  <c r="M752" i="12" s="1"/>
  <c r="N752" i="12" s="1"/>
  <c r="L753" i="12" a="1"/>
  <c r="L753" i="12" s="1"/>
  <c r="M753" i="12" s="1"/>
  <c r="N753" i="12" s="1"/>
  <c r="L754" i="12" a="1"/>
  <c r="L754" i="12" s="1"/>
  <c r="M754" i="12" s="1"/>
  <c r="N754" i="12" s="1"/>
  <c r="L755" i="12" a="1"/>
  <c r="L755" i="12" s="1"/>
  <c r="M755" i="12" s="1"/>
  <c r="N755" i="12" s="1"/>
  <c r="L756" i="12" a="1"/>
  <c r="L756" i="12" s="1"/>
  <c r="L757" i="12" a="1"/>
  <c r="L757" i="12" s="1"/>
  <c r="L2" i="12" a="1"/>
  <c r="L2" i="12" s="1"/>
  <c r="M2" i="12" s="1"/>
  <c r="N2" i="12" s="1"/>
  <c r="D70" i="5"/>
  <c r="Z70" i="5" a="1"/>
  <c r="Z70" i="5" s="1"/>
  <c r="AA70" i="5" a="1"/>
  <c r="AA70" i="5" s="1"/>
  <c r="AB70" i="5" a="1"/>
  <c r="AB70" i="5" s="1"/>
  <c r="I1208" i="12" a="1"/>
  <c r="I1208" i="12" s="1"/>
  <c r="J1208" i="12" a="1"/>
  <c r="J1208" i="12" s="1"/>
  <c r="K1208" i="12" a="1"/>
  <c r="K1208" i="12" s="1"/>
  <c r="P1208" i="12" s="1" a="1"/>
  <c r="P1208" i="12" s="1"/>
  <c r="I1209" i="12" a="1"/>
  <c r="I1209" i="12" s="1"/>
  <c r="J1209" i="12" a="1"/>
  <c r="J1209" i="12" s="1"/>
  <c r="K1209" i="12" a="1"/>
  <c r="K1209" i="12" s="1"/>
  <c r="P1209" i="12" s="1" a="1"/>
  <c r="P1209" i="12" s="1"/>
  <c r="I1210" i="12" a="1"/>
  <c r="I1210" i="12" s="1"/>
  <c r="J1210" i="12" a="1"/>
  <c r="J1210" i="12" s="1"/>
  <c r="K1210" i="12" a="1"/>
  <c r="K1210" i="12" s="1"/>
  <c r="P1210" i="12" s="1" a="1"/>
  <c r="P1210" i="12" s="1"/>
  <c r="I1211" i="12" a="1"/>
  <c r="I1211" i="12" s="1"/>
  <c r="J1211" i="12" a="1"/>
  <c r="J1211" i="12" s="1"/>
  <c r="K1211" i="12" a="1"/>
  <c r="K1211" i="12" s="1"/>
  <c r="P1211" i="12" s="1" a="1"/>
  <c r="P1211" i="12" s="1"/>
  <c r="I1212" i="12" a="1"/>
  <c r="I1212" i="12" s="1"/>
  <c r="J1212" i="12" a="1"/>
  <c r="J1212" i="12" s="1"/>
  <c r="K1212" i="12" a="1"/>
  <c r="K1212" i="12" s="1"/>
  <c r="P1212" i="12" s="1" a="1"/>
  <c r="P1212" i="12" s="1"/>
  <c r="I1213" i="12" a="1"/>
  <c r="I1213" i="12" s="1"/>
  <c r="J1213" i="12" a="1"/>
  <c r="J1213" i="12" s="1"/>
  <c r="K1213" i="12" a="1"/>
  <c r="K1213" i="12" s="1"/>
  <c r="M1213" i="12" s="1"/>
  <c r="N1213" i="12" s="1"/>
  <c r="I1214" i="12" a="1"/>
  <c r="I1214" i="12" s="1"/>
  <c r="J1214" i="12" a="1"/>
  <c r="J1214" i="12" s="1"/>
  <c r="K1214" i="12" a="1"/>
  <c r="K1214" i="12" s="1"/>
  <c r="P1214" i="12" s="1" a="1"/>
  <c r="P1214" i="12" s="1"/>
  <c r="I1215" i="12" a="1"/>
  <c r="I1215" i="12" s="1"/>
  <c r="J1215" i="12" a="1"/>
  <c r="J1215" i="12" s="1"/>
  <c r="K1215" i="12" a="1"/>
  <c r="K1215" i="12" s="1"/>
  <c r="P1215" i="12" s="1" a="1"/>
  <c r="P1215" i="12" s="1"/>
  <c r="I1216" i="12" a="1"/>
  <c r="I1216" i="12" s="1"/>
  <c r="J1216" i="12" a="1"/>
  <c r="J1216" i="12" s="1"/>
  <c r="K1216" i="12" a="1"/>
  <c r="K1216" i="12" s="1"/>
  <c r="P1216" i="12" s="1" a="1"/>
  <c r="P1216" i="12" s="1"/>
  <c r="I1217" i="12" a="1"/>
  <c r="I1217" i="12" s="1"/>
  <c r="J1217" i="12" a="1"/>
  <c r="J1217" i="12" s="1"/>
  <c r="K1217" i="12" a="1"/>
  <c r="K1217" i="12" s="1"/>
  <c r="P1217" i="12" s="1" a="1"/>
  <c r="P1217" i="12" s="1"/>
  <c r="I1218" i="12" a="1"/>
  <c r="I1218" i="12" s="1"/>
  <c r="J1218" i="12" a="1"/>
  <c r="J1218" i="12" s="1"/>
  <c r="K1218" i="12" a="1"/>
  <c r="K1218" i="12" s="1"/>
  <c r="P1218" i="12" s="1" a="1"/>
  <c r="P1218" i="12" s="1"/>
  <c r="I1219" i="12" a="1"/>
  <c r="I1219" i="12" s="1"/>
  <c r="J1219" i="12" a="1"/>
  <c r="J1219" i="12" s="1"/>
  <c r="K1219" i="12" a="1"/>
  <c r="K1219" i="12" s="1"/>
  <c r="P1219" i="12" s="1" a="1"/>
  <c r="P1219" i="12" s="1"/>
  <c r="I1220" i="12" a="1"/>
  <c r="I1220" i="12" s="1"/>
  <c r="J1220" i="12" a="1"/>
  <c r="J1220" i="12" s="1"/>
  <c r="K1220" i="12" a="1"/>
  <c r="K1220" i="12" s="1"/>
  <c r="P1220" i="12" s="1" a="1"/>
  <c r="P1220" i="12" s="1"/>
  <c r="I1221" i="12" a="1"/>
  <c r="I1221" i="12" s="1"/>
  <c r="J1221" i="12" a="1"/>
  <c r="J1221" i="12" s="1"/>
  <c r="K1221" i="12" a="1"/>
  <c r="K1221" i="12" s="1"/>
  <c r="I1222" i="12" a="1"/>
  <c r="I1222" i="12" s="1"/>
  <c r="J1222" i="12" a="1"/>
  <c r="J1222" i="12" s="1"/>
  <c r="K1222" i="12" a="1"/>
  <c r="K1222" i="12" s="1"/>
  <c r="P1222" i="12" s="1" a="1"/>
  <c r="P1222" i="12" s="1"/>
  <c r="I1223" i="12" a="1"/>
  <c r="I1223" i="12" s="1"/>
  <c r="J1223" i="12" a="1"/>
  <c r="J1223" i="12" s="1"/>
  <c r="K1223" i="12" a="1"/>
  <c r="K1223" i="12" s="1"/>
  <c r="P1223" i="12" s="1" a="1"/>
  <c r="P1223" i="12" s="1"/>
  <c r="I1224" i="12" a="1"/>
  <c r="I1224" i="12" s="1"/>
  <c r="J1224" i="12" a="1"/>
  <c r="J1224" i="12" s="1"/>
  <c r="K1224" i="12" a="1"/>
  <c r="K1224" i="12" s="1"/>
  <c r="P1224" i="12" s="1" a="1"/>
  <c r="P1224" i="12" s="1"/>
  <c r="I1225" i="12" a="1"/>
  <c r="I1225" i="12" s="1"/>
  <c r="J1225" i="12" a="1"/>
  <c r="J1225" i="12" s="1"/>
  <c r="K1225" i="12" a="1"/>
  <c r="K1225" i="12" s="1"/>
  <c r="P1225" i="12" s="1" a="1"/>
  <c r="P1225" i="12" s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F12" i="4" s="1"/>
  <c r="G12" i="4" a="1"/>
  <c r="G12" i="4" s="1"/>
  <c r="F72" i="2"/>
  <c r="Q72" i="2"/>
  <c r="H1172" i="12"/>
  <c r="I1172" i="12" a="1"/>
  <c r="I1172" i="12"/>
  <c r="J1172" i="12" a="1"/>
  <c r="J1172" i="12"/>
  <c r="K1172" i="12" a="1"/>
  <c r="K1172" i="12"/>
  <c r="H1173" i="12"/>
  <c r="I1173" i="12" a="1"/>
  <c r="I1173" i="12"/>
  <c r="J1173" i="12" a="1"/>
  <c r="J1173" i="12"/>
  <c r="K1173" i="12" a="1"/>
  <c r="K1173" i="12"/>
  <c r="H1174" i="12"/>
  <c r="I1174" i="12" a="1"/>
  <c r="I1174" i="12"/>
  <c r="J1174" i="12" a="1"/>
  <c r="J1174" i="12"/>
  <c r="K1174" i="12" a="1"/>
  <c r="K1174" i="12"/>
  <c r="H1175" i="12"/>
  <c r="I1175" i="12" a="1"/>
  <c r="I1175" i="12"/>
  <c r="J1175" i="12" a="1"/>
  <c r="J1175" i="12"/>
  <c r="K1175" i="12" a="1"/>
  <c r="K1175" i="12"/>
  <c r="M1175" i="12"/>
  <c r="N1175" i="12" s="1"/>
  <c r="H1176" i="12"/>
  <c r="I1176" i="12" a="1"/>
  <c r="I1176" i="12"/>
  <c r="J1176" i="12" a="1"/>
  <c r="J1176" i="12"/>
  <c r="K1176" i="12" a="1"/>
  <c r="K1176" i="12"/>
  <c r="H1177" i="12"/>
  <c r="I1177" i="12" a="1"/>
  <c r="I1177" i="12"/>
  <c r="J1177" i="12" a="1"/>
  <c r="J1177" i="12"/>
  <c r="K1177" i="12" a="1"/>
  <c r="K1177" i="12"/>
  <c r="H1178" i="12"/>
  <c r="I1178" i="12" a="1"/>
  <c r="I1178" i="12"/>
  <c r="J1178" i="12" a="1"/>
  <c r="J1178" i="12"/>
  <c r="K1178" i="12" a="1"/>
  <c r="K1178" i="12"/>
  <c r="H1179" i="12"/>
  <c r="I1179" i="12" a="1"/>
  <c r="I1179" i="12"/>
  <c r="J1179" i="12" a="1"/>
  <c r="J1179" i="12"/>
  <c r="K1179" i="12" a="1"/>
  <c r="K1179" i="12"/>
  <c r="H1180" i="12"/>
  <c r="I1180" i="12" a="1"/>
  <c r="I1180" i="12"/>
  <c r="J1180" i="12" a="1"/>
  <c r="J1180" i="12"/>
  <c r="K1180" i="12" a="1"/>
  <c r="K1180" i="12"/>
  <c r="H1181" i="12"/>
  <c r="I1181" i="12" a="1"/>
  <c r="I1181" i="12"/>
  <c r="J1181" i="12" a="1"/>
  <c r="J1181" i="12"/>
  <c r="K1181" i="12" a="1"/>
  <c r="K1181" i="12"/>
  <c r="H1182" i="12"/>
  <c r="I1182" i="12" a="1"/>
  <c r="I1182" i="12"/>
  <c r="J1182" i="12" a="1"/>
  <c r="J1182" i="12"/>
  <c r="K1182" i="12" a="1"/>
  <c r="K1182" i="12"/>
  <c r="H1183" i="12"/>
  <c r="I1183" i="12" a="1"/>
  <c r="I1183" i="12"/>
  <c r="J1183" i="12" a="1"/>
  <c r="J1183" i="12"/>
  <c r="K1183" i="12" a="1"/>
  <c r="K1183" i="12"/>
  <c r="H1184" i="12"/>
  <c r="I1184" i="12" a="1"/>
  <c r="I1184" i="12"/>
  <c r="J1184" i="12" a="1"/>
  <c r="J1184" i="12"/>
  <c r="K1184" i="12" a="1"/>
  <c r="K1184" i="12"/>
  <c r="H1185" i="12"/>
  <c r="I1185" i="12" a="1"/>
  <c r="I1185" i="12"/>
  <c r="J1185" i="12" a="1"/>
  <c r="J1185" i="12"/>
  <c r="K1185" i="12" a="1"/>
  <c r="K1185" i="12"/>
  <c r="H1186" i="12"/>
  <c r="I1186" i="12" a="1"/>
  <c r="I1186" i="12"/>
  <c r="J1186" i="12" a="1"/>
  <c r="J1186" i="12"/>
  <c r="K1186" i="12" a="1"/>
  <c r="K1186" i="12"/>
  <c r="H1187" i="12"/>
  <c r="I1187" i="12" a="1"/>
  <c r="I1187" i="12"/>
  <c r="J1187" i="12" a="1"/>
  <c r="J1187" i="12"/>
  <c r="K1187" i="12" a="1"/>
  <c r="K1187" i="12"/>
  <c r="H1188" i="12"/>
  <c r="I1188" i="12" a="1"/>
  <c r="I1188" i="12"/>
  <c r="J1188" i="12" a="1"/>
  <c r="J1188" i="12"/>
  <c r="K1188" i="12" a="1"/>
  <c r="K1188" i="12"/>
  <c r="H1189" i="12"/>
  <c r="I1189" i="12" a="1"/>
  <c r="I1189" i="12"/>
  <c r="J1189" i="12" a="1"/>
  <c r="J1189" i="12"/>
  <c r="K1189" i="12" a="1"/>
  <c r="K1189" i="12"/>
  <c r="H1190" i="12"/>
  <c r="I1190" i="12" a="1"/>
  <c r="I1190" i="12"/>
  <c r="J1190" i="12" a="1"/>
  <c r="J1190" i="12"/>
  <c r="K1190" i="12" a="1"/>
  <c r="K1190" i="12"/>
  <c r="H1191" i="12"/>
  <c r="I1191" i="12" a="1"/>
  <c r="I1191" i="12"/>
  <c r="J1191" i="12" a="1"/>
  <c r="J1191" i="12"/>
  <c r="K1191" i="12" a="1"/>
  <c r="K1191" i="12"/>
  <c r="H1192" i="12"/>
  <c r="I1192" i="12" a="1"/>
  <c r="I1192" i="12"/>
  <c r="J1192" i="12" a="1"/>
  <c r="J1192" i="12"/>
  <c r="K1192" i="12" a="1"/>
  <c r="K1192" i="12"/>
  <c r="H1193" i="12"/>
  <c r="I1193" i="12" a="1"/>
  <c r="I1193" i="12"/>
  <c r="J1193" i="12" a="1"/>
  <c r="J1193" i="12"/>
  <c r="K1193" i="12" a="1"/>
  <c r="K1193" i="12"/>
  <c r="H1194" i="12"/>
  <c r="I1194" i="12" a="1"/>
  <c r="I1194" i="12"/>
  <c r="J1194" i="12" a="1"/>
  <c r="J1194" i="12"/>
  <c r="K1194" i="12" a="1"/>
  <c r="K1194" i="12"/>
  <c r="M1194" i="12"/>
  <c r="N1194" i="12" s="1"/>
  <c r="H1195" i="12"/>
  <c r="I1195" i="12" a="1"/>
  <c r="I1195" i="12"/>
  <c r="J1195" i="12" a="1"/>
  <c r="J1195" i="12"/>
  <c r="K1195" i="12" a="1"/>
  <c r="K1195" i="12"/>
  <c r="H1196" i="12"/>
  <c r="I1196" i="12" a="1"/>
  <c r="I1196" i="12"/>
  <c r="J1196" i="12" a="1"/>
  <c r="J1196" i="12"/>
  <c r="K1196" i="12" a="1"/>
  <c r="K1196" i="12"/>
  <c r="M1196" i="12"/>
  <c r="N1196" i="12" s="1"/>
  <c r="H1197" i="12"/>
  <c r="I1197" i="12" a="1"/>
  <c r="I1197" i="12"/>
  <c r="J1197" i="12" a="1"/>
  <c r="J1197" i="12"/>
  <c r="K1197" i="12" a="1"/>
  <c r="K1197" i="12"/>
  <c r="H1198" i="12"/>
  <c r="I1198" i="12" a="1"/>
  <c r="I1198" i="12"/>
  <c r="J1198" i="12" a="1"/>
  <c r="J1198" i="12"/>
  <c r="K1198" i="12" a="1"/>
  <c r="K1198" i="12"/>
  <c r="H1199" i="12"/>
  <c r="I1199" i="12" a="1"/>
  <c r="I1199" i="12"/>
  <c r="J1199" i="12" a="1"/>
  <c r="J1199" i="12"/>
  <c r="K1199" i="12" a="1"/>
  <c r="K1199" i="12"/>
  <c r="H1200" i="12"/>
  <c r="I1200" i="12" a="1"/>
  <c r="I1200" i="12"/>
  <c r="J1200" i="12" a="1"/>
  <c r="J1200" i="12"/>
  <c r="K1200" i="12" a="1"/>
  <c r="K1200" i="12"/>
  <c r="H1201" i="12"/>
  <c r="I1201" i="12" a="1"/>
  <c r="I1201" i="12"/>
  <c r="J1201" i="12" a="1"/>
  <c r="J1201" i="12"/>
  <c r="K1201" i="12" a="1"/>
  <c r="K1201" i="12"/>
  <c r="H1202" i="12"/>
  <c r="I1202" i="12" a="1"/>
  <c r="I1202" i="12"/>
  <c r="J1202" i="12" a="1"/>
  <c r="J1202" i="12"/>
  <c r="K1202" i="12" a="1"/>
  <c r="K1202" i="12"/>
  <c r="H1203" i="12"/>
  <c r="I1203" i="12" a="1"/>
  <c r="I1203" i="12"/>
  <c r="J1203" i="12" a="1"/>
  <c r="J1203" i="12"/>
  <c r="K1203" i="12" a="1"/>
  <c r="K1203" i="12"/>
  <c r="H1204" i="12"/>
  <c r="I1204" i="12" a="1"/>
  <c r="I1204" i="12"/>
  <c r="J1204" i="12" a="1"/>
  <c r="J1204" i="12"/>
  <c r="K1204" i="12" a="1"/>
  <c r="K1204" i="12"/>
  <c r="H1205" i="12"/>
  <c r="I1205" i="12" a="1"/>
  <c r="I1205" i="12"/>
  <c r="J1205" i="12" a="1"/>
  <c r="J1205" i="12"/>
  <c r="K1205" i="12" a="1"/>
  <c r="K1205" i="12"/>
  <c r="H1206" i="12"/>
  <c r="I1206" i="12" a="1"/>
  <c r="I1206" i="12"/>
  <c r="J1206" i="12" a="1"/>
  <c r="J1206" i="12"/>
  <c r="K1206" i="12" a="1"/>
  <c r="K1206" i="12"/>
  <c r="H1207" i="12"/>
  <c r="I1207" i="12" a="1"/>
  <c r="I1207" i="12"/>
  <c r="J1207" i="12" a="1"/>
  <c r="J1207" i="12"/>
  <c r="K1207" i="12" a="1"/>
  <c r="K1207" i="12"/>
  <c r="D68" i="9"/>
  <c r="W68" i="9"/>
  <c r="D69" i="9"/>
  <c r="W69" i="9" s="1"/>
  <c r="D68" i="8"/>
  <c r="D69" i="8"/>
  <c r="W68" i="8"/>
  <c r="W69" i="8"/>
  <c r="D68" i="7"/>
  <c r="D69" i="7"/>
  <c r="Z68" i="7" a="1"/>
  <c r="Z68" i="7" s="1"/>
  <c r="Z69" i="7" a="1"/>
  <c r="Z69" i="7" s="1"/>
  <c r="AA68" i="7" a="1"/>
  <c r="AA68" i="7" s="1"/>
  <c r="AA69" i="7" a="1"/>
  <c r="AA69" i="7" s="1"/>
  <c r="AB68" i="7" a="1"/>
  <c r="AB68" i="7"/>
  <c r="AB69" i="7" a="1"/>
  <c r="AB69" i="7" s="1"/>
  <c r="M1164" i="12"/>
  <c r="N1164" i="12" s="1"/>
  <c r="D69" i="5"/>
  <c r="Z69" i="5" a="1"/>
  <c r="Z69" i="5"/>
  <c r="AA69" i="5" a="1"/>
  <c r="AA69" i="5"/>
  <c r="AB69" i="5" a="1"/>
  <c r="AB69" i="5"/>
  <c r="M1169" i="12"/>
  <c r="N1169" i="12" s="1"/>
  <c r="D68" i="5"/>
  <c r="Z68" i="5" a="1"/>
  <c r="Z68" i="5"/>
  <c r="AA68" i="5" a="1"/>
  <c r="AA68" i="5"/>
  <c r="AB68" i="5" a="1"/>
  <c r="AB68" i="5"/>
  <c r="M1171" i="12"/>
  <c r="N1171" i="12" s="1"/>
  <c r="F23" i="4" a="1"/>
  <c r="F23" i="4" s="1"/>
  <c r="G23" i="4" a="1"/>
  <c r="G23" i="4" s="1"/>
  <c r="F26" i="4" a="1"/>
  <c r="F26" i="4" s="1"/>
  <c r="H26" i="4" s="1"/>
  <c r="G26" i="4" a="1"/>
  <c r="G26" i="4" s="1"/>
  <c r="F71" i="2"/>
  <c r="Q71" i="2"/>
  <c r="F70" i="2"/>
  <c r="Q70" i="2"/>
  <c r="F24" i="6"/>
  <c r="D67" i="9"/>
  <c r="W67" i="9"/>
  <c r="D66" i="9"/>
  <c r="W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Z67" i="7"/>
  <c r="AA67" i="7" a="1"/>
  <c r="AA67" i="7"/>
  <c r="AB67" i="7" a="1"/>
  <c r="AB67" i="7"/>
  <c r="D66" i="7"/>
  <c r="Z66" i="7" a="1"/>
  <c r="Z66" i="7" s="1"/>
  <c r="AA66" i="7" a="1"/>
  <c r="AA66" i="7"/>
  <c r="AB66" i="7" a="1"/>
  <c r="AB66" i="7" s="1"/>
  <c r="D67" i="5"/>
  <c r="Z67" i="5" a="1"/>
  <c r="Z67" i="5"/>
  <c r="AA67" i="5" a="1"/>
  <c r="AA67" i="5"/>
  <c r="AB67" i="5" a="1"/>
  <c r="AB67" i="5"/>
  <c r="D66" i="5"/>
  <c r="Z66" i="5" a="1"/>
  <c r="Z66" i="5"/>
  <c r="AA66" i="5" a="1"/>
  <c r="AA66" i="5"/>
  <c r="AB66" i="5" a="1"/>
  <c r="AB66" i="5"/>
  <c r="I1136" i="12" a="1"/>
  <c r="I1136" i="12"/>
  <c r="J1136" i="12" a="1"/>
  <c r="J1136" i="12"/>
  <c r="K1136" i="12" a="1"/>
  <c r="K1136" i="12"/>
  <c r="I1137" i="12" a="1"/>
  <c r="I1137" i="12"/>
  <c r="J1137" i="12" a="1"/>
  <c r="J1137" i="12"/>
  <c r="K1137" i="12" a="1"/>
  <c r="K1137" i="12"/>
  <c r="I1138" i="12" a="1"/>
  <c r="I1138" i="12"/>
  <c r="J1138" i="12" a="1"/>
  <c r="J1138" i="12"/>
  <c r="K1138" i="12" a="1"/>
  <c r="K1138" i="12"/>
  <c r="I1139" i="12" a="1"/>
  <c r="I1139" i="12"/>
  <c r="J1139" i="12" a="1"/>
  <c r="J1139" i="12"/>
  <c r="K1139" i="12" a="1"/>
  <c r="K1139" i="12"/>
  <c r="I1140" i="12" a="1"/>
  <c r="I1140" i="12"/>
  <c r="J1140" i="12" a="1"/>
  <c r="J1140" i="12"/>
  <c r="K1140" i="12" a="1"/>
  <c r="K1140" i="12"/>
  <c r="M1140" i="12"/>
  <c r="N1140" i="12" s="1"/>
  <c r="I1141" i="12" a="1"/>
  <c r="I1141" i="12"/>
  <c r="J1141" i="12" a="1"/>
  <c r="J1141" i="12"/>
  <c r="K1141" i="12" a="1"/>
  <c r="K1141" i="12"/>
  <c r="I1142" i="12" a="1"/>
  <c r="I1142" i="12"/>
  <c r="J1142" i="12" a="1"/>
  <c r="J1142" i="12"/>
  <c r="K1142" i="12" a="1"/>
  <c r="K1142" i="12"/>
  <c r="I1143" i="12" a="1"/>
  <c r="I1143" i="12"/>
  <c r="J1143" i="12" a="1"/>
  <c r="J1143" i="12"/>
  <c r="K1143" i="12" a="1"/>
  <c r="K1143" i="12"/>
  <c r="I1144" i="12" a="1"/>
  <c r="I1144" i="12"/>
  <c r="J1144" i="12" a="1"/>
  <c r="J1144" i="12"/>
  <c r="K1144" i="12" a="1"/>
  <c r="K1144" i="12"/>
  <c r="I1145" i="12" a="1"/>
  <c r="I1145" i="12"/>
  <c r="J1145" i="12" a="1"/>
  <c r="J1145" i="12"/>
  <c r="K1145" i="12" a="1"/>
  <c r="K1145" i="12"/>
  <c r="I1146" i="12" a="1"/>
  <c r="I1146" i="12"/>
  <c r="J1146" i="12" a="1"/>
  <c r="J1146" i="12"/>
  <c r="K1146" i="12" a="1"/>
  <c r="K1146" i="12"/>
  <c r="I1147" i="12" a="1"/>
  <c r="I1147" i="12"/>
  <c r="J1147" i="12" a="1"/>
  <c r="J1147" i="12"/>
  <c r="K1147" i="12" a="1"/>
  <c r="K1147" i="12"/>
  <c r="I1148" i="12" a="1"/>
  <c r="I1148" i="12"/>
  <c r="J1148" i="12" a="1"/>
  <c r="J1148" i="12"/>
  <c r="K1148" i="12" a="1"/>
  <c r="K1148" i="12"/>
  <c r="I1149" i="12" a="1"/>
  <c r="I1149" i="12"/>
  <c r="J1149" i="12" a="1"/>
  <c r="J1149" i="12"/>
  <c r="K1149" i="12" a="1"/>
  <c r="K1149" i="12"/>
  <c r="I1150" i="12" a="1"/>
  <c r="I1150" i="12"/>
  <c r="J1150" i="12" a="1"/>
  <c r="J1150" i="12"/>
  <c r="K1150" i="12" a="1"/>
  <c r="K1150" i="12"/>
  <c r="I1151" i="12" a="1"/>
  <c r="I1151" i="12"/>
  <c r="J1151" i="12" a="1"/>
  <c r="J1151" i="12"/>
  <c r="K1151" i="12" a="1"/>
  <c r="K1151" i="12"/>
  <c r="I1152" i="12" a="1"/>
  <c r="I1152" i="12"/>
  <c r="J1152" i="12" a="1"/>
  <c r="J1152" i="12"/>
  <c r="K1152" i="12" a="1"/>
  <c r="K1152" i="12"/>
  <c r="I1153" i="12" a="1"/>
  <c r="I1153" i="12"/>
  <c r="J1153" i="12" a="1"/>
  <c r="J1153" i="12"/>
  <c r="K1153" i="12" a="1"/>
  <c r="K1153" i="12"/>
  <c r="I1154" i="12" a="1"/>
  <c r="I1154" i="12"/>
  <c r="J1154" i="12" a="1"/>
  <c r="J1154" i="12"/>
  <c r="K1154" i="12" a="1"/>
  <c r="K1154" i="12"/>
  <c r="I1155" i="12" a="1"/>
  <c r="I1155" i="12"/>
  <c r="J1155" i="12" a="1"/>
  <c r="J1155" i="12"/>
  <c r="K1155" i="12" a="1"/>
  <c r="K1155" i="12"/>
  <c r="I1156" i="12" a="1"/>
  <c r="I1156" i="12"/>
  <c r="J1156" i="12" a="1"/>
  <c r="J1156" i="12"/>
  <c r="K1156" i="12" a="1"/>
  <c r="K1156" i="12"/>
  <c r="M1156" i="12"/>
  <c r="N1156" i="12" s="1"/>
  <c r="I1157" i="12" a="1"/>
  <c r="I1157" i="12"/>
  <c r="J1157" i="12" a="1"/>
  <c r="J1157" i="12"/>
  <c r="K1157" i="12" a="1"/>
  <c r="K1157" i="12"/>
  <c r="M1157" i="12"/>
  <c r="N1157" i="12" s="1"/>
  <c r="I1158" i="12" a="1"/>
  <c r="I1158" i="12"/>
  <c r="J1158" i="12" a="1"/>
  <c r="J1158" i="12"/>
  <c r="K1158" i="12" a="1"/>
  <c r="K1158" i="12"/>
  <c r="I1159" i="12" a="1"/>
  <c r="I1159" i="12"/>
  <c r="J1159" i="12" a="1"/>
  <c r="J1159" i="12"/>
  <c r="K1159" i="12" a="1"/>
  <c r="K1159" i="12"/>
  <c r="I1160" i="12" a="1"/>
  <c r="I1160" i="12"/>
  <c r="J1160" i="12" a="1"/>
  <c r="J1160" i="12"/>
  <c r="K1160" i="12" a="1"/>
  <c r="K1160" i="12"/>
  <c r="I1161" i="12" a="1"/>
  <c r="I1161" i="12"/>
  <c r="J1161" i="12" a="1"/>
  <c r="J1161" i="12"/>
  <c r="K1161" i="12" a="1"/>
  <c r="K1161" i="12"/>
  <c r="I1162" i="12" a="1"/>
  <c r="I1162" i="12"/>
  <c r="J1162" i="12" a="1"/>
  <c r="J1162" i="12"/>
  <c r="K1162" i="12" a="1"/>
  <c r="K1162" i="12"/>
  <c r="I1163" i="12" a="1"/>
  <c r="I1163" i="12"/>
  <c r="J1163" i="12" a="1"/>
  <c r="J1163" i="12"/>
  <c r="K1163" i="12" a="1"/>
  <c r="K1163" i="12"/>
  <c r="I1164" i="12" a="1"/>
  <c r="I1164" i="12"/>
  <c r="J1164" i="12" a="1"/>
  <c r="J1164" i="12"/>
  <c r="K1164" i="12" a="1"/>
  <c r="K1164" i="12"/>
  <c r="I1165" i="12" a="1"/>
  <c r="I1165" i="12"/>
  <c r="J1165" i="12" a="1"/>
  <c r="J1165" i="12"/>
  <c r="K1165" i="12" a="1"/>
  <c r="K1165" i="12"/>
  <c r="I1166" i="12" a="1"/>
  <c r="I1166" i="12"/>
  <c r="J1166" i="12" a="1"/>
  <c r="J1166" i="12"/>
  <c r="K1166" i="12" a="1"/>
  <c r="K1166" i="12"/>
  <c r="I1167" i="12" a="1"/>
  <c r="I1167" i="12"/>
  <c r="J1167" i="12" a="1"/>
  <c r="J1167" i="12"/>
  <c r="K1167" i="12" a="1"/>
  <c r="K1167" i="12"/>
  <c r="I1168" i="12" a="1"/>
  <c r="I1168" i="12"/>
  <c r="J1168" i="12" a="1"/>
  <c r="J1168" i="12"/>
  <c r="K1168" i="12" a="1"/>
  <c r="K1168" i="12"/>
  <c r="I1169" i="12" a="1"/>
  <c r="I1169" i="12"/>
  <c r="J1169" i="12" a="1"/>
  <c r="J1169" i="12"/>
  <c r="K1169" i="12" a="1"/>
  <c r="K1169" i="12"/>
  <c r="I1170" i="12" a="1"/>
  <c r="I1170" i="12"/>
  <c r="J1170" i="12" a="1"/>
  <c r="J1170" i="12"/>
  <c r="K1170" i="12" a="1"/>
  <c r="K1170" i="12"/>
  <c r="I1171" i="12" a="1"/>
  <c r="I1171" i="12"/>
  <c r="J1171" i="12" a="1"/>
  <c r="J1171" i="12"/>
  <c r="K1171" i="12" a="1"/>
  <c r="K1171" i="12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F57" i="4" s="1"/>
  <c r="G57" i="4" a="1"/>
  <c r="G57" i="4" s="1"/>
  <c r="F56" i="4" a="1"/>
  <c r="F56" i="4" s="1"/>
  <c r="G56" i="4" a="1"/>
  <c r="G56" i="4" s="1"/>
  <c r="F3" i="2"/>
  <c r="Q3" i="2"/>
  <c r="F2" i="2"/>
  <c r="Q2" i="2"/>
  <c r="W12" i="9"/>
  <c r="W50" i="9"/>
  <c r="D12" i="9"/>
  <c r="D48" i="9"/>
  <c r="W48" i="9"/>
  <c r="M1160" i="12"/>
  <c r="N1160" i="12" s="1"/>
  <c r="M1165" i="12"/>
  <c r="N1165" i="12" s="1"/>
  <c r="M1159" i="12"/>
  <c r="N1159" i="12" s="1"/>
  <c r="M1158" i="12"/>
  <c r="N1158" i="12" s="1"/>
  <c r="M1155" i="12"/>
  <c r="N1155" i="12" s="1"/>
  <c r="M1206" i="12"/>
  <c r="N1206" i="12" s="1"/>
  <c r="M1168" i="12"/>
  <c r="N1168" i="12" s="1"/>
  <c r="M1167" i="12"/>
  <c r="N1167" i="12" s="1"/>
  <c r="M1166" i="12"/>
  <c r="N1166" i="12" s="1"/>
  <c r="M1207" i="12"/>
  <c r="N1207" i="12" s="1"/>
  <c r="M1191" i="12"/>
  <c r="N1191" i="12" s="1"/>
  <c r="M1193" i="12"/>
  <c r="N1193" i="12" s="1"/>
  <c r="M1204" i="12"/>
  <c r="N1204" i="12" s="1"/>
  <c r="M1205" i="12"/>
  <c r="N1205" i="12" s="1"/>
  <c r="M1178" i="12"/>
  <c r="N1178" i="12" s="1"/>
  <c r="M1173" i="12"/>
  <c r="N1173" i="12" s="1"/>
  <c r="M1189" i="12"/>
  <c r="N1189" i="12" s="1"/>
  <c r="M1174" i="12"/>
  <c r="N1174" i="12" s="1"/>
  <c r="M1180" i="12"/>
  <c r="N1180" i="12" s="1"/>
  <c r="M1177" i="12"/>
  <c r="N1177" i="12" s="1"/>
  <c r="M1188" i="12"/>
  <c r="N1188" i="12" s="1"/>
  <c r="M1172" i="12"/>
  <c r="N1172" i="12" s="1"/>
  <c r="M1203" i="12"/>
  <c r="N1203" i="12" s="1"/>
  <c r="M1198" i="12"/>
  <c r="N1198" i="12" s="1"/>
  <c r="M1181" i="12"/>
  <c r="N1181" i="12" s="1"/>
  <c r="M1187" i="12"/>
  <c r="N1187" i="12" s="1"/>
  <c r="M1182" i="12"/>
  <c r="N1182" i="12" s="1"/>
  <c r="M1190" i="12"/>
  <c r="N1190" i="12" s="1"/>
  <c r="M1185" i="12"/>
  <c r="N1185" i="12" s="1"/>
  <c r="M1202" i="12"/>
  <c r="N1202" i="12" s="1"/>
  <c r="M1197" i="12"/>
  <c r="N1197" i="12" s="1"/>
  <c r="M1139" i="12"/>
  <c r="N1139" i="12" s="1"/>
  <c r="M1146" i="12"/>
  <c r="N1146" i="12" s="1"/>
  <c r="M1149" i="12"/>
  <c r="N1149" i="12" s="1"/>
  <c r="M1148" i="12"/>
  <c r="N1148" i="12" s="1"/>
  <c r="M1138" i="12"/>
  <c r="N1138" i="12" s="1"/>
  <c r="M1151" i="12"/>
  <c r="N1151" i="12" s="1"/>
  <c r="M1153" i="12"/>
  <c r="N1153" i="12" s="1"/>
  <c r="M1145" i="12"/>
  <c r="N1145" i="12" s="1"/>
  <c r="M1137" i="12"/>
  <c r="N1137" i="12" s="1"/>
  <c r="M1147" i="12"/>
  <c r="N1147" i="12" s="1"/>
  <c r="M1152" i="12"/>
  <c r="N1152" i="12" s="1"/>
  <c r="M1144" i="12"/>
  <c r="N1144" i="12" s="1"/>
  <c r="M1136" i="12"/>
  <c r="N1136" i="12" s="1"/>
  <c r="D65" i="9"/>
  <c r="W65" i="9"/>
  <c r="D65" i="8"/>
  <c r="D65" i="7"/>
  <c r="Z65" i="7" a="1"/>
  <c r="Z65" i="7" s="1"/>
  <c r="AA65" i="7" a="1"/>
  <c r="AA65" i="7" s="1"/>
  <c r="AB65" i="7" a="1"/>
  <c r="AB65" i="7" s="1"/>
  <c r="D65" i="5"/>
  <c r="Z65" i="5" a="1"/>
  <c r="Z65" i="5"/>
  <c r="AA65" i="5" a="1"/>
  <c r="AA65" i="5"/>
  <c r="AB65" i="5" a="1"/>
  <c r="AB65" i="5"/>
  <c r="F18" i="4" a="1"/>
  <c r="F18" i="4" s="1"/>
  <c r="G18" i="4" a="1"/>
  <c r="G18" i="4" s="1"/>
  <c r="F57" i="2"/>
  <c r="Q57" i="2"/>
  <c r="D64" i="9"/>
  <c r="W64" i="9"/>
  <c r="D64" i="8"/>
  <c r="D64" i="7"/>
  <c r="Z64" i="7" a="1"/>
  <c r="Z64" i="7"/>
  <c r="AA64" i="7" a="1"/>
  <c r="AA64" i="7"/>
  <c r="AB64" i="7" a="1"/>
  <c r="AB64" i="7"/>
  <c r="D64" i="5"/>
  <c r="Z64" i="5" a="1"/>
  <c r="Z64" i="5"/>
  <c r="AA64" i="5" a="1"/>
  <c r="AA64" i="5"/>
  <c r="AB64" i="5" a="1"/>
  <c r="AB64" i="5"/>
  <c r="F38" i="4" a="1"/>
  <c r="F38" i="4" s="1"/>
  <c r="H38" i="4" s="1"/>
  <c r="G38" i="4" a="1"/>
  <c r="G38" i="4" s="1"/>
  <c r="F42" i="2"/>
  <c r="Q42" i="2"/>
  <c r="D63" i="9"/>
  <c r="W63" i="9" s="1"/>
  <c r="D63" i="8"/>
  <c r="D63" i="7"/>
  <c r="Z63" i="7" a="1"/>
  <c r="Z63" i="7"/>
  <c r="AA63" i="7" a="1"/>
  <c r="AA63" i="7" s="1"/>
  <c r="AB63" i="7" a="1"/>
  <c r="AB63" i="7" s="1"/>
  <c r="D63" i="5"/>
  <c r="Z63" i="5" a="1"/>
  <c r="Z63" i="5"/>
  <c r="AA63" i="5" a="1"/>
  <c r="AA63" i="5"/>
  <c r="AB63" i="5" a="1"/>
  <c r="AB63" i="5"/>
  <c r="F47" i="4" a="1"/>
  <c r="F47" i="4" s="1"/>
  <c r="H47" i="4" s="1"/>
  <c r="G47" i="4" a="1"/>
  <c r="G47" i="4" s="1"/>
  <c r="F33" i="2"/>
  <c r="Q33" i="2"/>
  <c r="H1082" i="12"/>
  <c r="I1082" i="12" a="1"/>
  <c r="I1082" i="12"/>
  <c r="J1082" i="12" a="1"/>
  <c r="J1082" i="12"/>
  <c r="K1082" i="12" a="1"/>
  <c r="K1082" i="12"/>
  <c r="H1083" i="12"/>
  <c r="I1083" i="12" a="1"/>
  <c r="I1083" i="12"/>
  <c r="J1083" i="12" a="1"/>
  <c r="J1083" i="12"/>
  <c r="K1083" i="12" a="1"/>
  <c r="K1083" i="12"/>
  <c r="H1084" i="12"/>
  <c r="I1084" i="12" a="1"/>
  <c r="I1084" i="12"/>
  <c r="J1084" i="12" a="1"/>
  <c r="J1084" i="12"/>
  <c r="K1084" i="12" a="1"/>
  <c r="K1084" i="12"/>
  <c r="H1085" i="12"/>
  <c r="I1085" i="12" a="1"/>
  <c r="I1085" i="12"/>
  <c r="J1085" i="12" a="1"/>
  <c r="J1085" i="12"/>
  <c r="K1085" i="12" a="1"/>
  <c r="K1085" i="12"/>
  <c r="H1086" i="12"/>
  <c r="I1086" i="12" a="1"/>
  <c r="I1086" i="12"/>
  <c r="J1086" i="12" a="1"/>
  <c r="J1086" i="12"/>
  <c r="K1086" i="12" a="1"/>
  <c r="K1086" i="12"/>
  <c r="H1087" i="12"/>
  <c r="I1087" i="12" a="1"/>
  <c r="I1087" i="12"/>
  <c r="J1087" i="12" a="1"/>
  <c r="J1087" i="12"/>
  <c r="K1087" i="12" a="1"/>
  <c r="K1087" i="12"/>
  <c r="H1088" i="12"/>
  <c r="I1088" i="12" a="1"/>
  <c r="I1088" i="12"/>
  <c r="J1088" i="12" a="1"/>
  <c r="J1088" i="12"/>
  <c r="K1088" i="12" a="1"/>
  <c r="K1088" i="12"/>
  <c r="H1089" i="12"/>
  <c r="I1089" i="12" a="1"/>
  <c r="I1089" i="12"/>
  <c r="J1089" i="12" a="1"/>
  <c r="J1089" i="12"/>
  <c r="K1089" i="12" a="1"/>
  <c r="K1089" i="12"/>
  <c r="H1090" i="12"/>
  <c r="I1090" i="12" a="1"/>
  <c r="I1090" i="12"/>
  <c r="J1090" i="12" a="1"/>
  <c r="J1090" i="12"/>
  <c r="K1090" i="12" a="1"/>
  <c r="K1090" i="12"/>
  <c r="H1091" i="12"/>
  <c r="I1091" i="12" a="1"/>
  <c r="I1091" i="12"/>
  <c r="J1091" i="12" a="1"/>
  <c r="J1091" i="12"/>
  <c r="K1091" i="12" a="1"/>
  <c r="K1091" i="12"/>
  <c r="H1092" i="12"/>
  <c r="I1092" i="12" a="1"/>
  <c r="I1092" i="12"/>
  <c r="J1092" i="12" a="1"/>
  <c r="J1092" i="12"/>
  <c r="K1092" i="12" a="1"/>
  <c r="K1092" i="12"/>
  <c r="H1093" i="12"/>
  <c r="I1093" i="12" a="1"/>
  <c r="I1093" i="12"/>
  <c r="J1093" i="12" a="1"/>
  <c r="J1093" i="12"/>
  <c r="K1093" i="12" a="1"/>
  <c r="K1093" i="12"/>
  <c r="H1094" i="12"/>
  <c r="I1094" i="12" a="1"/>
  <c r="I1094" i="12"/>
  <c r="J1094" i="12" a="1"/>
  <c r="J1094" i="12"/>
  <c r="K1094" i="12" a="1"/>
  <c r="K1094" i="12"/>
  <c r="H1095" i="12"/>
  <c r="I1095" i="12" a="1"/>
  <c r="I1095" i="12"/>
  <c r="J1095" i="12" a="1"/>
  <c r="J1095" i="12"/>
  <c r="K1095" i="12" a="1"/>
  <c r="K1095" i="12"/>
  <c r="H1096" i="12"/>
  <c r="I1096" i="12" a="1"/>
  <c r="I1096" i="12"/>
  <c r="J1096" i="12" a="1"/>
  <c r="J1096" i="12"/>
  <c r="K1096" i="12" a="1"/>
  <c r="K1096" i="12"/>
  <c r="H1097" i="12"/>
  <c r="I1097" i="12" a="1"/>
  <c r="I1097" i="12"/>
  <c r="J1097" i="12" a="1"/>
  <c r="J1097" i="12"/>
  <c r="K1097" i="12" a="1"/>
  <c r="K1097" i="12"/>
  <c r="H1098" i="12"/>
  <c r="I1098" i="12" a="1"/>
  <c r="I1098" i="12"/>
  <c r="J1098" i="12" a="1"/>
  <c r="J1098" i="12"/>
  <c r="K1098" i="12" a="1"/>
  <c r="K1098" i="12"/>
  <c r="H1099" i="12"/>
  <c r="I1099" i="12" a="1"/>
  <c r="I1099" i="12"/>
  <c r="J1099" i="12" a="1"/>
  <c r="J1099" i="12"/>
  <c r="K1099" i="12" a="1"/>
  <c r="K1099" i="12"/>
  <c r="H1100" i="12"/>
  <c r="I1100" i="12" a="1"/>
  <c r="I1100" i="12"/>
  <c r="J1100" i="12" a="1"/>
  <c r="J1100" i="12"/>
  <c r="K1100" i="12" a="1"/>
  <c r="K1100" i="12"/>
  <c r="H1101" i="12"/>
  <c r="I1101" i="12" a="1"/>
  <c r="I1101" i="12"/>
  <c r="J1101" i="12" a="1"/>
  <c r="J1101" i="12"/>
  <c r="K1101" i="12" a="1"/>
  <c r="K1101" i="12"/>
  <c r="H1102" i="12"/>
  <c r="I1102" i="12" a="1"/>
  <c r="I1102" i="12"/>
  <c r="J1102" i="12" a="1"/>
  <c r="J1102" i="12"/>
  <c r="K1102" i="12" a="1"/>
  <c r="K1102" i="12"/>
  <c r="H1103" i="12"/>
  <c r="I1103" i="12" a="1"/>
  <c r="I1103" i="12"/>
  <c r="J1103" i="12" a="1"/>
  <c r="J1103" i="12"/>
  <c r="K1103" i="12" a="1"/>
  <c r="K1103" i="12"/>
  <c r="H1104" i="12"/>
  <c r="I1104" i="12" a="1"/>
  <c r="I1104" i="12"/>
  <c r="J1104" i="12" a="1"/>
  <c r="J1104" i="12"/>
  <c r="K1104" i="12" a="1"/>
  <c r="K1104" i="12"/>
  <c r="H1105" i="12"/>
  <c r="I1105" i="12" a="1"/>
  <c r="I1105" i="12"/>
  <c r="J1105" i="12" a="1"/>
  <c r="J1105" i="12"/>
  <c r="K1105" i="12" a="1"/>
  <c r="K1105" i="12"/>
  <c r="H1106" i="12"/>
  <c r="I1106" i="12" a="1"/>
  <c r="I1106" i="12"/>
  <c r="J1106" i="12" a="1"/>
  <c r="J1106" i="12"/>
  <c r="K1106" i="12" a="1"/>
  <c r="K1106" i="12"/>
  <c r="H1107" i="12"/>
  <c r="I1107" i="12" a="1"/>
  <c r="I1107" i="12"/>
  <c r="J1107" i="12" a="1"/>
  <c r="J1107" i="12"/>
  <c r="K1107" i="12" a="1"/>
  <c r="K1107" i="12"/>
  <c r="H1108" i="12"/>
  <c r="I1108" i="12" a="1"/>
  <c r="I1108" i="12"/>
  <c r="J1108" i="12" a="1"/>
  <c r="J1108" i="12"/>
  <c r="K1108" i="12" a="1"/>
  <c r="K1108" i="12"/>
  <c r="H1109" i="12"/>
  <c r="I1109" i="12" a="1"/>
  <c r="I1109" i="12"/>
  <c r="J1109" i="12" a="1"/>
  <c r="J1109" i="12"/>
  <c r="K1109" i="12" a="1"/>
  <c r="K1109" i="12"/>
  <c r="H1110" i="12"/>
  <c r="I1110" i="12" a="1"/>
  <c r="I1110" i="12"/>
  <c r="J1110" i="12" a="1"/>
  <c r="J1110" i="12"/>
  <c r="K1110" i="12" a="1"/>
  <c r="K1110" i="12"/>
  <c r="H1111" i="12"/>
  <c r="I1111" i="12" a="1"/>
  <c r="I1111" i="12"/>
  <c r="J1111" i="12" a="1"/>
  <c r="J1111" i="12"/>
  <c r="K1111" i="12" a="1"/>
  <c r="K1111" i="12"/>
  <c r="H1112" i="12"/>
  <c r="I1112" i="12" a="1"/>
  <c r="I1112" i="12"/>
  <c r="J1112" i="12" a="1"/>
  <c r="J1112" i="12"/>
  <c r="K1112" i="12" a="1"/>
  <c r="K1112" i="12"/>
  <c r="H1113" i="12"/>
  <c r="I1113" i="12" a="1"/>
  <c r="I1113" i="12"/>
  <c r="J1113" i="12" a="1"/>
  <c r="J1113" i="12"/>
  <c r="K1113" i="12" a="1"/>
  <c r="K1113" i="12"/>
  <c r="H1114" i="12"/>
  <c r="I1114" i="12" a="1"/>
  <c r="I1114" i="12"/>
  <c r="J1114" i="12" a="1"/>
  <c r="J1114" i="12"/>
  <c r="K1114" i="12" a="1"/>
  <c r="K1114" i="12"/>
  <c r="H1115" i="12"/>
  <c r="I1115" i="12" a="1"/>
  <c r="I1115" i="12"/>
  <c r="J1115" i="12" a="1"/>
  <c r="J1115" i="12"/>
  <c r="K1115" i="12" a="1"/>
  <c r="K1115" i="12"/>
  <c r="H1116" i="12"/>
  <c r="I1116" i="12" a="1"/>
  <c r="I1116" i="12"/>
  <c r="J1116" i="12" a="1"/>
  <c r="J1116" i="12"/>
  <c r="K1116" i="12" a="1"/>
  <c r="K1116" i="12"/>
  <c r="H1117" i="12"/>
  <c r="I1117" i="12" a="1"/>
  <c r="I1117" i="12"/>
  <c r="J1117" i="12" a="1"/>
  <c r="J1117" i="12"/>
  <c r="K1117" i="12" a="1"/>
  <c r="K1117" i="12"/>
  <c r="H1118" i="12"/>
  <c r="I1118" i="12" a="1"/>
  <c r="I1118" i="12"/>
  <c r="J1118" i="12" a="1"/>
  <c r="J1118" i="12"/>
  <c r="K1118" i="12" a="1"/>
  <c r="K1118" i="12"/>
  <c r="H1119" i="12"/>
  <c r="I1119" i="12" a="1"/>
  <c r="I1119" i="12"/>
  <c r="J1119" i="12" a="1"/>
  <c r="J1119" i="12"/>
  <c r="K1119" i="12" a="1"/>
  <c r="K1119" i="12"/>
  <c r="H1120" i="12"/>
  <c r="I1120" i="12" a="1"/>
  <c r="I1120" i="12"/>
  <c r="J1120" i="12" a="1"/>
  <c r="J1120" i="12"/>
  <c r="K1120" i="12" a="1"/>
  <c r="K1120" i="12"/>
  <c r="H1121" i="12"/>
  <c r="I1121" i="12" a="1"/>
  <c r="I1121" i="12"/>
  <c r="J1121" i="12" a="1"/>
  <c r="J1121" i="12"/>
  <c r="K1121" i="12" a="1"/>
  <c r="K1121" i="12"/>
  <c r="H1122" i="12"/>
  <c r="I1122" i="12" a="1"/>
  <c r="I1122" i="12"/>
  <c r="J1122" i="12" a="1"/>
  <c r="J1122" i="12"/>
  <c r="K1122" i="12" a="1"/>
  <c r="K1122" i="12"/>
  <c r="H1123" i="12"/>
  <c r="I1123" i="12" a="1"/>
  <c r="I1123" i="12"/>
  <c r="J1123" i="12" a="1"/>
  <c r="J1123" i="12"/>
  <c r="K1123" i="12" a="1"/>
  <c r="K1123" i="12"/>
  <c r="H1124" i="12"/>
  <c r="I1124" i="12" a="1"/>
  <c r="I1124" i="12"/>
  <c r="J1124" i="12" a="1"/>
  <c r="J1124" i="12"/>
  <c r="K1124" i="12" a="1"/>
  <c r="K1124" i="12"/>
  <c r="H1125" i="12"/>
  <c r="I1125" i="12" a="1"/>
  <c r="I1125" i="12"/>
  <c r="J1125" i="12" a="1"/>
  <c r="J1125" i="12"/>
  <c r="K1125" i="12" a="1"/>
  <c r="K1125" i="12"/>
  <c r="H1126" i="12"/>
  <c r="I1126" i="12" a="1"/>
  <c r="I1126" i="12"/>
  <c r="J1126" i="12" a="1"/>
  <c r="J1126" i="12"/>
  <c r="K1126" i="12" a="1"/>
  <c r="K1126" i="12"/>
  <c r="H1127" i="12"/>
  <c r="I1127" i="12" a="1"/>
  <c r="I1127" i="12"/>
  <c r="J1127" i="12" a="1"/>
  <c r="J1127" i="12"/>
  <c r="K1127" i="12" a="1"/>
  <c r="K1127" i="12"/>
  <c r="H1128" i="12"/>
  <c r="I1128" i="12" a="1"/>
  <c r="I1128" i="12"/>
  <c r="J1128" i="12" a="1"/>
  <c r="J1128" i="12"/>
  <c r="K1128" i="12" a="1"/>
  <c r="K1128" i="12"/>
  <c r="H1129" i="12"/>
  <c r="I1129" i="12" a="1"/>
  <c r="I1129" i="12"/>
  <c r="J1129" i="12" a="1"/>
  <c r="J1129" i="12"/>
  <c r="K1129" i="12" a="1"/>
  <c r="K1129" i="12"/>
  <c r="H1130" i="12"/>
  <c r="I1130" i="12" a="1"/>
  <c r="I1130" i="12"/>
  <c r="J1130" i="12" a="1"/>
  <c r="J1130" i="12"/>
  <c r="K1130" i="12" a="1"/>
  <c r="K1130" i="12"/>
  <c r="H1131" i="12"/>
  <c r="I1131" i="12" a="1"/>
  <c r="I1131" i="12"/>
  <c r="J1131" i="12" a="1"/>
  <c r="J1131" i="12"/>
  <c r="K1131" i="12" a="1"/>
  <c r="K1131" i="12"/>
  <c r="H1132" i="12"/>
  <c r="I1132" i="12" a="1"/>
  <c r="I1132" i="12"/>
  <c r="J1132" i="12" a="1"/>
  <c r="J1132" i="12"/>
  <c r="K1132" i="12" a="1"/>
  <c r="K1132" i="12"/>
  <c r="H1133" i="12"/>
  <c r="I1133" i="12" a="1"/>
  <c r="I1133" i="12"/>
  <c r="J1133" i="12" a="1"/>
  <c r="J1133" i="12"/>
  <c r="K1133" i="12" a="1"/>
  <c r="K1133" i="12"/>
  <c r="H1134" i="12"/>
  <c r="I1134" i="12" a="1"/>
  <c r="I1134" i="12"/>
  <c r="J1134" i="12" a="1"/>
  <c r="J1134" i="12"/>
  <c r="K1134" i="12" a="1"/>
  <c r="K1134" i="12"/>
  <c r="H1135" i="12"/>
  <c r="I1135" i="12" a="1"/>
  <c r="I1135" i="12"/>
  <c r="J1135" i="12" a="1"/>
  <c r="J1135" i="12"/>
  <c r="K1135" i="12" a="1"/>
  <c r="K1135" i="12"/>
  <c r="D62" i="9"/>
  <c r="W62" i="9"/>
  <c r="D62" i="8"/>
  <c r="D62" i="7"/>
  <c r="Z62" i="7" a="1"/>
  <c r="Z62" i="7"/>
  <c r="AA62" i="7" a="1"/>
  <c r="AA62" i="7"/>
  <c r="AB62" i="7" a="1"/>
  <c r="AB62" i="7"/>
  <c r="D62" i="5"/>
  <c r="Z62" i="5" a="1"/>
  <c r="Z62" i="5"/>
  <c r="AA62" i="5" a="1"/>
  <c r="AA62" i="5"/>
  <c r="AB62" i="5" a="1"/>
  <c r="AB62" i="5"/>
  <c r="F34" i="4" a="1"/>
  <c r="F34" i="4" s="1"/>
  <c r="G34" i="4" a="1"/>
  <c r="G34" i="4" s="1"/>
  <c r="F31" i="2"/>
  <c r="Q31" i="2"/>
  <c r="D61" i="9"/>
  <c r="W61" i="9" s="1"/>
  <c r="D61" i="8"/>
  <c r="D61" i="7"/>
  <c r="Z61" i="7" a="1"/>
  <c r="Z61" i="7"/>
  <c r="AA61" i="7" a="1"/>
  <c r="AA61" i="7" s="1"/>
  <c r="AB61" i="7" a="1"/>
  <c r="AB61" i="7" s="1"/>
  <c r="D61" i="5"/>
  <c r="Z61" i="5" a="1"/>
  <c r="Z61" i="5"/>
  <c r="AA61" i="5" a="1"/>
  <c r="AA61" i="5"/>
  <c r="AB61" i="5" a="1"/>
  <c r="AB61" i="5"/>
  <c r="F58" i="4" a="1"/>
  <c r="F58" i="4" s="1"/>
  <c r="H58" i="4" s="1"/>
  <c r="G58" i="4" a="1"/>
  <c r="G58" i="4" s="1"/>
  <c r="F28" i="2"/>
  <c r="Q28" i="2"/>
  <c r="D60" i="9"/>
  <c r="W60" i="9" s="1"/>
  <c r="D60" i="8"/>
  <c r="D60" i="7"/>
  <c r="Z60" i="7" a="1"/>
  <c r="Z60" i="7"/>
  <c r="AA60" i="7" a="1"/>
  <c r="AA60" i="7"/>
  <c r="AB60" i="7" a="1"/>
  <c r="AB60" i="7"/>
  <c r="D60" i="5"/>
  <c r="Z60" i="5" a="1"/>
  <c r="Z60" i="5"/>
  <c r="AA60" i="5" a="1"/>
  <c r="AA60" i="5"/>
  <c r="AB60" i="5" a="1"/>
  <c r="AB60" i="5"/>
  <c r="F45" i="4" a="1"/>
  <c r="F45" i="4" s="1"/>
  <c r="G45" i="4" a="1"/>
  <c r="G45" i="4" s="1"/>
  <c r="Q24" i="2"/>
  <c r="F24" i="2"/>
  <c r="D59" i="9"/>
  <c r="W59" i="9" s="1"/>
  <c r="D59" i="8"/>
  <c r="D59" i="7"/>
  <c r="Z59" i="7" a="1"/>
  <c r="Z59" i="7" s="1"/>
  <c r="AA59" i="7" a="1"/>
  <c r="AA59" i="7" s="1"/>
  <c r="AB59" i="7" a="1"/>
  <c r="AB59" i="7" s="1"/>
  <c r="D59" i="5"/>
  <c r="Z59" i="5" a="1"/>
  <c r="Z59" i="5"/>
  <c r="AA59" i="5" a="1"/>
  <c r="AA59" i="5"/>
  <c r="AB59" i="5" a="1"/>
  <c r="AB59" i="5"/>
  <c r="F61" i="4" a="1"/>
  <c r="F61" i="4" s="1"/>
  <c r="H61" i="4" s="1"/>
  <c r="G61" i="4" a="1"/>
  <c r="G61" i="4" s="1"/>
  <c r="F26" i="2"/>
  <c r="Q26" i="2"/>
  <c r="D58" i="9"/>
  <c r="W58" i="9"/>
  <c r="D58" i="8"/>
  <c r="D58" i="7"/>
  <c r="Z58" i="7" a="1"/>
  <c r="Z58" i="7"/>
  <c r="AA58" i="7" a="1"/>
  <c r="AA58" i="7"/>
  <c r="AB58" i="7" a="1"/>
  <c r="AB58" i="7"/>
  <c r="D58" i="5"/>
  <c r="Z58" i="5" a="1"/>
  <c r="Z58" i="5"/>
  <c r="AA58" i="5" a="1"/>
  <c r="AA58" i="5"/>
  <c r="AB58" i="5" a="1"/>
  <c r="AB58" i="5"/>
  <c r="F28" i="4" a="1"/>
  <c r="F28" i="4" s="1"/>
  <c r="G28" i="4" a="1"/>
  <c r="G28" i="4" s="1"/>
  <c r="F17" i="2"/>
  <c r="Q17" i="2"/>
  <c r="D57" i="9"/>
  <c r="W57" i="9"/>
  <c r="D57" i="8"/>
  <c r="D57" i="7"/>
  <c r="Z57" i="7" a="1"/>
  <c r="Z57" i="7" s="1"/>
  <c r="AA57" i="7" a="1"/>
  <c r="AA57" i="7" s="1"/>
  <c r="AB57" i="7" a="1"/>
  <c r="AB57" i="7" s="1"/>
  <c r="D57" i="5"/>
  <c r="Z57" i="5" a="1"/>
  <c r="Z57" i="5"/>
  <c r="AA57" i="5" a="1"/>
  <c r="AA57" i="5"/>
  <c r="AB57" i="5" a="1"/>
  <c r="AB57" i="5"/>
  <c r="F25" i="4" a="1"/>
  <c r="F25" i="4" s="1"/>
  <c r="G25" i="4" a="1"/>
  <c r="G25" i="4" s="1"/>
  <c r="F14" i="2"/>
  <c r="Q14" i="2"/>
  <c r="D56" i="9"/>
  <c r="W56" i="9"/>
  <c r="D56" i="8"/>
  <c r="D56" i="7"/>
  <c r="Z56" i="7" a="1"/>
  <c r="Z56" i="7"/>
  <c r="AA56" i="7" a="1"/>
  <c r="AA56" i="7"/>
  <c r="AB56" i="7" a="1"/>
  <c r="AB56" i="7"/>
  <c r="Z56" i="5" a="1"/>
  <c r="Z56" i="5"/>
  <c r="F29" i="4" a="1"/>
  <c r="F29" i="4" s="1"/>
  <c r="G29" i="4" a="1"/>
  <c r="G29" i="4" s="1"/>
  <c r="M1095" i="12"/>
  <c r="N1095" i="12" s="1"/>
  <c r="M1124" i="12"/>
  <c r="N1124" i="12" s="1"/>
  <c r="M1089" i="12"/>
  <c r="N1089" i="12" s="1"/>
  <c r="M1099" i="12"/>
  <c r="N1099" i="12" s="1"/>
  <c r="M1130" i="12"/>
  <c r="N1130" i="12" s="1"/>
  <c r="M1115" i="12"/>
  <c r="N1115" i="12" s="1"/>
  <c r="M1096" i="12"/>
  <c r="N1096" i="12" s="1"/>
  <c r="M1088" i="12"/>
  <c r="N1088" i="12" s="1"/>
  <c r="M1125" i="12"/>
  <c r="N1125" i="12" s="1"/>
  <c r="M1120" i="12"/>
  <c r="N1120" i="12" s="1"/>
  <c r="M1131" i="12"/>
  <c r="N1131" i="12" s="1"/>
  <c r="M1121" i="12"/>
  <c r="N1121" i="12" s="1"/>
  <c r="M1129" i="12"/>
  <c r="N1129" i="12" s="1"/>
  <c r="M1105" i="12"/>
  <c r="N1105" i="12" s="1"/>
  <c r="M1106" i="12"/>
  <c r="N1106" i="12" s="1"/>
  <c r="M1116" i="12"/>
  <c r="N1116" i="12" s="1"/>
  <c r="M1104" i="12"/>
  <c r="N1104" i="12" s="1"/>
  <c r="M1107" i="12"/>
  <c r="N1107" i="12" s="1"/>
  <c r="M1113" i="12"/>
  <c r="N1113" i="12" s="1"/>
  <c r="M1109" i="12"/>
  <c r="N1109" i="12" s="1"/>
  <c r="M1108" i="12"/>
  <c r="N1108" i="12" s="1"/>
  <c r="M1100" i="12"/>
  <c r="N1100" i="12" s="1"/>
  <c r="M1093" i="12"/>
  <c r="N1093" i="12" s="1"/>
  <c r="M1097" i="12"/>
  <c r="N1097" i="12" s="1"/>
  <c r="M1083" i="12"/>
  <c r="N1083" i="12" s="1"/>
  <c r="M1098" i="12"/>
  <c r="N1098" i="12" s="1"/>
  <c r="M1111" i="12"/>
  <c r="N1111" i="12" s="1"/>
  <c r="M1091" i="12"/>
  <c r="N1091" i="12" s="1"/>
  <c r="M1122" i="12"/>
  <c r="N1122" i="12" s="1"/>
  <c r="M1114" i="12"/>
  <c r="N1114" i="12" s="1"/>
  <c r="M1127" i="12"/>
  <c r="N1127" i="12" s="1"/>
  <c r="M1084" i="12"/>
  <c r="N1084" i="12" s="1"/>
  <c r="M1112" i="12"/>
  <c r="N1112" i="12" s="1"/>
  <c r="M1092" i="12"/>
  <c r="N1092" i="12" s="1"/>
  <c r="M1082" i="12"/>
  <c r="N1082" i="12" s="1"/>
  <c r="M1123" i="12"/>
  <c r="N1123" i="12" s="1"/>
  <c r="M1090" i="12"/>
  <c r="N1090" i="12" s="1"/>
  <c r="M1128" i="12"/>
  <c r="N1128" i="12" s="1"/>
  <c r="Q20" i="2"/>
  <c r="F20" i="2"/>
  <c r="D55" i="9"/>
  <c r="W55" i="9"/>
  <c r="D55" i="8"/>
  <c r="D55" i="7"/>
  <c r="Z55" i="7" a="1"/>
  <c r="Z55" i="7"/>
  <c r="AA55" i="7" a="1"/>
  <c r="AA55" i="7"/>
  <c r="AB55" i="7" a="1"/>
  <c r="AB55" i="7"/>
  <c r="D56" i="5"/>
  <c r="AA56" i="5" a="1"/>
  <c r="AA56" i="5"/>
  <c r="AB56" i="5" a="1"/>
  <c r="AB56" i="5"/>
  <c r="D55" i="5"/>
  <c r="Z55" i="5" a="1"/>
  <c r="Z55" i="5"/>
  <c r="AA55" i="5" a="1"/>
  <c r="AA55" i="5"/>
  <c r="AB55" i="5" a="1"/>
  <c r="AB55" i="5"/>
  <c r="F48" i="4" a="1"/>
  <c r="F48" i="4" s="1"/>
  <c r="H48" i="4" s="1"/>
  <c r="G48" i="4" a="1"/>
  <c r="G48" i="4" s="1"/>
  <c r="Q5" i="2"/>
  <c r="F5" i="2"/>
  <c r="D54" i="9"/>
  <c r="W54" i="9"/>
  <c r="D54" i="8"/>
  <c r="D54" i="7"/>
  <c r="Z54" i="7" a="1"/>
  <c r="Z54" i="7"/>
  <c r="AA54" i="7" a="1"/>
  <c r="AA54" i="7"/>
  <c r="AB54" i="7" a="1"/>
  <c r="AB54" i="7"/>
  <c r="D54" i="5"/>
  <c r="Z54" i="5" a="1"/>
  <c r="Z54" i="5"/>
  <c r="AA54" i="5" a="1"/>
  <c r="AA54" i="5"/>
  <c r="AB54" i="5" a="1"/>
  <c r="AB54" i="5"/>
  <c r="F41" i="4" a="1"/>
  <c r="F41" i="4" s="1"/>
  <c r="G41" i="4" a="1"/>
  <c r="G41" i="4" s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Z53" i="7" s="1"/>
  <c r="AA53" i="7" a="1"/>
  <c r="AA53" i="7" s="1"/>
  <c r="AB53" i="7" a="1"/>
  <c r="AB53" i="7" s="1"/>
  <c r="D53" i="5"/>
  <c r="Z53" i="5" a="1"/>
  <c r="Z53" i="5"/>
  <c r="AA53" i="5" a="1"/>
  <c r="AA53" i="5"/>
  <c r="AB53" i="5" a="1"/>
  <c r="AB53" i="5"/>
  <c r="F49" i="4" a="1"/>
  <c r="F49" i="4" s="1"/>
  <c r="G49" i="4" a="1"/>
  <c r="G49" i="4" s="1"/>
  <c r="H49" i="4" s="1"/>
  <c r="F9" i="2"/>
  <c r="D52" i="9"/>
  <c r="W52" i="9"/>
  <c r="D52" i="8"/>
  <c r="D52" i="7"/>
  <c r="Z52" i="7" a="1"/>
  <c r="Z52" i="7" s="1"/>
  <c r="AA52" i="7" a="1"/>
  <c r="AA52" i="7" s="1"/>
  <c r="AB52" i="7" a="1"/>
  <c r="AB52" i="7" s="1"/>
  <c r="D52" i="5"/>
  <c r="Z52" i="5" a="1"/>
  <c r="Z52" i="5"/>
  <c r="AA52" i="5" a="1"/>
  <c r="AA52" i="5"/>
  <c r="AB52" i="5" a="1"/>
  <c r="AB52" i="5"/>
  <c r="H848" i="12"/>
  <c r="I848" i="12" a="1"/>
  <c r="I848" i="12"/>
  <c r="J848" i="12" a="1"/>
  <c r="J848" i="12"/>
  <c r="K848" i="12" a="1"/>
  <c r="K848" i="12"/>
  <c r="H849" i="12"/>
  <c r="I849" i="12" a="1"/>
  <c r="I849" i="12"/>
  <c r="J849" i="12" a="1"/>
  <c r="J849" i="12"/>
  <c r="K849" i="12" a="1"/>
  <c r="K849" i="12"/>
  <c r="H850" i="12"/>
  <c r="I850" i="12" a="1"/>
  <c r="I850" i="12"/>
  <c r="J850" i="12" a="1"/>
  <c r="J850" i="12"/>
  <c r="K850" i="12" a="1"/>
  <c r="K850" i="12"/>
  <c r="H851" i="12"/>
  <c r="I851" i="12" a="1"/>
  <c r="I851" i="12"/>
  <c r="J851" i="12" a="1"/>
  <c r="J851" i="12"/>
  <c r="K851" i="12" a="1"/>
  <c r="K851" i="12"/>
  <c r="H852" i="12"/>
  <c r="I852" i="12" a="1"/>
  <c r="I852" i="12"/>
  <c r="J852" i="12" a="1"/>
  <c r="J852" i="12"/>
  <c r="K852" i="12" a="1"/>
  <c r="K852" i="12"/>
  <c r="H853" i="12"/>
  <c r="I853" i="12" a="1"/>
  <c r="I853" i="12"/>
  <c r="J853" i="12" a="1"/>
  <c r="J853" i="12"/>
  <c r="K853" i="12" a="1"/>
  <c r="K853" i="12"/>
  <c r="H854" i="12"/>
  <c r="I854" i="12" a="1"/>
  <c r="I854" i="12"/>
  <c r="J854" i="12" a="1"/>
  <c r="J854" i="12"/>
  <c r="K854" i="12" a="1"/>
  <c r="K854" i="12"/>
  <c r="H855" i="12"/>
  <c r="I855" i="12" a="1"/>
  <c r="I855" i="12"/>
  <c r="J855" i="12" a="1"/>
  <c r="J855" i="12"/>
  <c r="K855" i="12" a="1"/>
  <c r="K855" i="12"/>
  <c r="H856" i="12"/>
  <c r="I856" i="12" a="1"/>
  <c r="I856" i="12"/>
  <c r="J856" i="12" a="1"/>
  <c r="J856" i="12"/>
  <c r="K856" i="12" a="1"/>
  <c r="K856" i="12"/>
  <c r="H857" i="12"/>
  <c r="I857" i="12" a="1"/>
  <c r="I857" i="12"/>
  <c r="J857" i="12" a="1"/>
  <c r="J857" i="12"/>
  <c r="K857" i="12" a="1"/>
  <c r="K857" i="12"/>
  <c r="H858" i="12"/>
  <c r="I858" i="12" a="1"/>
  <c r="I858" i="12"/>
  <c r="J858" i="12" a="1"/>
  <c r="J858" i="12"/>
  <c r="K858" i="12" a="1"/>
  <c r="K858" i="12"/>
  <c r="H859" i="12"/>
  <c r="I859" i="12" a="1"/>
  <c r="I859" i="12"/>
  <c r="J859" i="12" a="1"/>
  <c r="J859" i="12"/>
  <c r="K859" i="12" a="1"/>
  <c r="K859" i="12"/>
  <c r="H860" i="12"/>
  <c r="I860" i="12" a="1"/>
  <c r="I860" i="12"/>
  <c r="J860" i="12" a="1"/>
  <c r="J860" i="12"/>
  <c r="K860" i="12" a="1"/>
  <c r="K860" i="12"/>
  <c r="H861" i="12"/>
  <c r="I861" i="12" a="1"/>
  <c r="I861" i="12"/>
  <c r="J861" i="12" a="1"/>
  <c r="J861" i="12"/>
  <c r="K861" i="12" a="1"/>
  <c r="K861" i="12"/>
  <c r="H862" i="12"/>
  <c r="I862" i="12" a="1"/>
  <c r="I862" i="12"/>
  <c r="J862" i="12" a="1"/>
  <c r="J862" i="12"/>
  <c r="K862" i="12" a="1"/>
  <c r="K862" i="12"/>
  <c r="H863" i="12"/>
  <c r="I863" i="12" a="1"/>
  <c r="I863" i="12"/>
  <c r="J863" i="12" a="1"/>
  <c r="J863" i="12"/>
  <c r="K863" i="12" a="1"/>
  <c r="K863" i="12"/>
  <c r="H864" i="12"/>
  <c r="I864" i="12" a="1"/>
  <c r="I864" i="12"/>
  <c r="J864" i="12" a="1"/>
  <c r="J864" i="12"/>
  <c r="K864" i="12" a="1"/>
  <c r="K864" i="12"/>
  <c r="H865" i="12"/>
  <c r="I865" i="12" a="1"/>
  <c r="I865" i="12"/>
  <c r="J865" i="12" a="1"/>
  <c r="J865" i="12"/>
  <c r="K865" i="12" a="1"/>
  <c r="K865" i="12"/>
  <c r="H866" i="12"/>
  <c r="I866" i="12" a="1"/>
  <c r="I866" i="12"/>
  <c r="J866" i="12" a="1"/>
  <c r="J866" i="12"/>
  <c r="K866" i="12" a="1"/>
  <c r="K866" i="12"/>
  <c r="H867" i="12"/>
  <c r="I867" i="12" a="1"/>
  <c r="I867" i="12"/>
  <c r="J867" i="12" a="1"/>
  <c r="J867" i="12"/>
  <c r="K867" i="12" a="1"/>
  <c r="K867" i="12"/>
  <c r="H868" i="12"/>
  <c r="I868" i="12" a="1"/>
  <c r="I868" i="12"/>
  <c r="J868" i="12" a="1"/>
  <c r="J868" i="12"/>
  <c r="K868" i="12" a="1"/>
  <c r="K868" i="12"/>
  <c r="H869" i="12"/>
  <c r="I869" i="12" a="1"/>
  <c r="I869" i="12"/>
  <c r="J869" i="12" a="1"/>
  <c r="J869" i="12"/>
  <c r="K869" i="12" a="1"/>
  <c r="K869" i="12"/>
  <c r="H870" i="12"/>
  <c r="I870" i="12" a="1"/>
  <c r="I870" i="12"/>
  <c r="J870" i="12" a="1"/>
  <c r="J870" i="12"/>
  <c r="K870" i="12" a="1"/>
  <c r="K870" i="12"/>
  <c r="H871" i="12"/>
  <c r="I871" i="12" a="1"/>
  <c r="I871" i="12"/>
  <c r="J871" i="12" a="1"/>
  <c r="J871" i="12"/>
  <c r="K871" i="12" a="1"/>
  <c r="K871" i="12"/>
  <c r="H872" i="12"/>
  <c r="I872" i="12" a="1"/>
  <c r="I872" i="12"/>
  <c r="J872" i="12" a="1"/>
  <c r="J872" i="12"/>
  <c r="K872" i="12" a="1"/>
  <c r="K872" i="12"/>
  <c r="H873" i="12"/>
  <c r="I873" i="12" a="1"/>
  <c r="I873" i="12"/>
  <c r="J873" i="12" a="1"/>
  <c r="J873" i="12"/>
  <c r="K873" i="12" a="1"/>
  <c r="K873" i="12"/>
  <c r="H874" i="12"/>
  <c r="I874" i="12" a="1"/>
  <c r="I874" i="12"/>
  <c r="J874" i="12" a="1"/>
  <c r="J874" i="12"/>
  <c r="K874" i="12" a="1"/>
  <c r="K874" i="12"/>
  <c r="H875" i="12"/>
  <c r="I875" i="12" a="1"/>
  <c r="I875" i="12"/>
  <c r="J875" i="12" a="1"/>
  <c r="J875" i="12"/>
  <c r="K875" i="12" a="1"/>
  <c r="K875" i="12"/>
  <c r="H876" i="12"/>
  <c r="I876" i="12" a="1"/>
  <c r="I876" i="12"/>
  <c r="J876" i="12" a="1"/>
  <c r="J876" i="12"/>
  <c r="K876" i="12" a="1"/>
  <c r="K876" i="12"/>
  <c r="H877" i="12"/>
  <c r="I877" i="12" a="1"/>
  <c r="I877" i="12"/>
  <c r="J877" i="12" a="1"/>
  <c r="J877" i="12"/>
  <c r="K877" i="12" a="1"/>
  <c r="K877" i="12"/>
  <c r="H878" i="12"/>
  <c r="I878" i="12" a="1"/>
  <c r="I878" i="12"/>
  <c r="J878" i="12" a="1"/>
  <c r="J878" i="12"/>
  <c r="K878" i="12" a="1"/>
  <c r="K878" i="12"/>
  <c r="H879" i="12"/>
  <c r="I879" i="12" a="1"/>
  <c r="I879" i="12"/>
  <c r="J879" i="12" a="1"/>
  <c r="J879" i="12"/>
  <c r="K879" i="12" a="1"/>
  <c r="K879" i="12"/>
  <c r="H880" i="12"/>
  <c r="I880" i="12" a="1"/>
  <c r="I880" i="12"/>
  <c r="J880" i="12" a="1"/>
  <c r="J880" i="12"/>
  <c r="K880" i="12" a="1"/>
  <c r="K880" i="12"/>
  <c r="H881" i="12"/>
  <c r="I881" i="12" a="1"/>
  <c r="I881" i="12"/>
  <c r="J881" i="12" a="1"/>
  <c r="J881" i="12"/>
  <c r="K881" i="12" a="1"/>
  <c r="K881" i="12"/>
  <c r="H882" i="12"/>
  <c r="I882" i="12" a="1"/>
  <c r="I882" i="12"/>
  <c r="J882" i="12" a="1"/>
  <c r="J882" i="12"/>
  <c r="K882" i="12" a="1"/>
  <c r="K882" i="12"/>
  <c r="H883" i="12"/>
  <c r="I883" i="12" a="1"/>
  <c r="I883" i="12"/>
  <c r="J883" i="12" a="1"/>
  <c r="J883" i="12"/>
  <c r="K883" i="12" a="1"/>
  <c r="K883" i="12"/>
  <c r="H884" i="12"/>
  <c r="I884" i="12" a="1"/>
  <c r="I884" i="12"/>
  <c r="J884" i="12" a="1"/>
  <c r="J884" i="12"/>
  <c r="K884" i="12" a="1"/>
  <c r="K884" i="12"/>
  <c r="H885" i="12"/>
  <c r="I885" i="12" a="1"/>
  <c r="I885" i="12"/>
  <c r="J885" i="12" a="1"/>
  <c r="J885" i="12"/>
  <c r="K885" i="12" a="1"/>
  <c r="K885" i="12"/>
  <c r="H886" i="12"/>
  <c r="I886" i="12" a="1"/>
  <c r="I886" i="12"/>
  <c r="J886" i="12" a="1"/>
  <c r="J886" i="12"/>
  <c r="K886" i="12" a="1"/>
  <c r="K886" i="12"/>
  <c r="H887" i="12"/>
  <c r="I887" i="12" a="1"/>
  <c r="I887" i="12"/>
  <c r="J887" i="12" a="1"/>
  <c r="J887" i="12"/>
  <c r="K887" i="12" a="1"/>
  <c r="K887" i="12"/>
  <c r="H888" i="12"/>
  <c r="I888" i="12" a="1"/>
  <c r="I888" i="12"/>
  <c r="J888" i="12" a="1"/>
  <c r="J888" i="12"/>
  <c r="K888" i="12" a="1"/>
  <c r="K888" i="12"/>
  <c r="H889" i="12"/>
  <c r="I889" i="12" a="1"/>
  <c r="I889" i="12"/>
  <c r="J889" i="12" a="1"/>
  <c r="J889" i="12"/>
  <c r="K889" i="12" a="1"/>
  <c r="K889" i="12"/>
  <c r="H890" i="12"/>
  <c r="I890" i="12" a="1"/>
  <c r="I890" i="12"/>
  <c r="J890" i="12" a="1"/>
  <c r="J890" i="12"/>
  <c r="K890" i="12" a="1"/>
  <c r="K890" i="12"/>
  <c r="H891" i="12"/>
  <c r="I891" i="12" a="1"/>
  <c r="I891" i="12"/>
  <c r="J891" i="12" a="1"/>
  <c r="J891" i="12"/>
  <c r="K891" i="12" a="1"/>
  <c r="K891" i="12"/>
  <c r="H892" i="12"/>
  <c r="I892" i="12" a="1"/>
  <c r="I892" i="12"/>
  <c r="J892" i="12" a="1"/>
  <c r="J892" i="12"/>
  <c r="K892" i="12" a="1"/>
  <c r="K892" i="12"/>
  <c r="H893" i="12"/>
  <c r="I893" i="12" a="1"/>
  <c r="I893" i="12"/>
  <c r="J893" i="12" a="1"/>
  <c r="J893" i="12"/>
  <c r="K893" i="12" a="1"/>
  <c r="K893" i="12"/>
  <c r="H894" i="12"/>
  <c r="I894" i="12" a="1"/>
  <c r="I894" i="12"/>
  <c r="J894" i="12" a="1"/>
  <c r="J894" i="12"/>
  <c r="K894" i="12" a="1"/>
  <c r="K894" i="12"/>
  <c r="H895" i="12"/>
  <c r="I895" i="12" a="1"/>
  <c r="I895" i="12"/>
  <c r="J895" i="12" a="1"/>
  <c r="J895" i="12"/>
  <c r="K895" i="12" a="1"/>
  <c r="K895" i="12"/>
  <c r="H896" i="12"/>
  <c r="I896" i="12" a="1"/>
  <c r="I896" i="12"/>
  <c r="J896" i="12" a="1"/>
  <c r="J896" i="12"/>
  <c r="K896" i="12" a="1"/>
  <c r="K896" i="12"/>
  <c r="H897" i="12"/>
  <c r="I897" i="12" a="1"/>
  <c r="I897" i="12"/>
  <c r="J897" i="12" a="1"/>
  <c r="J897" i="12"/>
  <c r="K897" i="12" a="1"/>
  <c r="K897" i="12"/>
  <c r="H898" i="12"/>
  <c r="I898" i="12" a="1"/>
  <c r="I898" i="12"/>
  <c r="J898" i="12" a="1"/>
  <c r="J898" i="12"/>
  <c r="K898" i="12" a="1"/>
  <c r="K898" i="12"/>
  <c r="H899" i="12"/>
  <c r="I899" i="12" a="1"/>
  <c r="I899" i="12"/>
  <c r="J899" i="12" a="1"/>
  <c r="J899" i="12"/>
  <c r="K899" i="12" a="1"/>
  <c r="K899" i="12"/>
  <c r="H900" i="12"/>
  <c r="I900" i="12" a="1"/>
  <c r="I900" i="12"/>
  <c r="J900" i="12" a="1"/>
  <c r="J900" i="12"/>
  <c r="K900" i="12" a="1"/>
  <c r="K900" i="12"/>
  <c r="H901" i="12"/>
  <c r="I901" i="12" a="1"/>
  <c r="I901" i="12"/>
  <c r="J901" i="12" a="1"/>
  <c r="J901" i="12"/>
  <c r="K901" i="12" a="1"/>
  <c r="K901" i="12"/>
  <c r="H902" i="12"/>
  <c r="I902" i="12" a="1"/>
  <c r="I902" i="12"/>
  <c r="J902" i="12" a="1"/>
  <c r="J902" i="12"/>
  <c r="K902" i="12" a="1"/>
  <c r="K902" i="12"/>
  <c r="H903" i="12"/>
  <c r="I903" i="12" a="1"/>
  <c r="I903" i="12"/>
  <c r="J903" i="12" a="1"/>
  <c r="J903" i="12"/>
  <c r="K903" i="12" a="1"/>
  <c r="K903" i="12"/>
  <c r="H904" i="12"/>
  <c r="I904" i="12" a="1"/>
  <c r="I904" i="12"/>
  <c r="J904" i="12" a="1"/>
  <c r="J904" i="12"/>
  <c r="K904" i="12" a="1"/>
  <c r="K904" i="12"/>
  <c r="H905" i="12"/>
  <c r="I905" i="12" a="1"/>
  <c r="I905" i="12"/>
  <c r="J905" i="12" a="1"/>
  <c r="J905" i="12"/>
  <c r="K905" i="12" a="1"/>
  <c r="K905" i="12"/>
  <c r="H906" i="12"/>
  <c r="I906" i="12" a="1"/>
  <c r="I906" i="12"/>
  <c r="J906" i="12" a="1"/>
  <c r="J906" i="12"/>
  <c r="K906" i="12" a="1"/>
  <c r="K906" i="12"/>
  <c r="H907" i="12"/>
  <c r="I907" i="12" a="1"/>
  <c r="I907" i="12"/>
  <c r="J907" i="12" a="1"/>
  <c r="J907" i="12"/>
  <c r="K907" i="12" a="1"/>
  <c r="K907" i="12"/>
  <c r="H908" i="12"/>
  <c r="I908" i="12" a="1"/>
  <c r="I908" i="12"/>
  <c r="J908" i="12" a="1"/>
  <c r="J908" i="12"/>
  <c r="K908" i="12" a="1"/>
  <c r="K908" i="12"/>
  <c r="H909" i="12"/>
  <c r="I909" i="12" a="1"/>
  <c r="I909" i="12"/>
  <c r="J909" i="12" a="1"/>
  <c r="J909" i="12"/>
  <c r="K909" i="12" a="1"/>
  <c r="K909" i="12"/>
  <c r="H910" i="12"/>
  <c r="I910" i="12" a="1"/>
  <c r="I910" i="12"/>
  <c r="J910" i="12" a="1"/>
  <c r="J910" i="12"/>
  <c r="K910" i="12" a="1"/>
  <c r="K910" i="12"/>
  <c r="H911" i="12"/>
  <c r="I911" i="12" a="1"/>
  <c r="I911" i="12"/>
  <c r="J911" i="12" a="1"/>
  <c r="J911" i="12"/>
  <c r="K911" i="12" a="1"/>
  <c r="K911" i="12"/>
  <c r="H912" i="12"/>
  <c r="I912" i="12" a="1"/>
  <c r="I912" i="12"/>
  <c r="J912" i="12" a="1"/>
  <c r="J912" i="12"/>
  <c r="K912" i="12" a="1"/>
  <c r="K912" i="12"/>
  <c r="H913" i="12"/>
  <c r="I913" i="12" a="1"/>
  <c r="I913" i="12"/>
  <c r="J913" i="12" a="1"/>
  <c r="J913" i="12"/>
  <c r="K913" i="12" a="1"/>
  <c r="K913" i="12"/>
  <c r="H914" i="12"/>
  <c r="I914" i="12" a="1"/>
  <c r="I914" i="12"/>
  <c r="J914" i="12" a="1"/>
  <c r="J914" i="12"/>
  <c r="K914" i="12" a="1"/>
  <c r="K914" i="12"/>
  <c r="H915" i="12"/>
  <c r="I915" i="12" a="1"/>
  <c r="I915" i="12"/>
  <c r="J915" i="12" a="1"/>
  <c r="J915" i="12"/>
  <c r="K915" i="12" a="1"/>
  <c r="K915" i="12"/>
  <c r="H916" i="12"/>
  <c r="I916" i="12" a="1"/>
  <c r="I916" i="12"/>
  <c r="J916" i="12" a="1"/>
  <c r="J916" i="12"/>
  <c r="K916" i="12" a="1"/>
  <c r="K916" i="12"/>
  <c r="H917" i="12"/>
  <c r="I917" i="12" a="1"/>
  <c r="I917" i="12"/>
  <c r="J917" i="12" a="1"/>
  <c r="J917" i="12"/>
  <c r="K917" i="12" a="1"/>
  <c r="K917" i="12"/>
  <c r="H918" i="12"/>
  <c r="I918" i="12" a="1"/>
  <c r="I918" i="12"/>
  <c r="J918" i="12" a="1"/>
  <c r="J918" i="12"/>
  <c r="K918" i="12" a="1"/>
  <c r="K918" i="12"/>
  <c r="H919" i="12"/>
  <c r="I919" i="12" a="1"/>
  <c r="I919" i="12"/>
  <c r="J919" i="12" a="1"/>
  <c r="J919" i="12"/>
  <c r="K919" i="12" a="1"/>
  <c r="K919" i="12"/>
  <c r="H920" i="12"/>
  <c r="I920" i="12" a="1"/>
  <c r="I920" i="12"/>
  <c r="J920" i="12" a="1"/>
  <c r="J920" i="12"/>
  <c r="K920" i="12" a="1"/>
  <c r="K920" i="12"/>
  <c r="H921" i="12"/>
  <c r="I921" i="12" a="1"/>
  <c r="I921" i="12"/>
  <c r="J921" i="12" a="1"/>
  <c r="J921" i="12"/>
  <c r="K921" i="12" a="1"/>
  <c r="K921" i="12"/>
  <c r="H922" i="12"/>
  <c r="I922" i="12" a="1"/>
  <c r="I922" i="12"/>
  <c r="J922" i="12" a="1"/>
  <c r="J922" i="12"/>
  <c r="K922" i="12" a="1"/>
  <c r="K922" i="12"/>
  <c r="H923" i="12"/>
  <c r="I923" i="12" a="1"/>
  <c r="I923" i="12"/>
  <c r="J923" i="12" a="1"/>
  <c r="J923" i="12"/>
  <c r="K923" i="12" a="1"/>
  <c r="K923" i="12"/>
  <c r="H924" i="12"/>
  <c r="I924" i="12" a="1"/>
  <c r="I924" i="12"/>
  <c r="J924" i="12" a="1"/>
  <c r="J924" i="12"/>
  <c r="K924" i="12" a="1"/>
  <c r="K924" i="12"/>
  <c r="H925" i="12"/>
  <c r="I925" i="12" a="1"/>
  <c r="I925" i="12"/>
  <c r="J925" i="12" a="1"/>
  <c r="J925" i="12"/>
  <c r="K925" i="12" a="1"/>
  <c r="K925" i="12"/>
  <c r="H926" i="12"/>
  <c r="I926" i="12" a="1"/>
  <c r="I926" i="12"/>
  <c r="J926" i="12" a="1"/>
  <c r="J926" i="12"/>
  <c r="K926" i="12" a="1"/>
  <c r="K926" i="12"/>
  <c r="H927" i="12"/>
  <c r="I927" i="12" a="1"/>
  <c r="I927" i="12"/>
  <c r="J927" i="12" a="1"/>
  <c r="J927" i="12"/>
  <c r="K927" i="12" a="1"/>
  <c r="K927" i="12"/>
  <c r="H928" i="12"/>
  <c r="I928" i="12" a="1"/>
  <c r="I928" i="12"/>
  <c r="J928" i="12" a="1"/>
  <c r="J928" i="12"/>
  <c r="K928" i="12" a="1"/>
  <c r="K928" i="12"/>
  <c r="H929" i="12"/>
  <c r="I929" i="12" a="1"/>
  <c r="I929" i="12"/>
  <c r="J929" i="12" a="1"/>
  <c r="J929" i="12"/>
  <c r="K929" i="12" a="1"/>
  <c r="K929" i="12"/>
  <c r="H930" i="12"/>
  <c r="I930" i="12" a="1"/>
  <c r="I930" i="12"/>
  <c r="J930" i="12" a="1"/>
  <c r="J930" i="12"/>
  <c r="K930" i="12" a="1"/>
  <c r="K930" i="12"/>
  <c r="H931" i="12"/>
  <c r="I931" i="12" a="1"/>
  <c r="I931" i="12"/>
  <c r="J931" i="12" a="1"/>
  <c r="J931" i="12"/>
  <c r="K931" i="12" a="1"/>
  <c r="K931" i="12"/>
  <c r="H932" i="12"/>
  <c r="I932" i="12" a="1"/>
  <c r="I932" i="12"/>
  <c r="J932" i="12" a="1"/>
  <c r="J932" i="12"/>
  <c r="K932" i="12" a="1"/>
  <c r="K932" i="12"/>
  <c r="H933" i="12"/>
  <c r="I933" i="12" a="1"/>
  <c r="I933" i="12"/>
  <c r="J933" i="12" a="1"/>
  <c r="J933" i="12"/>
  <c r="K933" i="12" a="1"/>
  <c r="K933" i="12"/>
  <c r="H934" i="12"/>
  <c r="I934" i="12" a="1"/>
  <c r="I934" i="12"/>
  <c r="J934" i="12" a="1"/>
  <c r="J934" i="12"/>
  <c r="K934" i="12" a="1"/>
  <c r="K934" i="12"/>
  <c r="H935" i="12"/>
  <c r="I935" i="12" a="1"/>
  <c r="I935" i="12"/>
  <c r="J935" i="12" a="1"/>
  <c r="J935" i="12"/>
  <c r="K935" i="12" a="1"/>
  <c r="K935" i="12"/>
  <c r="H936" i="12"/>
  <c r="I936" i="12" a="1"/>
  <c r="I936" i="12"/>
  <c r="J936" i="12" a="1"/>
  <c r="J936" i="12"/>
  <c r="K936" i="12" a="1"/>
  <c r="K936" i="12"/>
  <c r="H937" i="12"/>
  <c r="I937" i="12" a="1"/>
  <c r="I937" i="12"/>
  <c r="J937" i="12" a="1"/>
  <c r="J937" i="12"/>
  <c r="K937" i="12" a="1"/>
  <c r="K937" i="12"/>
  <c r="H938" i="12"/>
  <c r="I938" i="12" a="1"/>
  <c r="I938" i="12"/>
  <c r="J938" i="12" a="1"/>
  <c r="J938" i="12"/>
  <c r="K938" i="12" a="1"/>
  <c r="K938" i="12"/>
  <c r="H939" i="12"/>
  <c r="I939" i="12" a="1"/>
  <c r="I939" i="12"/>
  <c r="J939" i="12" a="1"/>
  <c r="J939" i="12"/>
  <c r="K939" i="12" a="1"/>
  <c r="K939" i="12"/>
  <c r="H940" i="12"/>
  <c r="I940" i="12" a="1"/>
  <c r="I940" i="12"/>
  <c r="J940" i="12" a="1"/>
  <c r="J940" i="12"/>
  <c r="K940" i="12" a="1"/>
  <c r="K940" i="12"/>
  <c r="H941" i="12"/>
  <c r="I941" i="12" a="1"/>
  <c r="I941" i="12"/>
  <c r="J941" i="12" a="1"/>
  <c r="J941" i="12"/>
  <c r="K941" i="12" a="1"/>
  <c r="K941" i="12"/>
  <c r="H942" i="12"/>
  <c r="I942" i="12" a="1"/>
  <c r="I942" i="12"/>
  <c r="J942" i="12" a="1"/>
  <c r="J942" i="12"/>
  <c r="K942" i="12" a="1"/>
  <c r="K942" i="12"/>
  <c r="H943" i="12"/>
  <c r="I943" i="12" a="1"/>
  <c r="I943" i="12"/>
  <c r="J943" i="12" a="1"/>
  <c r="J943" i="12"/>
  <c r="K943" i="12" a="1"/>
  <c r="K943" i="12"/>
  <c r="H944" i="12"/>
  <c r="I944" i="12" a="1"/>
  <c r="I944" i="12"/>
  <c r="J944" i="12" a="1"/>
  <c r="J944" i="12"/>
  <c r="K944" i="12" a="1"/>
  <c r="K944" i="12"/>
  <c r="H945" i="12"/>
  <c r="I945" i="12" a="1"/>
  <c r="I945" i="12"/>
  <c r="J945" i="12" a="1"/>
  <c r="J945" i="12"/>
  <c r="K945" i="12" a="1"/>
  <c r="K945" i="12"/>
  <c r="H946" i="12"/>
  <c r="I946" i="12" a="1"/>
  <c r="I946" i="12"/>
  <c r="J946" i="12" a="1"/>
  <c r="J946" i="12"/>
  <c r="K946" i="12" a="1"/>
  <c r="K946" i="12"/>
  <c r="H947" i="12"/>
  <c r="I947" i="12" a="1"/>
  <c r="I947" i="12"/>
  <c r="J947" i="12" a="1"/>
  <c r="J947" i="12"/>
  <c r="K947" i="12" a="1"/>
  <c r="K947" i="12"/>
  <c r="H948" i="12"/>
  <c r="I948" i="12" a="1"/>
  <c r="I948" i="12"/>
  <c r="J948" i="12" a="1"/>
  <c r="J948" i="12"/>
  <c r="K948" i="12" a="1"/>
  <c r="K948" i="12"/>
  <c r="H949" i="12"/>
  <c r="I949" i="12" a="1"/>
  <c r="I949" i="12"/>
  <c r="J949" i="12" a="1"/>
  <c r="J949" i="12"/>
  <c r="K949" i="12" a="1"/>
  <c r="K949" i="12"/>
  <c r="H950" i="12"/>
  <c r="I950" i="12" a="1"/>
  <c r="I950" i="12"/>
  <c r="J950" i="12" a="1"/>
  <c r="J950" i="12"/>
  <c r="K950" i="12" a="1"/>
  <c r="K950" i="12"/>
  <c r="H951" i="12"/>
  <c r="I951" i="12" a="1"/>
  <c r="I951" i="12"/>
  <c r="J951" i="12" a="1"/>
  <c r="J951" i="12"/>
  <c r="K951" i="12" a="1"/>
  <c r="K951" i="12"/>
  <c r="H952" i="12"/>
  <c r="I952" i="12" a="1"/>
  <c r="I952" i="12"/>
  <c r="J952" i="12" a="1"/>
  <c r="J952" i="12"/>
  <c r="K952" i="12" a="1"/>
  <c r="K952" i="12"/>
  <c r="H953" i="12"/>
  <c r="I953" i="12" a="1"/>
  <c r="I953" i="12"/>
  <c r="J953" i="12" a="1"/>
  <c r="J953" i="12"/>
  <c r="K953" i="12" a="1"/>
  <c r="K953" i="12"/>
  <c r="H954" i="12"/>
  <c r="I954" i="12" a="1"/>
  <c r="I954" i="12"/>
  <c r="J954" i="12" a="1"/>
  <c r="J954" i="12"/>
  <c r="K954" i="12" a="1"/>
  <c r="K954" i="12"/>
  <c r="H955" i="12"/>
  <c r="I955" i="12" a="1"/>
  <c r="I955" i="12"/>
  <c r="J955" i="12" a="1"/>
  <c r="J955" i="12"/>
  <c r="K955" i="12" a="1"/>
  <c r="K955" i="12"/>
  <c r="H956" i="12"/>
  <c r="I956" i="12" a="1"/>
  <c r="I956" i="12"/>
  <c r="J956" i="12" a="1"/>
  <c r="J956" i="12"/>
  <c r="K956" i="12" a="1"/>
  <c r="K956" i="12"/>
  <c r="H957" i="12"/>
  <c r="I957" i="12" a="1"/>
  <c r="I957" i="12"/>
  <c r="J957" i="12" a="1"/>
  <c r="J957" i="12"/>
  <c r="K957" i="12" a="1"/>
  <c r="K957" i="12"/>
  <c r="H958" i="12"/>
  <c r="I958" i="12" a="1"/>
  <c r="I958" i="12"/>
  <c r="J958" i="12" a="1"/>
  <c r="J958" i="12"/>
  <c r="K958" i="12" a="1"/>
  <c r="K958" i="12"/>
  <c r="H959" i="12"/>
  <c r="I959" i="12" a="1"/>
  <c r="I959" i="12"/>
  <c r="J959" i="12" a="1"/>
  <c r="J959" i="12"/>
  <c r="K959" i="12" a="1"/>
  <c r="K959" i="12"/>
  <c r="H960" i="12"/>
  <c r="I960" i="12" a="1"/>
  <c r="I960" i="12"/>
  <c r="J960" i="12" a="1"/>
  <c r="J960" i="12"/>
  <c r="K960" i="12" a="1"/>
  <c r="K960" i="12"/>
  <c r="H961" i="12"/>
  <c r="I961" i="12" a="1"/>
  <c r="I961" i="12"/>
  <c r="J961" i="12" a="1"/>
  <c r="J961" i="12"/>
  <c r="K961" i="12" a="1"/>
  <c r="K961" i="12"/>
  <c r="H962" i="12"/>
  <c r="I962" i="12" a="1"/>
  <c r="I962" i="12"/>
  <c r="J962" i="12" a="1"/>
  <c r="J962" i="12"/>
  <c r="K962" i="12" a="1"/>
  <c r="K962" i="12"/>
  <c r="H963" i="12"/>
  <c r="I963" i="12" a="1"/>
  <c r="I963" i="12"/>
  <c r="J963" i="12" a="1"/>
  <c r="J963" i="12"/>
  <c r="K963" i="12" a="1"/>
  <c r="K963" i="12"/>
  <c r="H964" i="12"/>
  <c r="I964" i="12" a="1"/>
  <c r="I964" i="12"/>
  <c r="J964" i="12" a="1"/>
  <c r="J964" i="12"/>
  <c r="K964" i="12" a="1"/>
  <c r="K964" i="12"/>
  <c r="H965" i="12"/>
  <c r="I965" i="12" a="1"/>
  <c r="I965" i="12"/>
  <c r="J965" i="12" a="1"/>
  <c r="J965" i="12"/>
  <c r="K965" i="12" a="1"/>
  <c r="K965" i="12"/>
  <c r="H966" i="12"/>
  <c r="I966" i="12" a="1"/>
  <c r="I966" i="12"/>
  <c r="J966" i="12" a="1"/>
  <c r="J966" i="12"/>
  <c r="K966" i="12" a="1"/>
  <c r="K966" i="12"/>
  <c r="H967" i="12"/>
  <c r="I967" i="12" a="1"/>
  <c r="I967" i="12"/>
  <c r="J967" i="12" a="1"/>
  <c r="J967" i="12"/>
  <c r="K967" i="12" a="1"/>
  <c r="K967" i="12"/>
  <c r="H968" i="12"/>
  <c r="I968" i="12" a="1"/>
  <c r="I968" i="12"/>
  <c r="J968" i="12" a="1"/>
  <c r="J968" i="12"/>
  <c r="K968" i="12" a="1"/>
  <c r="K968" i="12"/>
  <c r="H969" i="12"/>
  <c r="I969" i="12" a="1"/>
  <c r="I969" i="12"/>
  <c r="J969" i="12" a="1"/>
  <c r="J969" i="12"/>
  <c r="K969" i="12" a="1"/>
  <c r="K969" i="12"/>
  <c r="H970" i="12"/>
  <c r="I970" i="12" a="1"/>
  <c r="I970" i="12"/>
  <c r="J970" i="12" a="1"/>
  <c r="J970" i="12"/>
  <c r="K970" i="12" a="1"/>
  <c r="K970" i="12"/>
  <c r="H971" i="12"/>
  <c r="I971" i="12" a="1"/>
  <c r="I971" i="12"/>
  <c r="J971" i="12" a="1"/>
  <c r="J971" i="12"/>
  <c r="K971" i="12" a="1"/>
  <c r="K971" i="12"/>
  <c r="H972" i="12"/>
  <c r="I972" i="12" a="1"/>
  <c r="I972" i="12"/>
  <c r="J972" i="12" a="1"/>
  <c r="J972" i="12"/>
  <c r="K972" i="12" a="1"/>
  <c r="K972" i="12"/>
  <c r="H973" i="12"/>
  <c r="I973" i="12" a="1"/>
  <c r="I973" i="12"/>
  <c r="J973" i="12" a="1"/>
  <c r="J973" i="12"/>
  <c r="K973" i="12" a="1"/>
  <c r="K973" i="12"/>
  <c r="H974" i="12"/>
  <c r="I974" i="12" a="1"/>
  <c r="I974" i="12"/>
  <c r="J974" i="12" a="1"/>
  <c r="J974" i="12"/>
  <c r="K974" i="12" a="1"/>
  <c r="K974" i="12"/>
  <c r="H975" i="12"/>
  <c r="I975" i="12" a="1"/>
  <c r="I975" i="12"/>
  <c r="J975" i="12" a="1"/>
  <c r="J975" i="12"/>
  <c r="K975" i="12" a="1"/>
  <c r="K975" i="12"/>
  <c r="H976" i="12"/>
  <c r="I976" i="12" a="1"/>
  <c r="I976" i="12"/>
  <c r="J976" i="12" a="1"/>
  <c r="J976" i="12"/>
  <c r="K976" i="12" a="1"/>
  <c r="K976" i="12"/>
  <c r="H977" i="12"/>
  <c r="I977" i="12" a="1"/>
  <c r="I977" i="12"/>
  <c r="J977" i="12" a="1"/>
  <c r="J977" i="12"/>
  <c r="K977" i="12" a="1"/>
  <c r="K977" i="12"/>
  <c r="H978" i="12"/>
  <c r="I978" i="12" a="1"/>
  <c r="I978" i="12"/>
  <c r="J978" i="12" a="1"/>
  <c r="J978" i="12"/>
  <c r="K978" i="12" a="1"/>
  <c r="K978" i="12"/>
  <c r="H979" i="12"/>
  <c r="I979" i="12" a="1"/>
  <c r="I979" i="12"/>
  <c r="J979" i="12" a="1"/>
  <c r="J979" i="12"/>
  <c r="K979" i="12" a="1"/>
  <c r="K979" i="12"/>
  <c r="H980" i="12"/>
  <c r="I980" i="12" a="1"/>
  <c r="I980" i="12"/>
  <c r="J980" i="12" a="1"/>
  <c r="J980" i="12"/>
  <c r="K980" i="12" a="1"/>
  <c r="K980" i="12"/>
  <c r="H981" i="12"/>
  <c r="I981" i="12" a="1"/>
  <c r="I981" i="12"/>
  <c r="J981" i="12" a="1"/>
  <c r="J981" i="12"/>
  <c r="K981" i="12" a="1"/>
  <c r="K981" i="12"/>
  <c r="H982" i="12"/>
  <c r="I982" i="12" a="1"/>
  <c r="I982" i="12"/>
  <c r="J982" i="12" a="1"/>
  <c r="J982" i="12"/>
  <c r="K982" i="12" a="1"/>
  <c r="K982" i="12"/>
  <c r="H983" i="12"/>
  <c r="I983" i="12" a="1"/>
  <c r="I983" i="12"/>
  <c r="J983" i="12" a="1"/>
  <c r="J983" i="12"/>
  <c r="K983" i="12" a="1"/>
  <c r="K983" i="12"/>
  <c r="H984" i="12"/>
  <c r="I984" i="12" a="1"/>
  <c r="I984" i="12"/>
  <c r="J984" i="12" a="1"/>
  <c r="J984" i="12"/>
  <c r="K984" i="12" a="1"/>
  <c r="K984" i="12"/>
  <c r="H985" i="12"/>
  <c r="I985" i="12" a="1"/>
  <c r="I985" i="12"/>
  <c r="J985" i="12" a="1"/>
  <c r="J985" i="12"/>
  <c r="K985" i="12" a="1"/>
  <c r="K985" i="12"/>
  <c r="H986" i="12"/>
  <c r="I986" i="12" a="1"/>
  <c r="I986" i="12"/>
  <c r="J986" i="12" a="1"/>
  <c r="J986" i="12"/>
  <c r="K986" i="12" a="1"/>
  <c r="K986" i="12"/>
  <c r="H987" i="12"/>
  <c r="I987" i="12" a="1"/>
  <c r="I987" i="12"/>
  <c r="J987" i="12" a="1"/>
  <c r="J987" i="12"/>
  <c r="K987" i="12" a="1"/>
  <c r="K987" i="12"/>
  <c r="H988" i="12"/>
  <c r="I988" i="12" a="1"/>
  <c r="I988" i="12"/>
  <c r="J988" i="12" a="1"/>
  <c r="J988" i="12"/>
  <c r="K988" i="12" a="1"/>
  <c r="K988" i="12"/>
  <c r="H989" i="12"/>
  <c r="I989" i="12" a="1"/>
  <c r="I989" i="12"/>
  <c r="J989" i="12" a="1"/>
  <c r="J989" i="12"/>
  <c r="K989" i="12" a="1"/>
  <c r="K989" i="12"/>
  <c r="H990" i="12"/>
  <c r="I990" i="12" a="1"/>
  <c r="I990" i="12"/>
  <c r="J990" i="12" a="1"/>
  <c r="J990" i="12"/>
  <c r="K990" i="12" a="1"/>
  <c r="K990" i="12"/>
  <c r="H991" i="12"/>
  <c r="I991" i="12" a="1"/>
  <c r="I991" i="12"/>
  <c r="J991" i="12" a="1"/>
  <c r="J991" i="12"/>
  <c r="K991" i="12" a="1"/>
  <c r="K991" i="12"/>
  <c r="H992" i="12"/>
  <c r="I992" i="12" a="1"/>
  <c r="I992" i="12"/>
  <c r="J992" i="12" a="1"/>
  <c r="J992" i="12"/>
  <c r="K992" i="12" a="1"/>
  <c r="K992" i="12"/>
  <c r="H993" i="12"/>
  <c r="I993" i="12" a="1"/>
  <c r="I993" i="12"/>
  <c r="J993" i="12" a="1"/>
  <c r="J993" i="12"/>
  <c r="K993" i="12" a="1"/>
  <c r="K993" i="12"/>
  <c r="H994" i="12"/>
  <c r="I994" i="12" a="1"/>
  <c r="I994" i="12"/>
  <c r="J994" i="12" a="1"/>
  <c r="J994" i="12"/>
  <c r="K994" i="12" a="1"/>
  <c r="K994" i="12"/>
  <c r="H995" i="12"/>
  <c r="I995" i="12" a="1"/>
  <c r="I995" i="12"/>
  <c r="J995" i="12" a="1"/>
  <c r="J995" i="12"/>
  <c r="K995" i="12" a="1"/>
  <c r="K995" i="12"/>
  <c r="H996" i="12"/>
  <c r="I996" i="12" a="1"/>
  <c r="I996" i="12"/>
  <c r="J996" i="12" a="1"/>
  <c r="J996" i="12"/>
  <c r="K996" i="12" a="1"/>
  <c r="K996" i="12"/>
  <c r="H997" i="12"/>
  <c r="I997" i="12" a="1"/>
  <c r="I997" i="12"/>
  <c r="J997" i="12" a="1"/>
  <c r="J997" i="12"/>
  <c r="K997" i="12" a="1"/>
  <c r="K997" i="12"/>
  <c r="H998" i="12"/>
  <c r="I998" i="12" a="1"/>
  <c r="I998" i="12"/>
  <c r="J998" i="12" a="1"/>
  <c r="J998" i="12"/>
  <c r="K998" i="12" a="1"/>
  <c r="K998" i="12"/>
  <c r="H999" i="12"/>
  <c r="I999" i="12" a="1"/>
  <c r="I999" i="12"/>
  <c r="J999" i="12" a="1"/>
  <c r="J999" i="12"/>
  <c r="K999" i="12" a="1"/>
  <c r="K999" i="12"/>
  <c r="H1000" i="12"/>
  <c r="I1000" i="12" a="1"/>
  <c r="I1000" i="12"/>
  <c r="J1000" i="12" a="1"/>
  <c r="J1000" i="12"/>
  <c r="K1000" i="12" a="1"/>
  <c r="K1000" i="12"/>
  <c r="H1001" i="12"/>
  <c r="I1001" i="12" a="1"/>
  <c r="I1001" i="12"/>
  <c r="J1001" i="12" a="1"/>
  <c r="J1001" i="12"/>
  <c r="K1001" i="12" a="1"/>
  <c r="K1001" i="12"/>
  <c r="H1002" i="12"/>
  <c r="I1002" i="12" a="1"/>
  <c r="I1002" i="12"/>
  <c r="J1002" i="12" a="1"/>
  <c r="J1002" i="12"/>
  <c r="K1002" i="12" a="1"/>
  <c r="K1002" i="12"/>
  <c r="H1003" i="12"/>
  <c r="I1003" i="12" a="1"/>
  <c r="I1003" i="12"/>
  <c r="J1003" i="12" a="1"/>
  <c r="J1003" i="12"/>
  <c r="K1003" i="12" a="1"/>
  <c r="K1003" i="12"/>
  <c r="H1004" i="12"/>
  <c r="I1004" i="12" a="1"/>
  <c r="I1004" i="12"/>
  <c r="J1004" i="12" a="1"/>
  <c r="J1004" i="12"/>
  <c r="K1004" i="12" a="1"/>
  <c r="K1004" i="12"/>
  <c r="H1005" i="12"/>
  <c r="I1005" i="12" a="1"/>
  <c r="I1005" i="12"/>
  <c r="J1005" i="12" a="1"/>
  <c r="J1005" i="12"/>
  <c r="K1005" i="12" a="1"/>
  <c r="K1005" i="12"/>
  <c r="H1006" i="12"/>
  <c r="I1006" i="12" a="1"/>
  <c r="I1006" i="12"/>
  <c r="J1006" i="12" a="1"/>
  <c r="J1006" i="12"/>
  <c r="K1006" i="12" a="1"/>
  <c r="K1006" i="12"/>
  <c r="H1007" i="12"/>
  <c r="I1007" i="12" a="1"/>
  <c r="I1007" i="12"/>
  <c r="J1007" i="12" a="1"/>
  <c r="J1007" i="12"/>
  <c r="K1007" i="12" a="1"/>
  <c r="K1007" i="12"/>
  <c r="H1008" i="12"/>
  <c r="I1008" i="12" a="1"/>
  <c r="I1008" i="12"/>
  <c r="J1008" i="12" a="1"/>
  <c r="J1008" i="12"/>
  <c r="K1008" i="12" a="1"/>
  <c r="K1008" i="12"/>
  <c r="H1009" i="12"/>
  <c r="I1009" i="12" a="1"/>
  <c r="I1009" i="12"/>
  <c r="J1009" i="12" a="1"/>
  <c r="J1009" i="12"/>
  <c r="K1009" i="12" a="1"/>
  <c r="K1009" i="12"/>
  <c r="H1010" i="12"/>
  <c r="I1010" i="12" a="1"/>
  <c r="I1010" i="12"/>
  <c r="J1010" i="12" a="1"/>
  <c r="J1010" i="12"/>
  <c r="K1010" i="12" a="1"/>
  <c r="K1010" i="12"/>
  <c r="H1011" i="12"/>
  <c r="I1011" i="12" a="1"/>
  <c r="I1011" i="12"/>
  <c r="J1011" i="12" a="1"/>
  <c r="J1011" i="12"/>
  <c r="K1011" i="12" a="1"/>
  <c r="K1011" i="12"/>
  <c r="H1012" i="12"/>
  <c r="I1012" i="12" a="1"/>
  <c r="I1012" i="12"/>
  <c r="J1012" i="12" a="1"/>
  <c r="J1012" i="12"/>
  <c r="K1012" i="12" a="1"/>
  <c r="K1012" i="12"/>
  <c r="H1013" i="12"/>
  <c r="I1013" i="12" a="1"/>
  <c r="I1013" i="12"/>
  <c r="J1013" i="12" a="1"/>
  <c r="J1013" i="12"/>
  <c r="K1013" i="12" a="1"/>
  <c r="K1013" i="12"/>
  <c r="H1014" i="12"/>
  <c r="I1014" i="12" a="1"/>
  <c r="I1014" i="12"/>
  <c r="J1014" i="12" a="1"/>
  <c r="J1014" i="12"/>
  <c r="K1014" i="12" a="1"/>
  <c r="K1014" i="12"/>
  <c r="H1015" i="12"/>
  <c r="I1015" i="12" a="1"/>
  <c r="I1015" i="12"/>
  <c r="J1015" i="12" a="1"/>
  <c r="J1015" i="12"/>
  <c r="K1015" i="12" a="1"/>
  <c r="K1015" i="12"/>
  <c r="H1016" i="12"/>
  <c r="I1016" i="12" a="1"/>
  <c r="I1016" i="12"/>
  <c r="J1016" i="12" a="1"/>
  <c r="J1016" i="12"/>
  <c r="K1016" i="12" a="1"/>
  <c r="K1016" i="12"/>
  <c r="H1017" i="12"/>
  <c r="I1017" i="12" a="1"/>
  <c r="I1017" i="12"/>
  <c r="J1017" i="12" a="1"/>
  <c r="J1017" i="12"/>
  <c r="K1017" i="12" a="1"/>
  <c r="K1017" i="12"/>
  <c r="H1018" i="12"/>
  <c r="I1018" i="12" a="1"/>
  <c r="I1018" i="12"/>
  <c r="J1018" i="12" a="1"/>
  <c r="J1018" i="12"/>
  <c r="K1018" i="12" a="1"/>
  <c r="K1018" i="12"/>
  <c r="H1019" i="12"/>
  <c r="I1019" i="12" a="1"/>
  <c r="I1019" i="12"/>
  <c r="J1019" i="12" a="1"/>
  <c r="J1019" i="12"/>
  <c r="K1019" i="12" a="1"/>
  <c r="K1019" i="12"/>
  <c r="H1020" i="12"/>
  <c r="I1020" i="12" a="1"/>
  <c r="I1020" i="12"/>
  <c r="J1020" i="12" a="1"/>
  <c r="J1020" i="12"/>
  <c r="K1020" i="12" a="1"/>
  <c r="K1020" i="12"/>
  <c r="H1021" i="12"/>
  <c r="I1021" i="12" a="1"/>
  <c r="I1021" i="12"/>
  <c r="J1021" i="12" a="1"/>
  <c r="J1021" i="12"/>
  <c r="K1021" i="12" a="1"/>
  <c r="K1021" i="12"/>
  <c r="H1022" i="12"/>
  <c r="I1022" i="12" a="1"/>
  <c r="I1022" i="12"/>
  <c r="J1022" i="12" a="1"/>
  <c r="J1022" i="12"/>
  <c r="K1022" i="12" a="1"/>
  <c r="K1022" i="12"/>
  <c r="H1023" i="12"/>
  <c r="I1023" i="12" a="1"/>
  <c r="I1023" i="12"/>
  <c r="J1023" i="12" a="1"/>
  <c r="J1023" i="12"/>
  <c r="K1023" i="12" a="1"/>
  <c r="K1023" i="12"/>
  <c r="H1024" i="12"/>
  <c r="I1024" i="12" a="1"/>
  <c r="I1024" i="12"/>
  <c r="J1024" i="12" a="1"/>
  <c r="J1024" i="12"/>
  <c r="K1024" i="12" a="1"/>
  <c r="K1024" i="12"/>
  <c r="H1025" i="12"/>
  <c r="I1025" i="12" a="1"/>
  <c r="I1025" i="12"/>
  <c r="J1025" i="12" a="1"/>
  <c r="J1025" i="12"/>
  <c r="K1025" i="12" a="1"/>
  <c r="K1025" i="12"/>
  <c r="H1026" i="12"/>
  <c r="I1026" i="12" a="1"/>
  <c r="I1026" i="12"/>
  <c r="J1026" i="12" a="1"/>
  <c r="J1026" i="12"/>
  <c r="K1026" i="12" a="1"/>
  <c r="K1026" i="12"/>
  <c r="H1027" i="12"/>
  <c r="I1027" i="12" a="1"/>
  <c r="I1027" i="12"/>
  <c r="J1027" i="12" a="1"/>
  <c r="J1027" i="12"/>
  <c r="K1027" i="12" a="1"/>
  <c r="K1027" i="12"/>
  <c r="H1028" i="12"/>
  <c r="I1028" i="12" a="1"/>
  <c r="I1028" i="12"/>
  <c r="J1028" i="12" a="1"/>
  <c r="J1028" i="12"/>
  <c r="K1028" i="12" a="1"/>
  <c r="K1028" i="12"/>
  <c r="H1029" i="12"/>
  <c r="I1029" i="12" a="1"/>
  <c r="I1029" i="12"/>
  <c r="J1029" i="12" a="1"/>
  <c r="J1029" i="12"/>
  <c r="K1029" i="12" a="1"/>
  <c r="K1029" i="12"/>
  <c r="H1030" i="12"/>
  <c r="I1030" i="12" a="1"/>
  <c r="I1030" i="12"/>
  <c r="J1030" i="12" a="1"/>
  <c r="J1030" i="12"/>
  <c r="K1030" i="12" a="1"/>
  <c r="K1030" i="12"/>
  <c r="H1031" i="12"/>
  <c r="I1031" i="12" a="1"/>
  <c r="I1031" i="12"/>
  <c r="J1031" i="12" a="1"/>
  <c r="J1031" i="12"/>
  <c r="K1031" i="12" a="1"/>
  <c r="K1031" i="12"/>
  <c r="H1032" i="12"/>
  <c r="I1032" i="12" a="1"/>
  <c r="I1032" i="12"/>
  <c r="J1032" i="12" a="1"/>
  <c r="J1032" i="12"/>
  <c r="K1032" i="12" a="1"/>
  <c r="K1032" i="12"/>
  <c r="H1033" i="12"/>
  <c r="I1033" i="12" a="1"/>
  <c r="I1033" i="12"/>
  <c r="J1033" i="12" a="1"/>
  <c r="J1033" i="12"/>
  <c r="K1033" i="12" a="1"/>
  <c r="K1033" i="12"/>
  <c r="H1034" i="12"/>
  <c r="I1034" i="12" a="1"/>
  <c r="I1034" i="12"/>
  <c r="J1034" i="12" a="1"/>
  <c r="J1034" i="12"/>
  <c r="K1034" i="12" a="1"/>
  <c r="K1034" i="12"/>
  <c r="H1035" i="12"/>
  <c r="I1035" i="12" a="1"/>
  <c r="I1035" i="12"/>
  <c r="J1035" i="12" a="1"/>
  <c r="J1035" i="12"/>
  <c r="K1035" i="12" a="1"/>
  <c r="K1035" i="12"/>
  <c r="H1036" i="12"/>
  <c r="I1036" i="12" a="1"/>
  <c r="I1036" i="12"/>
  <c r="J1036" i="12" a="1"/>
  <c r="J1036" i="12"/>
  <c r="K1036" i="12" a="1"/>
  <c r="K1036" i="12"/>
  <c r="H1037" i="12"/>
  <c r="I1037" i="12" a="1"/>
  <c r="I1037" i="12"/>
  <c r="J1037" i="12" a="1"/>
  <c r="J1037" i="12"/>
  <c r="K1037" i="12" a="1"/>
  <c r="K1037" i="12"/>
  <c r="H1038" i="12"/>
  <c r="I1038" i="12" a="1"/>
  <c r="I1038" i="12"/>
  <c r="J1038" i="12" a="1"/>
  <c r="J1038" i="12"/>
  <c r="K1038" i="12" a="1"/>
  <c r="K1038" i="12"/>
  <c r="H1039" i="12"/>
  <c r="I1039" i="12" a="1"/>
  <c r="I1039" i="12"/>
  <c r="J1039" i="12" a="1"/>
  <c r="J1039" i="12"/>
  <c r="K1039" i="12" a="1"/>
  <c r="K1039" i="12"/>
  <c r="H1040" i="12"/>
  <c r="I1040" i="12" a="1"/>
  <c r="I1040" i="12"/>
  <c r="J1040" i="12" a="1"/>
  <c r="J1040" i="12"/>
  <c r="K1040" i="12" a="1"/>
  <c r="K1040" i="12"/>
  <c r="H1041" i="12"/>
  <c r="I1041" i="12" a="1"/>
  <c r="I1041" i="12"/>
  <c r="J1041" i="12" a="1"/>
  <c r="J1041" i="12"/>
  <c r="K1041" i="12" a="1"/>
  <c r="K1041" i="12"/>
  <c r="H1042" i="12"/>
  <c r="I1042" i="12" a="1"/>
  <c r="I1042" i="12"/>
  <c r="J1042" i="12" a="1"/>
  <c r="J1042" i="12"/>
  <c r="K1042" i="12" a="1"/>
  <c r="K1042" i="12"/>
  <c r="H1043" i="12"/>
  <c r="I1043" i="12" a="1"/>
  <c r="I1043" i="12"/>
  <c r="J1043" i="12" a="1"/>
  <c r="J1043" i="12"/>
  <c r="K1043" i="12" a="1"/>
  <c r="K1043" i="12"/>
  <c r="H1044" i="12"/>
  <c r="I1044" i="12" a="1"/>
  <c r="I1044" i="12"/>
  <c r="J1044" i="12" a="1"/>
  <c r="J1044" i="12"/>
  <c r="K1044" i="12" a="1"/>
  <c r="K1044" i="12"/>
  <c r="H1045" i="12"/>
  <c r="I1045" i="12" a="1"/>
  <c r="I1045" i="12"/>
  <c r="J1045" i="12" a="1"/>
  <c r="J1045" i="12"/>
  <c r="K1045" i="12" a="1"/>
  <c r="K1045" i="12"/>
  <c r="H1046" i="12"/>
  <c r="I1046" i="12" a="1"/>
  <c r="I1046" i="12"/>
  <c r="J1046" i="12" a="1"/>
  <c r="J1046" i="12"/>
  <c r="K1046" i="12" a="1"/>
  <c r="K1046" i="12"/>
  <c r="H1047" i="12"/>
  <c r="I1047" i="12" a="1"/>
  <c r="I1047" i="12"/>
  <c r="J1047" i="12" a="1"/>
  <c r="J1047" i="12"/>
  <c r="K1047" i="12" a="1"/>
  <c r="K1047" i="12"/>
  <c r="H1048" i="12"/>
  <c r="I1048" i="12" a="1"/>
  <c r="I1048" i="12"/>
  <c r="J1048" i="12" a="1"/>
  <c r="J1048" i="12"/>
  <c r="K1048" i="12" a="1"/>
  <c r="K1048" i="12"/>
  <c r="H1049" i="12"/>
  <c r="I1049" i="12" a="1"/>
  <c r="I1049" i="12"/>
  <c r="J1049" i="12" a="1"/>
  <c r="J1049" i="12"/>
  <c r="K1049" i="12" a="1"/>
  <c r="K1049" i="12"/>
  <c r="H1050" i="12"/>
  <c r="I1050" i="12" a="1"/>
  <c r="I1050" i="12"/>
  <c r="J1050" i="12" a="1"/>
  <c r="J1050" i="12"/>
  <c r="K1050" i="12" a="1"/>
  <c r="K1050" i="12"/>
  <c r="H1051" i="12"/>
  <c r="I1051" i="12" a="1"/>
  <c r="I1051" i="12"/>
  <c r="J1051" i="12" a="1"/>
  <c r="J1051" i="12"/>
  <c r="K1051" i="12" a="1"/>
  <c r="K1051" i="12"/>
  <c r="H1052" i="12"/>
  <c r="I1052" i="12" a="1"/>
  <c r="I1052" i="12"/>
  <c r="J1052" i="12" a="1"/>
  <c r="J1052" i="12"/>
  <c r="K1052" i="12" a="1"/>
  <c r="K1052" i="12"/>
  <c r="H1053" i="12"/>
  <c r="I1053" i="12" a="1"/>
  <c r="I1053" i="12"/>
  <c r="J1053" i="12" a="1"/>
  <c r="J1053" i="12"/>
  <c r="K1053" i="12" a="1"/>
  <c r="K1053" i="12"/>
  <c r="H1054" i="12"/>
  <c r="I1054" i="12" a="1"/>
  <c r="I1054" i="12"/>
  <c r="J1054" i="12" a="1"/>
  <c r="J1054" i="12"/>
  <c r="K1054" i="12" a="1"/>
  <c r="K1054" i="12"/>
  <c r="H1055" i="12"/>
  <c r="I1055" i="12" a="1"/>
  <c r="I1055" i="12"/>
  <c r="J1055" i="12" a="1"/>
  <c r="J1055" i="12"/>
  <c r="K1055" i="12" a="1"/>
  <c r="K1055" i="12"/>
  <c r="H1056" i="12"/>
  <c r="I1056" i="12" a="1"/>
  <c r="I1056" i="12"/>
  <c r="J1056" i="12" a="1"/>
  <c r="J1056" i="12"/>
  <c r="K1056" i="12" a="1"/>
  <c r="K1056" i="12"/>
  <c r="H1057" i="12"/>
  <c r="I1057" i="12" a="1"/>
  <c r="I1057" i="12"/>
  <c r="J1057" i="12" a="1"/>
  <c r="J1057" i="12"/>
  <c r="K1057" i="12" a="1"/>
  <c r="K1057" i="12"/>
  <c r="H1058" i="12"/>
  <c r="I1058" i="12" a="1"/>
  <c r="I1058" i="12"/>
  <c r="J1058" i="12" a="1"/>
  <c r="J1058" i="12"/>
  <c r="K1058" i="12" a="1"/>
  <c r="K1058" i="12"/>
  <c r="H1059" i="12"/>
  <c r="I1059" i="12" a="1"/>
  <c r="I1059" i="12"/>
  <c r="J1059" i="12" a="1"/>
  <c r="J1059" i="12"/>
  <c r="K1059" i="12" a="1"/>
  <c r="K1059" i="12"/>
  <c r="H1060" i="12"/>
  <c r="I1060" i="12" a="1"/>
  <c r="I1060" i="12"/>
  <c r="J1060" i="12" a="1"/>
  <c r="J1060" i="12"/>
  <c r="K1060" i="12" a="1"/>
  <c r="K1060" i="12"/>
  <c r="H1061" i="12"/>
  <c r="I1061" i="12" a="1"/>
  <c r="I1061" i="12"/>
  <c r="J1061" i="12" a="1"/>
  <c r="J1061" i="12"/>
  <c r="K1061" i="12" a="1"/>
  <c r="K1061" i="12"/>
  <c r="H1062" i="12"/>
  <c r="I1062" i="12" a="1"/>
  <c r="I1062" i="12"/>
  <c r="J1062" i="12" a="1"/>
  <c r="J1062" i="12"/>
  <c r="K1062" i="12" a="1"/>
  <c r="K1062" i="12"/>
  <c r="H1063" i="12"/>
  <c r="I1063" i="12" a="1"/>
  <c r="I1063" i="12"/>
  <c r="J1063" i="12" a="1"/>
  <c r="J1063" i="12"/>
  <c r="K1063" i="12" a="1"/>
  <c r="K1063" i="12"/>
  <c r="H1064" i="12"/>
  <c r="I1064" i="12" a="1"/>
  <c r="I1064" i="12"/>
  <c r="J1064" i="12" a="1"/>
  <c r="J1064" i="12"/>
  <c r="K1064" i="12" a="1"/>
  <c r="K1064" i="12"/>
  <c r="H1065" i="12"/>
  <c r="I1065" i="12" a="1"/>
  <c r="I1065" i="12"/>
  <c r="J1065" i="12" a="1"/>
  <c r="J1065" i="12"/>
  <c r="K1065" i="12" a="1"/>
  <c r="K1065" i="12"/>
  <c r="H1066" i="12"/>
  <c r="I1066" i="12" a="1"/>
  <c r="I1066" i="12"/>
  <c r="J1066" i="12" a="1"/>
  <c r="J1066" i="12"/>
  <c r="K1066" i="12" a="1"/>
  <c r="K1066" i="12"/>
  <c r="H1067" i="12"/>
  <c r="I1067" i="12" a="1"/>
  <c r="I1067" i="12"/>
  <c r="J1067" i="12" a="1"/>
  <c r="J1067" i="12"/>
  <c r="K1067" i="12" a="1"/>
  <c r="K1067" i="12"/>
  <c r="H1068" i="12"/>
  <c r="I1068" i="12" a="1"/>
  <c r="I1068" i="12"/>
  <c r="J1068" i="12" a="1"/>
  <c r="J1068" i="12"/>
  <c r="K1068" i="12" a="1"/>
  <c r="K1068" i="12"/>
  <c r="H1069" i="12"/>
  <c r="I1069" i="12" a="1"/>
  <c r="I1069" i="12"/>
  <c r="J1069" i="12" a="1"/>
  <c r="J1069" i="12"/>
  <c r="K1069" i="12" a="1"/>
  <c r="K1069" i="12"/>
  <c r="H1070" i="12"/>
  <c r="I1070" i="12" a="1"/>
  <c r="I1070" i="12"/>
  <c r="J1070" i="12" a="1"/>
  <c r="J1070" i="12"/>
  <c r="K1070" i="12" a="1"/>
  <c r="K1070" i="12"/>
  <c r="H1071" i="12"/>
  <c r="I1071" i="12" a="1"/>
  <c r="I1071" i="12"/>
  <c r="J1071" i="12" a="1"/>
  <c r="J1071" i="12"/>
  <c r="K1071" i="12" a="1"/>
  <c r="K1071" i="12"/>
  <c r="H1072" i="12"/>
  <c r="I1072" i="12" a="1"/>
  <c r="I1072" i="12"/>
  <c r="J1072" i="12" a="1"/>
  <c r="J1072" i="12"/>
  <c r="K1072" i="12" a="1"/>
  <c r="K1072" i="12"/>
  <c r="H1073" i="12"/>
  <c r="I1073" i="12" a="1"/>
  <c r="I1073" i="12"/>
  <c r="J1073" i="12" a="1"/>
  <c r="J1073" i="12"/>
  <c r="K1073" i="12" a="1"/>
  <c r="K1073" i="12"/>
  <c r="H1074" i="12"/>
  <c r="I1074" i="12" a="1"/>
  <c r="I1074" i="12"/>
  <c r="J1074" i="12" a="1"/>
  <c r="J1074" i="12"/>
  <c r="K1074" i="12" a="1"/>
  <c r="K1074" i="12"/>
  <c r="H1075" i="12"/>
  <c r="I1075" i="12" a="1"/>
  <c r="I1075" i="12"/>
  <c r="J1075" i="12" a="1"/>
  <c r="J1075" i="12"/>
  <c r="K1075" i="12" a="1"/>
  <c r="K1075" i="12"/>
  <c r="H1076" i="12"/>
  <c r="I1076" i="12" a="1"/>
  <c r="I1076" i="12"/>
  <c r="J1076" i="12" a="1"/>
  <c r="J1076" i="12"/>
  <c r="K1076" i="12" a="1"/>
  <c r="K1076" i="12"/>
  <c r="H1077" i="12"/>
  <c r="I1077" i="12" a="1"/>
  <c r="I1077" i="12"/>
  <c r="J1077" i="12" a="1"/>
  <c r="J1077" i="12"/>
  <c r="K1077" i="12" a="1"/>
  <c r="K1077" i="12"/>
  <c r="H1078" i="12"/>
  <c r="I1078" i="12" a="1"/>
  <c r="I1078" i="12"/>
  <c r="J1078" i="12" a="1"/>
  <c r="J1078" i="12"/>
  <c r="K1078" i="12" a="1"/>
  <c r="K1078" i="12"/>
  <c r="H1079" i="12"/>
  <c r="I1079" i="12" a="1"/>
  <c r="I1079" i="12"/>
  <c r="J1079" i="12" a="1"/>
  <c r="J1079" i="12"/>
  <c r="K1079" i="12" a="1"/>
  <c r="K1079" i="12"/>
  <c r="H1080" i="12"/>
  <c r="I1080" i="12" a="1"/>
  <c r="I1080" i="12"/>
  <c r="J1080" i="12" a="1"/>
  <c r="J1080" i="12"/>
  <c r="K1080" i="12" a="1"/>
  <c r="K1080" i="12"/>
  <c r="H1081" i="12"/>
  <c r="I1081" i="12" a="1"/>
  <c r="I1081" i="12"/>
  <c r="J1081" i="12" a="1"/>
  <c r="J1081" i="12"/>
  <c r="K1081" i="12" a="1"/>
  <c r="K1081" i="12"/>
  <c r="F52" i="4" a="1"/>
  <c r="F52" i="4" s="1"/>
  <c r="H52" i="4" s="1"/>
  <c r="G52" i="4" a="1"/>
  <c r="G52" i="4" s="1"/>
  <c r="F36" i="2"/>
  <c r="D51" i="9"/>
  <c r="W51" i="9" s="1"/>
  <c r="D51" i="8"/>
  <c r="D51" i="7"/>
  <c r="Z51" i="7" a="1"/>
  <c r="Z51" i="7" s="1"/>
  <c r="AA51" i="7" a="1"/>
  <c r="AA51" i="7" s="1"/>
  <c r="AB51" i="7" a="1"/>
  <c r="AB51" i="7" s="1"/>
  <c r="D51" i="5"/>
  <c r="Z51" i="5" a="1"/>
  <c r="Z51" i="5"/>
  <c r="AA51" i="5" a="1"/>
  <c r="AA51" i="5"/>
  <c r="AB51" i="5" a="1"/>
  <c r="AB51" i="5"/>
  <c r="F64" i="4" a="1"/>
  <c r="F64" i="4"/>
  <c r="G64" i="4" a="1"/>
  <c r="G64" i="4" s="1"/>
  <c r="H64" i="4" s="1"/>
  <c r="F48" i="2"/>
  <c r="D50" i="7"/>
  <c r="Z50" i="7" a="1"/>
  <c r="Z50" i="7" s="1"/>
  <c r="AA50" i="7" a="1"/>
  <c r="AA50" i="7" s="1"/>
  <c r="AB50" i="7" a="1"/>
  <c r="AB50" i="7" s="1"/>
  <c r="F35" i="4" a="1"/>
  <c r="F35" i="4" s="1"/>
  <c r="G35" i="4" a="1"/>
  <c r="G35" i="4" s="1"/>
  <c r="D50" i="5"/>
  <c r="Z50" i="5" a="1"/>
  <c r="Z50" i="5"/>
  <c r="AA50" i="5" a="1"/>
  <c r="AA50" i="5"/>
  <c r="AB50" i="5" a="1"/>
  <c r="AB50" i="5"/>
  <c r="F59" i="2"/>
  <c r="D49" i="9"/>
  <c r="W49" i="9" s="1"/>
  <c r="D49" i="8"/>
  <c r="D49" i="7"/>
  <c r="Z49" i="7" a="1"/>
  <c r="Z49" i="7" s="1"/>
  <c r="AA49" i="7" a="1"/>
  <c r="AA49" i="7" s="1"/>
  <c r="AB49" i="7" a="1"/>
  <c r="AB49" i="7"/>
  <c r="D49" i="5"/>
  <c r="Z49" i="5" a="1"/>
  <c r="Z49" i="5"/>
  <c r="AA49" i="5" a="1"/>
  <c r="AA49" i="5"/>
  <c r="AB49" i="5" a="1"/>
  <c r="AB49" i="5"/>
  <c r="H830" i="12"/>
  <c r="I830" i="12" a="1"/>
  <c r="I830" i="12"/>
  <c r="J830" i="12" a="1"/>
  <c r="J830" i="12"/>
  <c r="K830" i="12" a="1"/>
  <c r="K830" i="12"/>
  <c r="H831" i="12"/>
  <c r="I831" i="12" a="1"/>
  <c r="I831" i="12"/>
  <c r="J831" i="12" a="1"/>
  <c r="J831" i="12"/>
  <c r="K831" i="12" a="1"/>
  <c r="K831" i="12"/>
  <c r="H832" i="12"/>
  <c r="I832" i="12" a="1"/>
  <c r="I832" i="12"/>
  <c r="J832" i="12" a="1"/>
  <c r="J832" i="12"/>
  <c r="K832" i="12" a="1"/>
  <c r="K832" i="12"/>
  <c r="H833" i="12"/>
  <c r="I833" i="12" a="1"/>
  <c r="I833" i="12"/>
  <c r="J833" i="12" a="1"/>
  <c r="J833" i="12"/>
  <c r="K833" i="12" a="1"/>
  <c r="K833" i="12"/>
  <c r="H834" i="12"/>
  <c r="I834" i="12" a="1"/>
  <c r="I834" i="12"/>
  <c r="J834" i="12" a="1"/>
  <c r="J834" i="12"/>
  <c r="K834" i="12" a="1"/>
  <c r="K834" i="12"/>
  <c r="H835" i="12"/>
  <c r="I835" i="12" a="1"/>
  <c r="I835" i="12"/>
  <c r="J835" i="12" a="1"/>
  <c r="J835" i="12"/>
  <c r="K835" i="12" a="1"/>
  <c r="K835" i="12"/>
  <c r="H836" i="12"/>
  <c r="I836" i="12" a="1"/>
  <c r="I836" i="12"/>
  <c r="J836" i="12" a="1"/>
  <c r="J836" i="12"/>
  <c r="K836" i="12" a="1"/>
  <c r="K836" i="12"/>
  <c r="H837" i="12"/>
  <c r="I837" i="12" a="1"/>
  <c r="I837" i="12"/>
  <c r="J837" i="12" a="1"/>
  <c r="J837" i="12"/>
  <c r="K837" i="12" a="1"/>
  <c r="K837" i="12"/>
  <c r="H838" i="12"/>
  <c r="I838" i="12" a="1"/>
  <c r="I838" i="12"/>
  <c r="J838" i="12" a="1"/>
  <c r="J838" i="12"/>
  <c r="K838" i="12" a="1"/>
  <c r="K838" i="12"/>
  <c r="H839" i="12"/>
  <c r="I839" i="12" a="1"/>
  <c r="I839" i="12"/>
  <c r="J839" i="12" a="1"/>
  <c r="J839" i="12"/>
  <c r="K839" i="12" a="1"/>
  <c r="K839" i="12"/>
  <c r="H840" i="12"/>
  <c r="I840" i="12" a="1"/>
  <c r="I840" i="12"/>
  <c r="J840" i="12" a="1"/>
  <c r="J840" i="12"/>
  <c r="K840" i="12" a="1"/>
  <c r="K840" i="12"/>
  <c r="H841" i="12"/>
  <c r="I841" i="12" a="1"/>
  <c r="I841" i="12"/>
  <c r="J841" i="12" a="1"/>
  <c r="J841" i="12"/>
  <c r="K841" i="12" a="1"/>
  <c r="K841" i="12"/>
  <c r="H842" i="12"/>
  <c r="I842" i="12" a="1"/>
  <c r="I842" i="12"/>
  <c r="J842" i="12" a="1"/>
  <c r="J842" i="12"/>
  <c r="K842" i="12" a="1"/>
  <c r="K842" i="12"/>
  <c r="H843" i="12"/>
  <c r="I843" i="12" a="1"/>
  <c r="I843" i="12"/>
  <c r="J843" i="12" a="1"/>
  <c r="J843" i="12"/>
  <c r="K843" i="12" a="1"/>
  <c r="K843" i="12"/>
  <c r="H844" i="12"/>
  <c r="I844" i="12" a="1"/>
  <c r="I844" i="12"/>
  <c r="J844" i="12" a="1"/>
  <c r="J844" i="12"/>
  <c r="K844" i="12" a="1"/>
  <c r="K844" i="12"/>
  <c r="H845" i="12"/>
  <c r="I845" i="12" a="1"/>
  <c r="I845" i="12"/>
  <c r="J845" i="12" a="1"/>
  <c r="J845" i="12"/>
  <c r="K845" i="12" a="1"/>
  <c r="K845" i="12"/>
  <c r="H846" i="12"/>
  <c r="I846" i="12" a="1"/>
  <c r="I846" i="12"/>
  <c r="J846" i="12" a="1"/>
  <c r="J846" i="12"/>
  <c r="K846" i="12" a="1"/>
  <c r="K846" i="12"/>
  <c r="H847" i="12"/>
  <c r="I847" i="12" a="1"/>
  <c r="I847" i="12"/>
  <c r="J847" i="12" a="1"/>
  <c r="J847" i="12"/>
  <c r="K847" i="12" a="1"/>
  <c r="K847" i="12"/>
  <c r="F68" i="4" a="1"/>
  <c r="F68" i="4" s="1"/>
  <c r="G68" i="4" a="1"/>
  <c r="G68" i="4" s="1"/>
  <c r="F52" i="2"/>
  <c r="D48" i="8"/>
  <c r="D48" i="7"/>
  <c r="Z48" i="7" a="1"/>
  <c r="Z48" i="7"/>
  <c r="AA48" i="7" a="1"/>
  <c r="AA48" i="7" s="1"/>
  <c r="AB48" i="7" a="1"/>
  <c r="AB48" i="7" s="1"/>
  <c r="D48" i="5"/>
  <c r="Z48" i="5" a="1"/>
  <c r="Z48" i="5"/>
  <c r="AA48" i="5" a="1"/>
  <c r="AA48" i="5"/>
  <c r="AB48" i="5" a="1"/>
  <c r="AB48" i="5"/>
  <c r="F66" i="4" a="1"/>
  <c r="F66" i="4" s="1"/>
  <c r="G66" i="4" a="1"/>
  <c r="G66" i="4" s="1"/>
  <c r="F40" i="2"/>
  <c r="D47" i="9"/>
  <c r="W47" i="9" s="1"/>
  <c r="D47" i="8"/>
  <c r="D47" i="7"/>
  <c r="Z47" i="7" a="1"/>
  <c r="Z47" i="7" s="1"/>
  <c r="AA47" i="7" a="1"/>
  <c r="AA47" i="7" s="1"/>
  <c r="AB47" i="7" a="1"/>
  <c r="AB47" i="7" s="1"/>
  <c r="D47" i="5"/>
  <c r="Z47" i="5" a="1"/>
  <c r="Z47" i="5"/>
  <c r="AA47" i="5" a="1"/>
  <c r="AA47" i="5"/>
  <c r="AB47" i="5" a="1"/>
  <c r="AB47" i="5"/>
  <c r="F65" i="4" a="1"/>
  <c r="F65" i="4" s="1"/>
  <c r="G65" i="4" a="1"/>
  <c r="G65" i="4" s="1"/>
  <c r="F34" i="2"/>
  <c r="D46" i="9"/>
  <c r="W46" i="9"/>
  <c r="D46" i="8"/>
  <c r="D46" i="7"/>
  <c r="Z46" i="7" a="1"/>
  <c r="Z46" i="7" s="1"/>
  <c r="AA46" i="7" a="1"/>
  <c r="AA46" i="7" s="1"/>
  <c r="AB46" i="7" a="1"/>
  <c r="AB46" i="7" s="1"/>
  <c r="D46" i="5"/>
  <c r="Z46" i="5" a="1"/>
  <c r="Z46" i="5"/>
  <c r="AA46" i="5" a="1"/>
  <c r="AA46" i="5"/>
  <c r="AB46" i="5" a="1"/>
  <c r="AB46" i="5"/>
  <c r="F23" i="6"/>
  <c r="F21" i="2"/>
  <c r="F69" i="4" a="1"/>
  <c r="F69" i="4" s="1"/>
  <c r="G69" i="4" a="1"/>
  <c r="G69" i="4" s="1"/>
  <c r="F67" i="4" a="1"/>
  <c r="F67" i="4" s="1"/>
  <c r="G67" i="4" a="1"/>
  <c r="G67" i="4" s="1"/>
  <c r="F22" i="6"/>
  <c r="H758" i="12"/>
  <c r="I758" i="12" a="1"/>
  <c r="I758" i="12"/>
  <c r="J758" i="12" a="1"/>
  <c r="J758" i="12"/>
  <c r="K758" i="12" a="1"/>
  <c r="K758" i="12"/>
  <c r="H759" i="12"/>
  <c r="I759" i="12" a="1"/>
  <c r="I759" i="12"/>
  <c r="J759" i="12" a="1"/>
  <c r="J759" i="12"/>
  <c r="K759" i="12" a="1"/>
  <c r="K759" i="12"/>
  <c r="H760" i="12"/>
  <c r="I760" i="12" a="1"/>
  <c r="I760" i="12"/>
  <c r="J760" i="12" a="1"/>
  <c r="J760" i="12"/>
  <c r="K760" i="12" a="1"/>
  <c r="K760" i="12"/>
  <c r="H761" i="12"/>
  <c r="I761" i="12" a="1"/>
  <c r="I761" i="12"/>
  <c r="J761" i="12" a="1"/>
  <c r="J761" i="12"/>
  <c r="K761" i="12" a="1"/>
  <c r="K761" i="12"/>
  <c r="H762" i="12"/>
  <c r="I762" i="12" a="1"/>
  <c r="I762" i="12"/>
  <c r="J762" i="12" a="1"/>
  <c r="J762" i="12"/>
  <c r="K762" i="12" a="1"/>
  <c r="K762" i="12"/>
  <c r="H763" i="12"/>
  <c r="I763" i="12" a="1"/>
  <c r="I763" i="12"/>
  <c r="J763" i="12" a="1"/>
  <c r="J763" i="12"/>
  <c r="K763" i="12" a="1"/>
  <c r="K763" i="12"/>
  <c r="H764" i="12"/>
  <c r="I764" i="12" a="1"/>
  <c r="I764" i="12"/>
  <c r="J764" i="12" a="1"/>
  <c r="J764" i="12"/>
  <c r="K764" i="12" a="1"/>
  <c r="K764" i="12"/>
  <c r="H765" i="12"/>
  <c r="I765" i="12" a="1"/>
  <c r="I765" i="12"/>
  <c r="J765" i="12" a="1"/>
  <c r="J765" i="12"/>
  <c r="K765" i="12" a="1"/>
  <c r="K765" i="12"/>
  <c r="H766" i="12"/>
  <c r="I766" i="12" a="1"/>
  <c r="I766" i="12"/>
  <c r="J766" i="12" a="1"/>
  <c r="J766" i="12"/>
  <c r="K766" i="12" a="1"/>
  <c r="K766" i="12"/>
  <c r="H767" i="12"/>
  <c r="I767" i="12" a="1"/>
  <c r="I767" i="12"/>
  <c r="J767" i="12" a="1"/>
  <c r="J767" i="12"/>
  <c r="K767" i="12" a="1"/>
  <c r="K767" i="12"/>
  <c r="H768" i="12"/>
  <c r="I768" i="12" a="1"/>
  <c r="I768" i="12"/>
  <c r="J768" i="12" a="1"/>
  <c r="J768" i="12"/>
  <c r="K768" i="12" a="1"/>
  <c r="K768" i="12"/>
  <c r="H769" i="12"/>
  <c r="I769" i="12" a="1"/>
  <c r="I769" i="12"/>
  <c r="J769" i="12" a="1"/>
  <c r="J769" i="12"/>
  <c r="K769" i="12" a="1"/>
  <c r="K769" i="12"/>
  <c r="H770" i="12"/>
  <c r="I770" i="12" a="1"/>
  <c r="I770" i="12"/>
  <c r="J770" i="12" a="1"/>
  <c r="J770" i="12"/>
  <c r="K770" i="12" a="1"/>
  <c r="K770" i="12"/>
  <c r="H771" i="12"/>
  <c r="I771" i="12" a="1"/>
  <c r="I771" i="12"/>
  <c r="J771" i="12" a="1"/>
  <c r="J771" i="12"/>
  <c r="K771" i="12" a="1"/>
  <c r="K771" i="12"/>
  <c r="H772" i="12"/>
  <c r="I772" i="12" a="1"/>
  <c r="I772" i="12"/>
  <c r="J772" i="12" a="1"/>
  <c r="J772" i="12"/>
  <c r="K772" i="12" a="1"/>
  <c r="K772" i="12"/>
  <c r="H773" i="12"/>
  <c r="I773" i="12" a="1"/>
  <c r="I773" i="12"/>
  <c r="J773" i="12" a="1"/>
  <c r="J773" i="12"/>
  <c r="K773" i="12" a="1"/>
  <c r="K773" i="12"/>
  <c r="H774" i="12"/>
  <c r="I774" i="12" a="1"/>
  <c r="I774" i="12"/>
  <c r="J774" i="12" a="1"/>
  <c r="J774" i="12"/>
  <c r="K774" i="12" a="1"/>
  <c r="K774" i="12"/>
  <c r="H775" i="12"/>
  <c r="I775" i="12" a="1"/>
  <c r="I775" i="12"/>
  <c r="J775" i="12" a="1"/>
  <c r="J775" i="12"/>
  <c r="K775" i="12" a="1"/>
  <c r="K775" i="12"/>
  <c r="H776" i="12"/>
  <c r="I776" i="12" a="1"/>
  <c r="I776" i="12"/>
  <c r="J776" i="12" a="1"/>
  <c r="J776" i="12"/>
  <c r="K776" i="12" a="1"/>
  <c r="K776" i="12"/>
  <c r="H777" i="12"/>
  <c r="I777" i="12" a="1"/>
  <c r="I777" i="12"/>
  <c r="J777" i="12" a="1"/>
  <c r="J777" i="12"/>
  <c r="K777" i="12" a="1"/>
  <c r="K777" i="12"/>
  <c r="H778" i="12"/>
  <c r="I778" i="12" a="1"/>
  <c r="I778" i="12"/>
  <c r="J778" i="12" a="1"/>
  <c r="J778" i="12"/>
  <c r="K778" i="12" a="1"/>
  <c r="K778" i="12"/>
  <c r="H779" i="12"/>
  <c r="I779" i="12" a="1"/>
  <c r="I779" i="12"/>
  <c r="J779" i="12" a="1"/>
  <c r="J779" i="12"/>
  <c r="K779" i="12" a="1"/>
  <c r="K779" i="12"/>
  <c r="H780" i="12"/>
  <c r="I780" i="12" a="1"/>
  <c r="I780" i="12"/>
  <c r="J780" i="12" a="1"/>
  <c r="J780" i="12"/>
  <c r="K780" i="12" a="1"/>
  <c r="K780" i="12"/>
  <c r="H781" i="12"/>
  <c r="I781" i="12" a="1"/>
  <c r="I781" i="12"/>
  <c r="J781" i="12" a="1"/>
  <c r="J781" i="12"/>
  <c r="K781" i="12" a="1"/>
  <c r="K781" i="12"/>
  <c r="H782" i="12"/>
  <c r="I782" i="12" a="1"/>
  <c r="I782" i="12"/>
  <c r="J782" i="12" a="1"/>
  <c r="J782" i="12"/>
  <c r="K782" i="12" a="1"/>
  <c r="K782" i="12"/>
  <c r="H783" i="12"/>
  <c r="I783" i="12" a="1"/>
  <c r="I783" i="12"/>
  <c r="J783" i="12" a="1"/>
  <c r="J783" i="12"/>
  <c r="K783" i="12" a="1"/>
  <c r="K783" i="12"/>
  <c r="H784" i="12"/>
  <c r="I784" i="12" a="1"/>
  <c r="I784" i="12"/>
  <c r="J784" i="12" a="1"/>
  <c r="J784" i="12"/>
  <c r="K784" i="12" a="1"/>
  <c r="K784" i="12"/>
  <c r="H785" i="12"/>
  <c r="I785" i="12" a="1"/>
  <c r="I785" i="12"/>
  <c r="J785" i="12" a="1"/>
  <c r="J785" i="12"/>
  <c r="K785" i="12" a="1"/>
  <c r="K785" i="12"/>
  <c r="H786" i="12"/>
  <c r="I786" i="12" a="1"/>
  <c r="I786" i="12"/>
  <c r="J786" i="12" a="1"/>
  <c r="J786" i="12"/>
  <c r="K786" i="12" a="1"/>
  <c r="K786" i="12"/>
  <c r="H787" i="12"/>
  <c r="I787" i="12" a="1"/>
  <c r="I787" i="12"/>
  <c r="J787" i="12" a="1"/>
  <c r="J787" i="12"/>
  <c r="K787" i="12" a="1"/>
  <c r="K787" i="12"/>
  <c r="H788" i="12"/>
  <c r="I788" i="12" a="1"/>
  <c r="I788" i="12"/>
  <c r="J788" i="12" a="1"/>
  <c r="J788" i="12"/>
  <c r="K788" i="12" a="1"/>
  <c r="K788" i="12"/>
  <c r="H789" i="12"/>
  <c r="I789" i="12" a="1"/>
  <c r="I789" i="12"/>
  <c r="J789" i="12" a="1"/>
  <c r="J789" i="12"/>
  <c r="K789" i="12" a="1"/>
  <c r="K789" i="12"/>
  <c r="H790" i="12"/>
  <c r="I790" i="12" a="1"/>
  <c r="I790" i="12"/>
  <c r="J790" i="12" a="1"/>
  <c r="J790" i="12"/>
  <c r="K790" i="12" a="1"/>
  <c r="K790" i="12"/>
  <c r="H791" i="12"/>
  <c r="I791" i="12" a="1"/>
  <c r="I791" i="12"/>
  <c r="J791" i="12" a="1"/>
  <c r="J791" i="12"/>
  <c r="K791" i="12" a="1"/>
  <c r="K791" i="12"/>
  <c r="H792" i="12"/>
  <c r="I792" i="12" a="1"/>
  <c r="I792" i="12"/>
  <c r="J792" i="12" a="1"/>
  <c r="J792" i="12"/>
  <c r="K792" i="12" a="1"/>
  <c r="K792" i="12"/>
  <c r="H793" i="12"/>
  <c r="I793" i="12" a="1"/>
  <c r="I793" i="12"/>
  <c r="J793" i="12" a="1"/>
  <c r="J793" i="12"/>
  <c r="K793" i="12" a="1"/>
  <c r="K793" i="12"/>
  <c r="H794" i="12"/>
  <c r="I794" i="12" a="1"/>
  <c r="I794" i="12"/>
  <c r="J794" i="12" a="1"/>
  <c r="J794" i="12"/>
  <c r="K794" i="12" a="1"/>
  <c r="K794" i="12"/>
  <c r="H795" i="12"/>
  <c r="I795" i="12" a="1"/>
  <c r="I795" i="12"/>
  <c r="J795" i="12" a="1"/>
  <c r="J795" i="12"/>
  <c r="K795" i="12" a="1"/>
  <c r="K795" i="12"/>
  <c r="H796" i="12"/>
  <c r="I796" i="12" a="1"/>
  <c r="I796" i="12"/>
  <c r="J796" i="12" a="1"/>
  <c r="J796" i="12"/>
  <c r="K796" i="12" a="1"/>
  <c r="K796" i="12"/>
  <c r="H797" i="12"/>
  <c r="I797" i="12" a="1"/>
  <c r="I797" i="12"/>
  <c r="J797" i="12" a="1"/>
  <c r="J797" i="12"/>
  <c r="K797" i="12" a="1"/>
  <c r="K797" i="12"/>
  <c r="H798" i="12"/>
  <c r="I798" i="12" a="1"/>
  <c r="I798" i="12"/>
  <c r="J798" i="12" a="1"/>
  <c r="J798" i="12"/>
  <c r="K798" i="12" a="1"/>
  <c r="K798" i="12"/>
  <c r="H799" i="12"/>
  <c r="I799" i="12" a="1"/>
  <c r="I799" i="12"/>
  <c r="J799" i="12" a="1"/>
  <c r="J799" i="12"/>
  <c r="K799" i="12" a="1"/>
  <c r="K799" i="12"/>
  <c r="H800" i="12"/>
  <c r="I800" i="12" a="1"/>
  <c r="I800" i="12"/>
  <c r="J800" i="12" a="1"/>
  <c r="J800" i="12"/>
  <c r="K800" i="12" a="1"/>
  <c r="K800" i="12"/>
  <c r="H801" i="12"/>
  <c r="I801" i="12" a="1"/>
  <c r="I801" i="12"/>
  <c r="J801" i="12" a="1"/>
  <c r="J801" i="12"/>
  <c r="K801" i="12" a="1"/>
  <c r="K801" i="12"/>
  <c r="H802" i="12"/>
  <c r="I802" i="12" a="1"/>
  <c r="I802" i="12"/>
  <c r="J802" i="12" a="1"/>
  <c r="J802" i="12"/>
  <c r="K802" i="12" a="1"/>
  <c r="K802" i="12"/>
  <c r="H803" i="12"/>
  <c r="I803" i="12" a="1"/>
  <c r="I803" i="12"/>
  <c r="J803" i="12" a="1"/>
  <c r="J803" i="12"/>
  <c r="K803" i="12" a="1"/>
  <c r="K803" i="12"/>
  <c r="H804" i="12"/>
  <c r="I804" i="12" a="1"/>
  <c r="I804" i="12"/>
  <c r="J804" i="12" a="1"/>
  <c r="J804" i="12"/>
  <c r="K804" i="12" a="1"/>
  <c r="K804" i="12"/>
  <c r="H805" i="12"/>
  <c r="I805" i="12" a="1"/>
  <c r="I805" i="12"/>
  <c r="J805" i="12" a="1"/>
  <c r="J805" i="12"/>
  <c r="K805" i="12" a="1"/>
  <c r="K805" i="12"/>
  <c r="H806" i="12"/>
  <c r="I806" i="12" a="1"/>
  <c r="I806" i="12"/>
  <c r="J806" i="12" a="1"/>
  <c r="J806" i="12"/>
  <c r="K806" i="12" a="1"/>
  <c r="K806" i="12"/>
  <c r="H807" i="12"/>
  <c r="I807" i="12" a="1"/>
  <c r="I807" i="12"/>
  <c r="J807" i="12" a="1"/>
  <c r="J807" i="12"/>
  <c r="K807" i="12" a="1"/>
  <c r="K807" i="12"/>
  <c r="H808" i="12"/>
  <c r="I808" i="12" a="1"/>
  <c r="I808" i="12"/>
  <c r="J808" i="12" a="1"/>
  <c r="J808" i="12"/>
  <c r="K808" i="12" a="1"/>
  <c r="K808" i="12"/>
  <c r="H809" i="12"/>
  <c r="I809" i="12" a="1"/>
  <c r="I809" i="12"/>
  <c r="J809" i="12" a="1"/>
  <c r="J809" i="12"/>
  <c r="K809" i="12" a="1"/>
  <c r="K809" i="12"/>
  <c r="H810" i="12"/>
  <c r="I810" i="12" a="1"/>
  <c r="I810" i="12"/>
  <c r="J810" i="12" a="1"/>
  <c r="J810" i="12"/>
  <c r="K810" i="12" a="1"/>
  <c r="K810" i="12"/>
  <c r="H811" i="12"/>
  <c r="I811" i="12" a="1"/>
  <c r="I811" i="12"/>
  <c r="J811" i="12" a="1"/>
  <c r="J811" i="12"/>
  <c r="K811" i="12" a="1"/>
  <c r="K811" i="12"/>
  <c r="H812" i="12"/>
  <c r="I812" i="12" a="1"/>
  <c r="I812" i="12"/>
  <c r="J812" i="12" a="1"/>
  <c r="J812" i="12"/>
  <c r="K812" i="12" a="1"/>
  <c r="K812" i="12"/>
  <c r="H813" i="12"/>
  <c r="I813" i="12" a="1"/>
  <c r="I813" i="12"/>
  <c r="J813" i="12" a="1"/>
  <c r="J813" i="12"/>
  <c r="K813" i="12" a="1"/>
  <c r="K813" i="12"/>
  <c r="H814" i="12"/>
  <c r="I814" i="12" a="1"/>
  <c r="I814" i="12"/>
  <c r="J814" i="12" a="1"/>
  <c r="J814" i="12"/>
  <c r="K814" i="12" a="1"/>
  <c r="K814" i="12"/>
  <c r="H815" i="12"/>
  <c r="I815" i="12" a="1"/>
  <c r="I815" i="12"/>
  <c r="J815" i="12" a="1"/>
  <c r="J815" i="12"/>
  <c r="K815" i="12" a="1"/>
  <c r="K815" i="12"/>
  <c r="H816" i="12"/>
  <c r="I816" i="12" a="1"/>
  <c r="I816" i="12"/>
  <c r="J816" i="12" a="1"/>
  <c r="J816" i="12"/>
  <c r="K816" i="12" a="1"/>
  <c r="K816" i="12"/>
  <c r="H817" i="12"/>
  <c r="I817" i="12" a="1"/>
  <c r="I817" i="12"/>
  <c r="J817" i="12" a="1"/>
  <c r="J817" i="12"/>
  <c r="K817" i="12" a="1"/>
  <c r="K817" i="12"/>
  <c r="H818" i="12"/>
  <c r="I818" i="12" a="1"/>
  <c r="I818" i="12"/>
  <c r="J818" i="12" a="1"/>
  <c r="J818" i="12"/>
  <c r="K818" i="12" a="1"/>
  <c r="K818" i="12"/>
  <c r="H819" i="12"/>
  <c r="I819" i="12" a="1"/>
  <c r="I819" i="12"/>
  <c r="J819" i="12" a="1"/>
  <c r="J819" i="12"/>
  <c r="K819" i="12" a="1"/>
  <c r="K819" i="12"/>
  <c r="H820" i="12"/>
  <c r="I820" i="12" a="1"/>
  <c r="I820" i="12"/>
  <c r="J820" i="12" a="1"/>
  <c r="J820" i="12"/>
  <c r="K820" i="12" a="1"/>
  <c r="K820" i="12"/>
  <c r="H821" i="12"/>
  <c r="I821" i="12" a="1"/>
  <c r="I821" i="12"/>
  <c r="J821" i="12" a="1"/>
  <c r="J821" i="12"/>
  <c r="K821" i="12" a="1"/>
  <c r="K821" i="12"/>
  <c r="H822" i="12"/>
  <c r="I822" i="12" a="1"/>
  <c r="I822" i="12"/>
  <c r="J822" i="12" a="1"/>
  <c r="J822" i="12"/>
  <c r="K822" i="12" a="1"/>
  <c r="K822" i="12"/>
  <c r="H823" i="12"/>
  <c r="I823" i="12" a="1"/>
  <c r="I823" i="12"/>
  <c r="J823" i="12" a="1"/>
  <c r="J823" i="12"/>
  <c r="K823" i="12" a="1"/>
  <c r="K823" i="12"/>
  <c r="H824" i="12"/>
  <c r="I824" i="12" a="1"/>
  <c r="I824" i="12"/>
  <c r="J824" i="12" a="1"/>
  <c r="J824" i="12"/>
  <c r="K824" i="12" a="1"/>
  <c r="K824" i="12"/>
  <c r="H825" i="12"/>
  <c r="I825" i="12" a="1"/>
  <c r="I825" i="12"/>
  <c r="J825" i="12" a="1"/>
  <c r="J825" i="12"/>
  <c r="K825" i="12" a="1"/>
  <c r="K825" i="12"/>
  <c r="H826" i="12"/>
  <c r="I826" i="12" a="1"/>
  <c r="I826" i="12"/>
  <c r="J826" i="12" a="1"/>
  <c r="J826" i="12"/>
  <c r="K826" i="12" a="1"/>
  <c r="K826" i="12"/>
  <c r="H827" i="12"/>
  <c r="I827" i="12" a="1"/>
  <c r="I827" i="12"/>
  <c r="J827" i="12" a="1"/>
  <c r="J827" i="12"/>
  <c r="K827" i="12" a="1"/>
  <c r="K827" i="12"/>
  <c r="H828" i="12"/>
  <c r="I828" i="12" a="1"/>
  <c r="I828" i="12"/>
  <c r="J828" i="12" a="1"/>
  <c r="J828" i="12"/>
  <c r="K828" i="12" a="1"/>
  <c r="K828" i="12"/>
  <c r="H829" i="12"/>
  <c r="I829" i="12" a="1"/>
  <c r="I829" i="12"/>
  <c r="J829" i="12" a="1"/>
  <c r="J829" i="12"/>
  <c r="K829" i="12" a="1"/>
  <c r="K829" i="12"/>
  <c r="D45" i="9"/>
  <c r="W45" i="9"/>
  <c r="D45" i="8"/>
  <c r="D45" i="7"/>
  <c r="Z45" i="7" a="1"/>
  <c r="Z45" i="7" s="1"/>
  <c r="AA45" i="7" a="1"/>
  <c r="AA45" i="7" s="1"/>
  <c r="AB45" i="7" a="1"/>
  <c r="AB45" i="7" s="1"/>
  <c r="D45" i="5"/>
  <c r="Z45" i="5" a="1"/>
  <c r="Z45" i="5"/>
  <c r="AA45" i="5" a="1"/>
  <c r="AA45" i="5"/>
  <c r="AB45" i="5" a="1"/>
  <c r="AB45" i="5"/>
  <c r="F15" i="2"/>
  <c r="D44" i="9"/>
  <c r="W44" i="9"/>
  <c r="D44" i="8"/>
  <c r="D44" i="7"/>
  <c r="Z44" i="7" a="1"/>
  <c r="Z44" i="7" s="1"/>
  <c r="AA44" i="7" a="1"/>
  <c r="AA44" i="7" s="1"/>
  <c r="AB44" i="7" a="1"/>
  <c r="AB44" i="7" s="1"/>
  <c r="D44" i="5"/>
  <c r="Z44" i="5" a="1"/>
  <c r="Z44" i="5"/>
  <c r="AA44" i="5" a="1"/>
  <c r="AA44" i="5"/>
  <c r="AB44" i="5" a="1"/>
  <c r="AB44" i="5"/>
  <c r="H740" i="12"/>
  <c r="I740" i="12" a="1"/>
  <c r="I740" i="12"/>
  <c r="J740" i="12" a="1"/>
  <c r="J740" i="12"/>
  <c r="K740" i="12" a="1"/>
  <c r="K740" i="12"/>
  <c r="H741" i="12"/>
  <c r="I741" i="12" a="1"/>
  <c r="I741" i="12"/>
  <c r="J741" i="12" a="1"/>
  <c r="J741" i="12"/>
  <c r="K741" i="12" a="1"/>
  <c r="K741" i="12"/>
  <c r="H742" i="12"/>
  <c r="I742" i="12" a="1"/>
  <c r="I742" i="12"/>
  <c r="J742" i="12" a="1"/>
  <c r="J742" i="12"/>
  <c r="K742" i="12" a="1"/>
  <c r="K742" i="12"/>
  <c r="H743" i="12"/>
  <c r="I743" i="12" a="1"/>
  <c r="I743" i="12"/>
  <c r="J743" i="12" a="1"/>
  <c r="J743" i="12"/>
  <c r="K743" i="12" a="1"/>
  <c r="K743" i="12"/>
  <c r="H744" i="12"/>
  <c r="I744" i="12" a="1"/>
  <c r="I744" i="12"/>
  <c r="J744" i="12" a="1"/>
  <c r="J744" i="12"/>
  <c r="K744" i="12" a="1"/>
  <c r="K744" i="12"/>
  <c r="H745" i="12"/>
  <c r="I745" i="12" a="1"/>
  <c r="I745" i="12"/>
  <c r="J745" i="12" a="1"/>
  <c r="J745" i="12"/>
  <c r="K745" i="12" a="1"/>
  <c r="K745" i="12"/>
  <c r="H746" i="12"/>
  <c r="I746" i="12" a="1"/>
  <c r="I746" i="12"/>
  <c r="J746" i="12" a="1"/>
  <c r="J746" i="12"/>
  <c r="K746" i="12" a="1"/>
  <c r="K746" i="12"/>
  <c r="H747" i="12"/>
  <c r="I747" i="12" a="1"/>
  <c r="I747" i="12"/>
  <c r="J747" i="12" a="1"/>
  <c r="J747" i="12"/>
  <c r="K747" i="12" a="1"/>
  <c r="K747" i="12"/>
  <c r="H748" i="12"/>
  <c r="I748" i="12" a="1"/>
  <c r="I748" i="12"/>
  <c r="J748" i="12" a="1"/>
  <c r="J748" i="12"/>
  <c r="K748" i="12" a="1"/>
  <c r="K748" i="12"/>
  <c r="H749" i="12"/>
  <c r="I749" i="12" a="1"/>
  <c r="I749" i="12"/>
  <c r="J749" i="12" a="1"/>
  <c r="J749" i="12"/>
  <c r="K749" i="12" a="1"/>
  <c r="K749" i="12"/>
  <c r="H750" i="12"/>
  <c r="I750" i="12" a="1"/>
  <c r="I750" i="12"/>
  <c r="J750" i="12" a="1"/>
  <c r="J750" i="12"/>
  <c r="K750" i="12" a="1"/>
  <c r="K750" i="12"/>
  <c r="H751" i="12"/>
  <c r="I751" i="12" a="1"/>
  <c r="I751" i="12"/>
  <c r="J751" i="12" a="1"/>
  <c r="J751" i="12"/>
  <c r="K751" i="12" a="1"/>
  <c r="K751" i="12"/>
  <c r="H752" i="12"/>
  <c r="I752" i="12" a="1"/>
  <c r="I752" i="12"/>
  <c r="J752" i="12" a="1"/>
  <c r="J752" i="12"/>
  <c r="K752" i="12" a="1"/>
  <c r="K752" i="12"/>
  <c r="H753" i="12"/>
  <c r="I753" i="12" a="1"/>
  <c r="I753" i="12"/>
  <c r="J753" i="12" a="1"/>
  <c r="J753" i="12"/>
  <c r="K753" i="12" a="1"/>
  <c r="K753" i="12"/>
  <c r="H754" i="12"/>
  <c r="I754" i="12" a="1"/>
  <c r="I754" i="12"/>
  <c r="J754" i="12" a="1"/>
  <c r="J754" i="12"/>
  <c r="K754" i="12" a="1"/>
  <c r="K754" i="12"/>
  <c r="H755" i="12"/>
  <c r="I755" i="12" a="1"/>
  <c r="I755" i="12"/>
  <c r="J755" i="12" a="1"/>
  <c r="J755" i="12"/>
  <c r="K755" i="12" a="1"/>
  <c r="K755" i="12"/>
  <c r="H756" i="12"/>
  <c r="I756" i="12" a="1"/>
  <c r="I756" i="12"/>
  <c r="J756" i="12" a="1"/>
  <c r="J756" i="12"/>
  <c r="K756" i="12" a="1"/>
  <c r="K756" i="12"/>
  <c r="H757" i="12"/>
  <c r="I757" i="12" a="1"/>
  <c r="I757" i="12"/>
  <c r="J757" i="12" a="1"/>
  <c r="J757" i="12"/>
  <c r="K757" i="12" a="1"/>
  <c r="K757" i="12"/>
  <c r="F70" i="4" a="1"/>
  <c r="F70" i="4" s="1"/>
  <c r="G70" i="4" a="1"/>
  <c r="G70" i="4" s="1"/>
  <c r="F7" i="2"/>
  <c r="D43" i="9"/>
  <c r="W43" i="9" s="1"/>
  <c r="D43" i="8"/>
  <c r="D43" i="7"/>
  <c r="Z43" i="7" a="1"/>
  <c r="Z43" i="7"/>
  <c r="AA43" i="7" a="1"/>
  <c r="AA43" i="7" s="1"/>
  <c r="AB43" i="7" a="1"/>
  <c r="AB43" i="7" s="1"/>
  <c r="D43" i="5"/>
  <c r="Z43" i="5" a="1"/>
  <c r="Z43" i="5"/>
  <c r="AA43" i="5" a="1"/>
  <c r="AA43" i="5"/>
  <c r="AB43" i="5" a="1"/>
  <c r="AB43" i="5"/>
  <c r="H722" i="12"/>
  <c r="I722" i="12" a="1"/>
  <c r="I722" i="12"/>
  <c r="J722" i="12" a="1"/>
  <c r="J722" i="12"/>
  <c r="K722" i="12" a="1"/>
  <c r="K722" i="12"/>
  <c r="H723" i="12"/>
  <c r="I723" i="12" a="1"/>
  <c r="I723" i="12"/>
  <c r="J723" i="12" a="1"/>
  <c r="J723" i="12"/>
  <c r="K723" i="12" a="1"/>
  <c r="K723" i="12"/>
  <c r="H724" i="12"/>
  <c r="I724" i="12" a="1"/>
  <c r="I724" i="12"/>
  <c r="J724" i="12" a="1"/>
  <c r="J724" i="12"/>
  <c r="K724" i="12" a="1"/>
  <c r="K724" i="12"/>
  <c r="H725" i="12"/>
  <c r="I725" i="12" a="1"/>
  <c r="I725" i="12"/>
  <c r="J725" i="12" a="1"/>
  <c r="J725" i="12"/>
  <c r="K725" i="12" a="1"/>
  <c r="K725" i="12"/>
  <c r="H726" i="12"/>
  <c r="I726" i="12" a="1"/>
  <c r="I726" i="12"/>
  <c r="J726" i="12" a="1"/>
  <c r="J726" i="12"/>
  <c r="K726" i="12" a="1"/>
  <c r="K726" i="12"/>
  <c r="H727" i="12"/>
  <c r="I727" i="12" a="1"/>
  <c r="I727" i="12"/>
  <c r="J727" i="12" a="1"/>
  <c r="J727" i="12"/>
  <c r="K727" i="12" a="1"/>
  <c r="K727" i="12"/>
  <c r="H728" i="12"/>
  <c r="I728" i="12" a="1"/>
  <c r="I728" i="12"/>
  <c r="J728" i="12" a="1"/>
  <c r="J728" i="12"/>
  <c r="K728" i="12" a="1"/>
  <c r="K728" i="12"/>
  <c r="H729" i="12"/>
  <c r="I729" i="12" a="1"/>
  <c r="I729" i="12"/>
  <c r="J729" i="12" a="1"/>
  <c r="J729" i="12"/>
  <c r="K729" i="12" a="1"/>
  <c r="K729" i="12"/>
  <c r="H730" i="12"/>
  <c r="I730" i="12" a="1"/>
  <c r="I730" i="12"/>
  <c r="J730" i="12" a="1"/>
  <c r="J730" i="12"/>
  <c r="K730" i="12" a="1"/>
  <c r="K730" i="12"/>
  <c r="H731" i="12"/>
  <c r="I731" i="12" a="1"/>
  <c r="I731" i="12"/>
  <c r="J731" i="12" a="1"/>
  <c r="J731" i="12"/>
  <c r="K731" i="12" a="1"/>
  <c r="K731" i="12"/>
  <c r="H732" i="12"/>
  <c r="I732" i="12" a="1"/>
  <c r="I732" i="12"/>
  <c r="J732" i="12" a="1"/>
  <c r="J732" i="12"/>
  <c r="K732" i="12" a="1"/>
  <c r="K732" i="12"/>
  <c r="H733" i="12"/>
  <c r="I733" i="12" a="1"/>
  <c r="I733" i="12"/>
  <c r="J733" i="12" a="1"/>
  <c r="J733" i="12"/>
  <c r="K733" i="12" a="1"/>
  <c r="K733" i="12"/>
  <c r="H734" i="12"/>
  <c r="I734" i="12" a="1"/>
  <c r="I734" i="12"/>
  <c r="J734" i="12" a="1"/>
  <c r="J734" i="12"/>
  <c r="K734" i="12" a="1"/>
  <c r="K734" i="12"/>
  <c r="H735" i="12"/>
  <c r="I735" i="12" a="1"/>
  <c r="I735" i="12"/>
  <c r="J735" i="12" a="1"/>
  <c r="J735" i="12"/>
  <c r="K735" i="12" a="1"/>
  <c r="K735" i="12"/>
  <c r="H736" i="12"/>
  <c r="I736" i="12" a="1"/>
  <c r="I736" i="12"/>
  <c r="J736" i="12" a="1"/>
  <c r="J736" i="12"/>
  <c r="K736" i="12" a="1"/>
  <c r="K736" i="12"/>
  <c r="H737" i="12"/>
  <c r="I737" i="12" a="1"/>
  <c r="I737" i="12"/>
  <c r="J737" i="12" a="1"/>
  <c r="J737" i="12"/>
  <c r="K737" i="12" a="1"/>
  <c r="K737" i="12"/>
  <c r="H738" i="12"/>
  <c r="I738" i="12" a="1"/>
  <c r="I738" i="12"/>
  <c r="J738" i="12" a="1"/>
  <c r="J738" i="12"/>
  <c r="K738" i="12" a="1"/>
  <c r="K738" i="12"/>
  <c r="H739" i="12"/>
  <c r="I739" i="12" a="1"/>
  <c r="I739" i="12"/>
  <c r="J739" i="12" a="1"/>
  <c r="J739" i="12"/>
  <c r="K739" i="12" a="1"/>
  <c r="K739" i="12"/>
  <c r="F40" i="4" a="1"/>
  <c r="F40" i="4"/>
  <c r="G40" i="4" a="1"/>
  <c r="G40" i="4" s="1"/>
  <c r="F4" i="2"/>
  <c r="D42" i="9"/>
  <c r="W42" i="9"/>
  <c r="D42" i="8"/>
  <c r="D42" i="7"/>
  <c r="Z42" i="7" a="1"/>
  <c r="Z42" i="7"/>
  <c r="AA42" i="7" a="1"/>
  <c r="AA42" i="7"/>
  <c r="AB42" i="7" a="1"/>
  <c r="AB42" i="7"/>
  <c r="D42" i="5"/>
  <c r="Z42" i="5" a="1"/>
  <c r="Z42" i="5"/>
  <c r="AA42" i="5" a="1"/>
  <c r="AA42" i="5"/>
  <c r="AB42" i="5" a="1"/>
  <c r="AB42" i="5"/>
  <c r="H704" i="12"/>
  <c r="I704" i="12" a="1"/>
  <c r="I704" i="12"/>
  <c r="J704" i="12" a="1"/>
  <c r="J704" i="12"/>
  <c r="K704" i="12" a="1"/>
  <c r="K704" i="12"/>
  <c r="H705" i="12"/>
  <c r="I705" i="12" a="1"/>
  <c r="I705" i="12"/>
  <c r="J705" i="12" a="1"/>
  <c r="J705" i="12"/>
  <c r="K705" i="12" a="1"/>
  <c r="K705" i="12"/>
  <c r="H706" i="12"/>
  <c r="I706" i="12" a="1"/>
  <c r="I706" i="12"/>
  <c r="J706" i="12" a="1"/>
  <c r="J706" i="12"/>
  <c r="K706" i="12" a="1"/>
  <c r="K706" i="12"/>
  <c r="H707" i="12"/>
  <c r="I707" i="12" a="1"/>
  <c r="I707" i="12"/>
  <c r="J707" i="12" a="1"/>
  <c r="J707" i="12"/>
  <c r="K707" i="12" a="1"/>
  <c r="K707" i="12"/>
  <c r="H708" i="12"/>
  <c r="I708" i="12" a="1"/>
  <c r="I708" i="12"/>
  <c r="J708" i="12" a="1"/>
  <c r="J708" i="12"/>
  <c r="K708" i="12" a="1"/>
  <c r="K708" i="12"/>
  <c r="H709" i="12"/>
  <c r="I709" i="12" a="1"/>
  <c r="I709" i="12"/>
  <c r="J709" i="12" a="1"/>
  <c r="J709" i="12"/>
  <c r="K709" i="12" a="1"/>
  <c r="K709" i="12"/>
  <c r="H710" i="12"/>
  <c r="I710" i="12" a="1"/>
  <c r="I710" i="12"/>
  <c r="J710" i="12" a="1"/>
  <c r="J710" i="12"/>
  <c r="K710" i="12" a="1"/>
  <c r="K710" i="12"/>
  <c r="H711" i="12"/>
  <c r="I711" i="12" a="1"/>
  <c r="I711" i="12"/>
  <c r="J711" i="12" a="1"/>
  <c r="J711" i="12"/>
  <c r="K711" i="12" a="1"/>
  <c r="K711" i="12"/>
  <c r="H712" i="12"/>
  <c r="I712" i="12" a="1"/>
  <c r="I712" i="12"/>
  <c r="J712" i="12" a="1"/>
  <c r="J712" i="12"/>
  <c r="K712" i="12" a="1"/>
  <c r="K712" i="12"/>
  <c r="H713" i="12"/>
  <c r="I713" i="12" a="1"/>
  <c r="I713" i="12"/>
  <c r="J713" i="12" a="1"/>
  <c r="J713" i="12"/>
  <c r="K713" i="12" a="1"/>
  <c r="K713" i="12"/>
  <c r="H714" i="12"/>
  <c r="I714" i="12" a="1"/>
  <c r="I714" i="12"/>
  <c r="J714" i="12" a="1"/>
  <c r="J714" i="12"/>
  <c r="K714" i="12" a="1"/>
  <c r="K714" i="12"/>
  <c r="H715" i="12"/>
  <c r="I715" i="12" a="1"/>
  <c r="I715" i="12"/>
  <c r="J715" i="12" a="1"/>
  <c r="J715" i="12"/>
  <c r="K715" i="12" a="1"/>
  <c r="K715" i="12"/>
  <c r="H716" i="12"/>
  <c r="I716" i="12" a="1"/>
  <c r="I716" i="12"/>
  <c r="J716" i="12" a="1"/>
  <c r="J716" i="12"/>
  <c r="K716" i="12" a="1"/>
  <c r="K716" i="12"/>
  <c r="H717" i="12"/>
  <c r="I717" i="12" a="1"/>
  <c r="I717" i="12"/>
  <c r="J717" i="12" a="1"/>
  <c r="J717" i="12"/>
  <c r="K717" i="12" a="1"/>
  <c r="K717" i="12"/>
  <c r="H718" i="12"/>
  <c r="I718" i="12" a="1"/>
  <c r="I718" i="12"/>
  <c r="J718" i="12" a="1"/>
  <c r="J718" i="12"/>
  <c r="K718" i="12" a="1"/>
  <c r="K718" i="12"/>
  <c r="H719" i="12"/>
  <c r="I719" i="12" a="1"/>
  <c r="I719" i="12"/>
  <c r="J719" i="12" a="1"/>
  <c r="J719" i="12"/>
  <c r="K719" i="12" a="1"/>
  <c r="K719" i="12"/>
  <c r="H720" i="12"/>
  <c r="I720" i="12" a="1"/>
  <c r="I720" i="12"/>
  <c r="J720" i="12" a="1"/>
  <c r="J720" i="12"/>
  <c r="K720" i="12" a="1"/>
  <c r="K720" i="12"/>
  <c r="H721" i="12"/>
  <c r="I721" i="12" a="1"/>
  <c r="I721" i="12"/>
  <c r="J721" i="12" a="1"/>
  <c r="J721" i="12"/>
  <c r="K721" i="12" a="1"/>
  <c r="K721" i="12"/>
  <c r="F59" i="4" a="1"/>
  <c r="F59" i="4" s="1"/>
  <c r="G59" i="4" a="1"/>
  <c r="G59" i="4" s="1"/>
  <c r="F6" i="2"/>
  <c r="D41" i="9"/>
  <c r="W41" i="9" s="1"/>
  <c r="D41" i="8"/>
  <c r="D41" i="7"/>
  <c r="Z41" i="7" a="1"/>
  <c r="Z41" i="7"/>
  <c r="AA41" i="7" a="1"/>
  <c r="AA41" i="7"/>
  <c r="AB41" i="7" a="1"/>
  <c r="AB41" i="7"/>
  <c r="D39" i="5"/>
  <c r="D41" i="5"/>
  <c r="Z41" i="5" a="1"/>
  <c r="Z41" i="5"/>
  <c r="AA41" i="5" a="1"/>
  <c r="AA41" i="5"/>
  <c r="AB41" i="5" a="1"/>
  <c r="AB41" i="5"/>
  <c r="H686" i="12"/>
  <c r="I686" i="12" a="1"/>
  <c r="I686" i="12"/>
  <c r="J686" i="12" a="1"/>
  <c r="J686" i="12"/>
  <c r="K686" i="12" a="1"/>
  <c r="K686" i="12"/>
  <c r="H687" i="12"/>
  <c r="I687" i="12" a="1"/>
  <c r="I687" i="12"/>
  <c r="J687" i="12" a="1"/>
  <c r="J687" i="12"/>
  <c r="K687" i="12" a="1"/>
  <c r="K687" i="12"/>
  <c r="H688" i="12"/>
  <c r="I688" i="12" a="1"/>
  <c r="I688" i="12"/>
  <c r="J688" i="12" a="1"/>
  <c r="J688" i="12"/>
  <c r="K688" i="12" a="1"/>
  <c r="K688" i="12"/>
  <c r="H689" i="12"/>
  <c r="I689" i="12" a="1"/>
  <c r="I689" i="12"/>
  <c r="J689" i="12" a="1"/>
  <c r="J689" i="12"/>
  <c r="K689" i="12" a="1"/>
  <c r="K689" i="12"/>
  <c r="H690" i="12"/>
  <c r="I690" i="12" a="1"/>
  <c r="I690" i="12"/>
  <c r="J690" i="12" a="1"/>
  <c r="J690" i="12"/>
  <c r="K690" i="12" a="1"/>
  <c r="K690" i="12"/>
  <c r="H691" i="12"/>
  <c r="I691" i="12" a="1"/>
  <c r="I691" i="12"/>
  <c r="J691" i="12" a="1"/>
  <c r="J691" i="12"/>
  <c r="K691" i="12" a="1"/>
  <c r="K691" i="12"/>
  <c r="H692" i="12"/>
  <c r="I692" i="12" a="1"/>
  <c r="I692" i="12"/>
  <c r="J692" i="12" a="1"/>
  <c r="J692" i="12"/>
  <c r="K692" i="12" a="1"/>
  <c r="K692" i="12"/>
  <c r="H693" i="12"/>
  <c r="I693" i="12" a="1"/>
  <c r="I693" i="12"/>
  <c r="J693" i="12" a="1"/>
  <c r="J693" i="12"/>
  <c r="K693" i="12" a="1"/>
  <c r="K693" i="12"/>
  <c r="H694" i="12"/>
  <c r="I694" i="12" a="1"/>
  <c r="I694" i="12"/>
  <c r="J694" i="12" a="1"/>
  <c r="J694" i="12"/>
  <c r="K694" i="12" a="1"/>
  <c r="K694" i="12"/>
  <c r="H695" i="12"/>
  <c r="I695" i="12" a="1"/>
  <c r="I695" i="12"/>
  <c r="J695" i="12" a="1"/>
  <c r="J695" i="12"/>
  <c r="K695" i="12" a="1"/>
  <c r="K695" i="12"/>
  <c r="H696" i="12"/>
  <c r="I696" i="12" a="1"/>
  <c r="I696" i="12"/>
  <c r="J696" i="12" a="1"/>
  <c r="J696" i="12"/>
  <c r="K696" i="12" a="1"/>
  <c r="K696" i="12"/>
  <c r="H697" i="12"/>
  <c r="I697" i="12" a="1"/>
  <c r="I697" i="12"/>
  <c r="J697" i="12" a="1"/>
  <c r="J697" i="12"/>
  <c r="K697" i="12" a="1"/>
  <c r="K697" i="12"/>
  <c r="H698" i="12"/>
  <c r="I698" i="12" a="1"/>
  <c r="I698" i="12"/>
  <c r="J698" i="12" a="1"/>
  <c r="J698" i="12"/>
  <c r="K698" i="12" a="1"/>
  <c r="K698" i="12"/>
  <c r="H699" i="12"/>
  <c r="I699" i="12" a="1"/>
  <c r="I699" i="12"/>
  <c r="J699" i="12" a="1"/>
  <c r="J699" i="12"/>
  <c r="K699" i="12" a="1"/>
  <c r="K699" i="12"/>
  <c r="H700" i="12"/>
  <c r="I700" i="12" a="1"/>
  <c r="I700" i="12"/>
  <c r="J700" i="12" a="1"/>
  <c r="J700" i="12"/>
  <c r="K700" i="12" a="1"/>
  <c r="K700" i="12"/>
  <c r="H701" i="12"/>
  <c r="I701" i="12" a="1"/>
  <c r="I701" i="12"/>
  <c r="J701" i="12" a="1"/>
  <c r="J701" i="12"/>
  <c r="K701" i="12" a="1"/>
  <c r="K701" i="12"/>
  <c r="H702" i="12"/>
  <c r="I702" i="12" a="1"/>
  <c r="I702" i="12"/>
  <c r="J702" i="12" a="1"/>
  <c r="J702" i="12"/>
  <c r="K702" i="12" a="1"/>
  <c r="K702" i="12"/>
  <c r="H703" i="12"/>
  <c r="I703" i="12" a="1"/>
  <c r="I703" i="12"/>
  <c r="J703" i="12" a="1"/>
  <c r="J703" i="12"/>
  <c r="K703" i="12" a="1"/>
  <c r="K703" i="12"/>
  <c r="F24" i="4" a="1"/>
  <c r="F24" i="4" s="1"/>
  <c r="H24" i="4" s="1"/>
  <c r="G24" i="4" a="1"/>
  <c r="G24" i="4"/>
  <c r="F8" i="2"/>
  <c r="D40" i="9"/>
  <c r="W40" i="9"/>
  <c r="D40" i="8"/>
  <c r="D40" i="7"/>
  <c r="Z40" i="7" a="1"/>
  <c r="Z40" i="7"/>
  <c r="AA40" i="7" a="1"/>
  <c r="AA40" i="7"/>
  <c r="AB40" i="7" a="1"/>
  <c r="AB40" i="7"/>
  <c r="D40" i="5"/>
  <c r="Z40" i="5" a="1"/>
  <c r="Z40" i="5"/>
  <c r="AA40" i="5" a="1"/>
  <c r="AA40" i="5"/>
  <c r="AB40" i="5" a="1"/>
  <c r="AB40" i="5"/>
  <c r="H668" i="12"/>
  <c r="I668" i="12" a="1"/>
  <c r="I668" i="12"/>
  <c r="J668" i="12" a="1"/>
  <c r="J668" i="12"/>
  <c r="K668" i="12" a="1"/>
  <c r="K668" i="12"/>
  <c r="H669" i="12"/>
  <c r="I669" i="12" a="1"/>
  <c r="I669" i="12"/>
  <c r="J669" i="12" a="1"/>
  <c r="J669" i="12"/>
  <c r="K669" i="12" a="1"/>
  <c r="K669" i="12"/>
  <c r="H670" i="12"/>
  <c r="I670" i="12" a="1"/>
  <c r="I670" i="12"/>
  <c r="J670" i="12" a="1"/>
  <c r="J670" i="12"/>
  <c r="K670" i="12" a="1"/>
  <c r="K670" i="12"/>
  <c r="H671" i="12"/>
  <c r="I671" i="12" a="1"/>
  <c r="I671" i="12"/>
  <c r="J671" i="12" a="1"/>
  <c r="J671" i="12"/>
  <c r="K671" i="12" a="1"/>
  <c r="K671" i="12"/>
  <c r="H672" i="12"/>
  <c r="I672" i="12" a="1"/>
  <c r="I672" i="12"/>
  <c r="J672" i="12" a="1"/>
  <c r="J672" i="12"/>
  <c r="K672" i="12" a="1"/>
  <c r="K672" i="12"/>
  <c r="H673" i="12"/>
  <c r="I673" i="12" a="1"/>
  <c r="I673" i="12"/>
  <c r="J673" i="12" a="1"/>
  <c r="J673" i="12"/>
  <c r="K673" i="12" a="1"/>
  <c r="K673" i="12"/>
  <c r="H674" i="12"/>
  <c r="I674" i="12" a="1"/>
  <c r="I674" i="12"/>
  <c r="J674" i="12" a="1"/>
  <c r="J674" i="12"/>
  <c r="K674" i="12" a="1"/>
  <c r="K674" i="12"/>
  <c r="H675" i="12"/>
  <c r="I675" i="12" a="1"/>
  <c r="I675" i="12"/>
  <c r="J675" i="12" a="1"/>
  <c r="J675" i="12"/>
  <c r="K675" i="12" a="1"/>
  <c r="K675" i="12"/>
  <c r="H676" i="12"/>
  <c r="I676" i="12" a="1"/>
  <c r="I676" i="12"/>
  <c r="J676" i="12" a="1"/>
  <c r="J676" i="12"/>
  <c r="K676" i="12" a="1"/>
  <c r="K676" i="12"/>
  <c r="H677" i="12"/>
  <c r="I677" i="12" a="1"/>
  <c r="I677" i="12"/>
  <c r="J677" i="12" a="1"/>
  <c r="J677" i="12"/>
  <c r="K677" i="12" a="1"/>
  <c r="K677" i="12"/>
  <c r="H678" i="12"/>
  <c r="I678" i="12" a="1"/>
  <c r="I678" i="12"/>
  <c r="J678" i="12" a="1"/>
  <c r="J678" i="12"/>
  <c r="K678" i="12" a="1"/>
  <c r="K678" i="12"/>
  <c r="H679" i="12"/>
  <c r="I679" i="12" a="1"/>
  <c r="I679" i="12"/>
  <c r="J679" i="12" a="1"/>
  <c r="J679" i="12"/>
  <c r="K679" i="12" a="1"/>
  <c r="K679" i="12"/>
  <c r="H680" i="12"/>
  <c r="I680" i="12" a="1"/>
  <c r="I680" i="12"/>
  <c r="J680" i="12" a="1"/>
  <c r="J680" i="12"/>
  <c r="K680" i="12" a="1"/>
  <c r="K680" i="12"/>
  <c r="H681" i="12"/>
  <c r="I681" i="12" a="1"/>
  <c r="I681" i="12"/>
  <c r="J681" i="12" a="1"/>
  <c r="J681" i="12"/>
  <c r="K681" i="12" a="1"/>
  <c r="K681" i="12"/>
  <c r="H682" i="12"/>
  <c r="I682" i="12" a="1"/>
  <c r="I682" i="12"/>
  <c r="J682" i="12" a="1"/>
  <c r="J682" i="12"/>
  <c r="K682" i="12" a="1"/>
  <c r="K682" i="12"/>
  <c r="H683" i="12"/>
  <c r="I683" i="12" a="1"/>
  <c r="I683" i="12"/>
  <c r="J683" i="12" a="1"/>
  <c r="J683" i="12"/>
  <c r="K683" i="12" a="1"/>
  <c r="K683" i="12"/>
  <c r="H684" i="12"/>
  <c r="I684" i="12" a="1"/>
  <c r="I684" i="12"/>
  <c r="J684" i="12" a="1"/>
  <c r="J684" i="12"/>
  <c r="K684" i="12" a="1"/>
  <c r="K684" i="12"/>
  <c r="H685" i="12"/>
  <c r="I685" i="12" a="1"/>
  <c r="I685" i="12"/>
  <c r="J685" i="12" a="1"/>
  <c r="J685" i="12"/>
  <c r="K685" i="12" a="1"/>
  <c r="K685" i="12"/>
  <c r="F21" i="6"/>
  <c r="F20" i="4" a="1"/>
  <c r="F20" i="4" s="1"/>
  <c r="G20" i="4" a="1"/>
  <c r="G20" i="4" s="1"/>
  <c r="F10" i="2"/>
  <c r="J650" i="12" a="1"/>
  <c r="J650" i="12"/>
  <c r="K650" i="12" a="1"/>
  <c r="K650" i="12"/>
  <c r="J651" i="12" a="1"/>
  <c r="J651" i="12"/>
  <c r="K651" i="12" a="1"/>
  <c r="K651" i="12"/>
  <c r="J652" i="12" a="1"/>
  <c r="J652" i="12"/>
  <c r="K652" i="12" a="1"/>
  <c r="K652" i="12"/>
  <c r="J653" i="12" a="1"/>
  <c r="J653" i="12"/>
  <c r="K653" i="12" a="1"/>
  <c r="K653" i="12"/>
  <c r="J654" i="12" a="1"/>
  <c r="J654" i="12"/>
  <c r="K654" i="12" a="1"/>
  <c r="K654" i="12"/>
  <c r="J655" i="12" a="1"/>
  <c r="J655" i="12"/>
  <c r="K655" i="12" a="1"/>
  <c r="K655" i="12"/>
  <c r="J656" i="12" a="1"/>
  <c r="J656" i="12"/>
  <c r="K656" i="12" a="1"/>
  <c r="K656" i="12"/>
  <c r="J657" i="12" a="1"/>
  <c r="J657" i="12"/>
  <c r="K657" i="12" a="1"/>
  <c r="K657" i="12"/>
  <c r="J658" i="12" a="1"/>
  <c r="J658" i="12"/>
  <c r="K658" i="12" a="1"/>
  <c r="K658" i="12"/>
  <c r="J659" i="12" a="1"/>
  <c r="J659" i="12"/>
  <c r="K659" i="12" a="1"/>
  <c r="K659" i="12"/>
  <c r="J660" i="12" a="1"/>
  <c r="J660" i="12"/>
  <c r="K660" i="12" a="1"/>
  <c r="K660" i="12"/>
  <c r="J661" i="12" a="1"/>
  <c r="J661" i="12"/>
  <c r="K661" i="12" a="1"/>
  <c r="K661" i="12"/>
  <c r="J662" i="12" a="1"/>
  <c r="J662" i="12"/>
  <c r="K662" i="12" a="1"/>
  <c r="K662" i="12"/>
  <c r="J663" i="12" a="1"/>
  <c r="J663" i="12"/>
  <c r="K663" i="12" a="1"/>
  <c r="K663" i="12"/>
  <c r="J664" i="12" a="1"/>
  <c r="J664" i="12"/>
  <c r="K664" i="12" a="1"/>
  <c r="K664" i="12"/>
  <c r="J665" i="12" a="1"/>
  <c r="J665" i="12"/>
  <c r="K665" i="12" a="1"/>
  <c r="K665" i="12"/>
  <c r="J666" i="12" a="1"/>
  <c r="J666" i="12"/>
  <c r="K666" i="12" a="1"/>
  <c r="K666" i="12"/>
  <c r="J667" i="12" a="1"/>
  <c r="J667" i="12"/>
  <c r="K667" i="12" a="1"/>
  <c r="K667" i="12"/>
  <c r="I650" i="12" a="1"/>
  <c r="I650" i="12"/>
  <c r="I651" i="12" a="1"/>
  <c r="I651" i="12"/>
  <c r="I652" i="12" a="1"/>
  <c r="I652" i="12"/>
  <c r="I653" i="12" a="1"/>
  <c r="I653" i="12"/>
  <c r="I654" i="12" a="1"/>
  <c r="I654" i="12"/>
  <c r="I655" i="12" a="1"/>
  <c r="I655" i="12"/>
  <c r="I656" i="12" a="1"/>
  <c r="I656" i="12"/>
  <c r="I657" i="12" a="1"/>
  <c r="I657" i="12"/>
  <c r="I658" i="12" a="1"/>
  <c r="I658" i="12"/>
  <c r="I659" i="12" a="1"/>
  <c r="I659" i="12"/>
  <c r="I660" i="12" a="1"/>
  <c r="I660" i="12"/>
  <c r="I661" i="12" a="1"/>
  <c r="I661" i="12"/>
  <c r="I662" i="12" a="1"/>
  <c r="I662" i="12"/>
  <c r="I663" i="12" a="1"/>
  <c r="I663" i="12"/>
  <c r="I664" i="12" a="1"/>
  <c r="I664" i="12"/>
  <c r="I665" i="12" a="1"/>
  <c r="I665" i="12"/>
  <c r="I666" i="12" a="1"/>
  <c r="I666" i="12"/>
  <c r="I667" i="12" a="1"/>
  <c r="I667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F6" i="4" s="1"/>
  <c r="G6" i="4" a="1"/>
  <c r="G6" i="4" s="1"/>
  <c r="F12" i="2"/>
  <c r="D39" i="9"/>
  <c r="W39" i="9"/>
  <c r="D39" i="8"/>
  <c r="D39" i="7"/>
  <c r="Z39" i="7" a="1"/>
  <c r="Z39" i="7"/>
  <c r="AA39" i="7" a="1"/>
  <c r="AA39" i="7"/>
  <c r="AB39" i="7" a="1"/>
  <c r="AB39" i="7"/>
  <c r="Z39" i="5" a="1"/>
  <c r="Z39" i="5"/>
  <c r="AA39" i="5" a="1"/>
  <c r="AA39" i="5"/>
  <c r="AB39" i="5" a="1"/>
  <c r="AB39" i="5"/>
  <c r="D38" i="9"/>
  <c r="W38" i="9"/>
  <c r="D38" i="8"/>
  <c r="D38" i="7"/>
  <c r="Z38" i="7" a="1"/>
  <c r="Z38" i="7"/>
  <c r="AA38" i="7" a="1"/>
  <c r="AA38" i="7"/>
  <c r="AB38" i="7" a="1"/>
  <c r="AB38" i="7"/>
  <c r="D38" i="5"/>
  <c r="Z38" i="5" a="1"/>
  <c r="Z38" i="5"/>
  <c r="AA38" i="5" a="1"/>
  <c r="AA38" i="5"/>
  <c r="AB38" i="5" a="1"/>
  <c r="AB38" i="5"/>
  <c r="I632" i="12" a="1"/>
  <c r="I632" i="12"/>
  <c r="J632" i="12" a="1"/>
  <c r="J632" i="12"/>
  <c r="K632" i="12" a="1"/>
  <c r="K632" i="12"/>
  <c r="I633" i="12" a="1"/>
  <c r="I633" i="12"/>
  <c r="J633" i="12" a="1"/>
  <c r="J633" i="12"/>
  <c r="K633" i="12" a="1"/>
  <c r="K633" i="12"/>
  <c r="I634" i="12" a="1"/>
  <c r="I634" i="12"/>
  <c r="J634" i="12" a="1"/>
  <c r="J634" i="12"/>
  <c r="K634" i="12" a="1"/>
  <c r="K634" i="12"/>
  <c r="I635" i="12" a="1"/>
  <c r="I635" i="12"/>
  <c r="J635" i="12" a="1"/>
  <c r="J635" i="12"/>
  <c r="K635" i="12" a="1"/>
  <c r="K635" i="12"/>
  <c r="I636" i="12" a="1"/>
  <c r="I636" i="12"/>
  <c r="J636" i="12" a="1"/>
  <c r="J636" i="12"/>
  <c r="K636" i="12" a="1"/>
  <c r="K636" i="12"/>
  <c r="I637" i="12" a="1"/>
  <c r="I637" i="12"/>
  <c r="J637" i="12" a="1"/>
  <c r="J637" i="12"/>
  <c r="K637" i="12" a="1"/>
  <c r="K637" i="12"/>
  <c r="I638" i="12" a="1"/>
  <c r="I638" i="12"/>
  <c r="J638" i="12" a="1"/>
  <c r="J638" i="12"/>
  <c r="K638" i="12" a="1"/>
  <c r="K638" i="12"/>
  <c r="I639" i="12" a="1"/>
  <c r="I639" i="12"/>
  <c r="J639" i="12" a="1"/>
  <c r="J639" i="12"/>
  <c r="K639" i="12" a="1"/>
  <c r="K639" i="12"/>
  <c r="I640" i="12" a="1"/>
  <c r="I640" i="12"/>
  <c r="J640" i="12" a="1"/>
  <c r="J640" i="12"/>
  <c r="K640" i="12" a="1"/>
  <c r="K640" i="12"/>
  <c r="I641" i="12" a="1"/>
  <c r="I641" i="12"/>
  <c r="J641" i="12" a="1"/>
  <c r="J641" i="12"/>
  <c r="K641" i="12" a="1"/>
  <c r="K641" i="12"/>
  <c r="I642" i="12" a="1"/>
  <c r="I642" i="12"/>
  <c r="J642" i="12" a="1"/>
  <c r="J642" i="12"/>
  <c r="K642" i="12" a="1"/>
  <c r="K642" i="12"/>
  <c r="I643" i="12" a="1"/>
  <c r="I643" i="12"/>
  <c r="J643" i="12" a="1"/>
  <c r="J643" i="12"/>
  <c r="K643" i="12" a="1"/>
  <c r="K643" i="12"/>
  <c r="I644" i="12" a="1"/>
  <c r="I644" i="12"/>
  <c r="J644" i="12" a="1"/>
  <c r="J644" i="12"/>
  <c r="K644" i="12" a="1"/>
  <c r="K644" i="12"/>
  <c r="I645" i="12" a="1"/>
  <c r="I645" i="12"/>
  <c r="J645" i="12" a="1"/>
  <c r="J645" i="12"/>
  <c r="K645" i="12" a="1"/>
  <c r="K645" i="12"/>
  <c r="I646" i="12" a="1"/>
  <c r="I646" i="12"/>
  <c r="J646" i="12" a="1"/>
  <c r="J646" i="12"/>
  <c r="K646" i="12" a="1"/>
  <c r="K646" i="12"/>
  <c r="I647" i="12" a="1"/>
  <c r="I647" i="12"/>
  <c r="J647" i="12" a="1"/>
  <c r="J647" i="12"/>
  <c r="K647" i="12" a="1"/>
  <c r="K647" i="12"/>
  <c r="I648" i="12" a="1"/>
  <c r="I648" i="12"/>
  <c r="J648" i="12" a="1"/>
  <c r="J648" i="12"/>
  <c r="K648" i="12" a="1"/>
  <c r="K648" i="12"/>
  <c r="I649" i="12" a="1"/>
  <c r="I649" i="12"/>
  <c r="J649" i="12" a="1"/>
  <c r="J649" i="12"/>
  <c r="K649" i="12" a="1"/>
  <c r="K649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F5" i="4" s="1"/>
  <c r="H5" i="4" s="1"/>
  <c r="G5" i="4" a="1"/>
  <c r="G5" i="4" s="1"/>
  <c r="F13" i="2"/>
  <c r="D37" i="9"/>
  <c r="W37" i="9"/>
  <c r="D37" i="8"/>
  <c r="D37" i="7"/>
  <c r="Z37" i="7" a="1"/>
  <c r="Z37" i="7"/>
  <c r="AA37" i="7" a="1"/>
  <c r="AA37" i="7"/>
  <c r="AB37" i="7" a="1"/>
  <c r="AB37" i="7"/>
  <c r="D37" i="5"/>
  <c r="Z37" i="5" a="1"/>
  <c r="Z37" i="5"/>
  <c r="AA37" i="5" a="1"/>
  <c r="AA37" i="5"/>
  <c r="AB37" i="5" a="1"/>
  <c r="AB37" i="5"/>
  <c r="K614" i="12" a="1"/>
  <c r="K614" i="12"/>
  <c r="K615" i="12" a="1"/>
  <c r="K615" i="12"/>
  <c r="K616" i="12" a="1"/>
  <c r="K616" i="12"/>
  <c r="K617" i="12" a="1"/>
  <c r="K617" i="12"/>
  <c r="K618" i="12" a="1"/>
  <c r="K618" i="12"/>
  <c r="K619" i="12" a="1"/>
  <c r="K619" i="12"/>
  <c r="K620" i="12" a="1"/>
  <c r="K620" i="12"/>
  <c r="K621" i="12" a="1"/>
  <c r="K621" i="12"/>
  <c r="K622" i="12" a="1"/>
  <c r="K622" i="12"/>
  <c r="K623" i="12" a="1"/>
  <c r="K623" i="12"/>
  <c r="K624" i="12" a="1"/>
  <c r="K624" i="12"/>
  <c r="K625" i="12" a="1"/>
  <c r="K625" i="12"/>
  <c r="K626" i="12" a="1"/>
  <c r="K626" i="12"/>
  <c r="K627" i="12" a="1"/>
  <c r="K627" i="12"/>
  <c r="K628" i="12" a="1"/>
  <c r="K628" i="12"/>
  <c r="K629" i="12" a="1"/>
  <c r="K629" i="12"/>
  <c r="K630" i="12" a="1"/>
  <c r="K630" i="12"/>
  <c r="K631" i="12" a="1"/>
  <c r="K631" i="12"/>
  <c r="J614" i="12" a="1"/>
  <c r="J614" i="12"/>
  <c r="J615" i="12" a="1"/>
  <c r="J615" i="12"/>
  <c r="J616" i="12" a="1"/>
  <c r="J616" i="12"/>
  <c r="J617" i="12" a="1"/>
  <c r="J617" i="12"/>
  <c r="J618" i="12" a="1"/>
  <c r="J618" i="12"/>
  <c r="J619" i="12" a="1"/>
  <c r="J619" i="12"/>
  <c r="J620" i="12" a="1"/>
  <c r="J620" i="12"/>
  <c r="J621" i="12" a="1"/>
  <c r="J621" i="12"/>
  <c r="J622" i="12" a="1"/>
  <c r="J622" i="12"/>
  <c r="J623" i="12" a="1"/>
  <c r="J623" i="12"/>
  <c r="J624" i="12" a="1"/>
  <c r="J624" i="12"/>
  <c r="J625" i="12" a="1"/>
  <c r="J625" i="12"/>
  <c r="J626" i="12" a="1"/>
  <c r="J626" i="12"/>
  <c r="J627" i="12" a="1"/>
  <c r="J627" i="12"/>
  <c r="J628" i="12" a="1"/>
  <c r="J628" i="12"/>
  <c r="J629" i="12" a="1"/>
  <c r="J629" i="12"/>
  <c r="J630" i="12" a="1"/>
  <c r="J630" i="12"/>
  <c r="J631" i="12" a="1"/>
  <c r="J631" i="12"/>
  <c r="I614" i="12" a="1"/>
  <c r="I614" i="12"/>
  <c r="I615" i="12" a="1"/>
  <c r="I615" i="12"/>
  <c r="I616" i="12" a="1"/>
  <c r="I616" i="12"/>
  <c r="I617" i="12" a="1"/>
  <c r="I617" i="12"/>
  <c r="I618" i="12" a="1"/>
  <c r="I618" i="12"/>
  <c r="I619" i="12" a="1"/>
  <c r="I619" i="12"/>
  <c r="I620" i="12" a="1"/>
  <c r="I620" i="12"/>
  <c r="I621" i="12" a="1"/>
  <c r="I621" i="12"/>
  <c r="I622" i="12" a="1"/>
  <c r="I622" i="12"/>
  <c r="I623" i="12" a="1"/>
  <c r="I623" i="12"/>
  <c r="I624" i="12" a="1"/>
  <c r="I624" i="12"/>
  <c r="I625" i="12" a="1"/>
  <c r="I625" i="12"/>
  <c r="I626" i="12" a="1"/>
  <c r="I626" i="12"/>
  <c r="I627" i="12" a="1"/>
  <c r="I627" i="12"/>
  <c r="I628" i="12" a="1"/>
  <c r="I628" i="12"/>
  <c r="I629" i="12" a="1"/>
  <c r="I629" i="12"/>
  <c r="I630" i="12" a="1"/>
  <c r="I630" i="12"/>
  <c r="I631" i="12" a="1"/>
  <c r="I631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F15" i="4" s="1"/>
  <c r="G15" i="4" a="1"/>
  <c r="G15" i="4"/>
  <c r="F16" i="2"/>
  <c r="D36" i="9"/>
  <c r="W36" i="9" s="1"/>
  <c r="D36" i="8"/>
  <c r="D36" i="7"/>
  <c r="Z36" i="7" a="1"/>
  <c r="Z36" i="7" s="1"/>
  <c r="AA36" i="7" a="1"/>
  <c r="AA36" i="7"/>
  <c r="AB36" i="7" a="1"/>
  <c r="AB36" i="7" s="1"/>
  <c r="D36" i="5"/>
  <c r="Z36" i="5" a="1"/>
  <c r="Z36" i="5"/>
  <c r="AA36" i="5" a="1"/>
  <c r="AA36" i="5"/>
  <c r="AB36" i="5" a="1"/>
  <c r="AB36" i="5"/>
  <c r="J596" i="12" a="1"/>
  <c r="J596" i="12"/>
  <c r="K596" i="12" a="1"/>
  <c r="K596" i="12"/>
  <c r="J597" i="12" a="1"/>
  <c r="J597" i="12"/>
  <c r="K597" i="12" a="1"/>
  <c r="K597" i="12"/>
  <c r="J598" i="12" a="1"/>
  <c r="J598" i="12"/>
  <c r="K598" i="12" a="1"/>
  <c r="K598" i="12"/>
  <c r="J599" i="12" a="1"/>
  <c r="J599" i="12"/>
  <c r="K599" i="12" a="1"/>
  <c r="K599" i="12"/>
  <c r="J600" i="12" a="1"/>
  <c r="J600" i="12"/>
  <c r="K600" i="12" a="1"/>
  <c r="K600" i="12"/>
  <c r="J601" i="12" a="1"/>
  <c r="J601" i="12"/>
  <c r="K601" i="12" a="1"/>
  <c r="K601" i="12"/>
  <c r="J602" i="12" a="1"/>
  <c r="J602" i="12"/>
  <c r="K602" i="12" a="1"/>
  <c r="K602" i="12"/>
  <c r="J603" i="12" a="1"/>
  <c r="J603" i="12"/>
  <c r="K603" i="12" a="1"/>
  <c r="K603" i="12"/>
  <c r="J604" i="12" a="1"/>
  <c r="J604" i="12"/>
  <c r="K604" i="12" a="1"/>
  <c r="K604" i="12"/>
  <c r="J605" i="12" a="1"/>
  <c r="J605" i="12"/>
  <c r="K605" i="12" a="1"/>
  <c r="K605" i="12"/>
  <c r="J606" i="12" a="1"/>
  <c r="J606" i="12"/>
  <c r="K606" i="12" a="1"/>
  <c r="K606" i="12"/>
  <c r="J607" i="12" a="1"/>
  <c r="J607" i="12"/>
  <c r="K607" i="12" a="1"/>
  <c r="K607" i="12"/>
  <c r="J608" i="12" a="1"/>
  <c r="J608" i="12"/>
  <c r="K608" i="12" a="1"/>
  <c r="K608" i="12"/>
  <c r="J609" i="12" a="1"/>
  <c r="J609" i="12"/>
  <c r="K609" i="12" a="1"/>
  <c r="K609" i="12"/>
  <c r="J610" i="12" a="1"/>
  <c r="J610" i="12"/>
  <c r="K610" i="12" a="1"/>
  <c r="K610" i="12"/>
  <c r="J611" i="12" a="1"/>
  <c r="J611" i="12"/>
  <c r="K611" i="12" a="1"/>
  <c r="K611" i="12"/>
  <c r="J612" i="12" a="1"/>
  <c r="J612" i="12"/>
  <c r="K612" i="12" a="1"/>
  <c r="K612" i="12"/>
  <c r="J613" i="12" a="1"/>
  <c r="J613" i="12"/>
  <c r="K613" i="12" a="1"/>
  <c r="K613" i="12"/>
  <c r="I596" i="12" a="1"/>
  <c r="I596" i="12"/>
  <c r="I597" i="12" a="1"/>
  <c r="I597" i="12"/>
  <c r="I598" i="12" a="1"/>
  <c r="I598" i="12"/>
  <c r="I599" i="12" a="1"/>
  <c r="I599" i="12"/>
  <c r="I600" i="12" a="1"/>
  <c r="I600" i="12"/>
  <c r="I601" i="12" a="1"/>
  <c r="I601" i="12"/>
  <c r="I602" i="12" a="1"/>
  <c r="I602" i="12"/>
  <c r="I603" i="12" a="1"/>
  <c r="I603" i="12"/>
  <c r="I604" i="12" a="1"/>
  <c r="I604" i="12"/>
  <c r="I605" i="12" a="1"/>
  <c r="I605" i="12"/>
  <c r="I606" i="12" a="1"/>
  <c r="I606" i="12"/>
  <c r="I607" i="12" a="1"/>
  <c r="I607" i="12"/>
  <c r="I608" i="12" a="1"/>
  <c r="I608" i="12"/>
  <c r="I609" i="12" a="1"/>
  <c r="I609" i="12"/>
  <c r="I610" i="12" a="1"/>
  <c r="I610" i="12"/>
  <c r="I611" i="12" a="1"/>
  <c r="I611" i="12"/>
  <c r="I612" i="12" a="1"/>
  <c r="I612" i="12"/>
  <c r="I613" i="12" a="1"/>
  <c r="I613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F4" i="4"/>
  <c r="G4" i="4" a="1"/>
  <c r="G4" i="4"/>
  <c r="F18" i="2"/>
  <c r="K578" i="12" a="1"/>
  <c r="K578" i="12"/>
  <c r="K579" i="12" a="1"/>
  <c r="K579" i="12"/>
  <c r="K580" i="12" a="1"/>
  <c r="K580" i="12"/>
  <c r="K581" i="12" a="1"/>
  <c r="K581" i="12"/>
  <c r="K582" i="12" a="1"/>
  <c r="K582" i="12"/>
  <c r="K583" i="12" a="1"/>
  <c r="K583" i="12"/>
  <c r="K584" i="12" a="1"/>
  <c r="K584" i="12"/>
  <c r="K585" i="12" a="1"/>
  <c r="K585" i="12"/>
  <c r="K586" i="12" a="1"/>
  <c r="K586" i="12"/>
  <c r="K587" i="12" a="1"/>
  <c r="K587" i="12"/>
  <c r="K588" i="12" a="1"/>
  <c r="K588" i="12"/>
  <c r="K589" i="12" a="1"/>
  <c r="K589" i="12"/>
  <c r="K590" i="12" a="1"/>
  <c r="K590" i="12"/>
  <c r="K591" i="12" a="1"/>
  <c r="K591" i="12"/>
  <c r="K592" i="12" a="1"/>
  <c r="K592" i="12"/>
  <c r="K593" i="12" a="1"/>
  <c r="K593" i="12"/>
  <c r="K594" i="12" a="1"/>
  <c r="K594" i="12"/>
  <c r="K595" i="12" a="1"/>
  <c r="K595" i="12"/>
  <c r="J578" i="12" a="1"/>
  <c r="J578" i="12"/>
  <c r="J579" i="12" a="1"/>
  <c r="J579" i="12"/>
  <c r="J580" i="12" a="1"/>
  <c r="J580" i="12"/>
  <c r="J581" i="12" a="1"/>
  <c r="J581" i="12"/>
  <c r="J582" i="12" a="1"/>
  <c r="J582" i="12"/>
  <c r="J583" i="12" a="1"/>
  <c r="J583" i="12"/>
  <c r="J584" i="12" a="1"/>
  <c r="J584" i="12"/>
  <c r="J585" i="12" a="1"/>
  <c r="J585" i="12"/>
  <c r="J586" i="12" a="1"/>
  <c r="J586" i="12"/>
  <c r="J587" i="12" a="1"/>
  <c r="J587" i="12"/>
  <c r="J588" i="12" a="1"/>
  <c r="J588" i="12"/>
  <c r="J589" i="12" a="1"/>
  <c r="J589" i="12"/>
  <c r="J590" i="12" a="1"/>
  <c r="J590" i="12"/>
  <c r="J591" i="12" a="1"/>
  <c r="J591" i="12"/>
  <c r="J592" i="12" a="1"/>
  <c r="J592" i="12"/>
  <c r="J593" i="12" a="1"/>
  <c r="J593" i="12"/>
  <c r="J594" i="12" a="1"/>
  <c r="J594" i="12"/>
  <c r="J595" i="12" a="1"/>
  <c r="J595" i="12"/>
  <c r="I578" i="12" a="1"/>
  <c r="I578" i="12"/>
  <c r="I579" i="12" a="1"/>
  <c r="I579" i="12"/>
  <c r="I580" i="12" a="1"/>
  <c r="I580" i="12"/>
  <c r="I581" i="12" a="1"/>
  <c r="I581" i="12"/>
  <c r="I582" i="12" a="1"/>
  <c r="I582" i="12"/>
  <c r="I583" i="12" a="1"/>
  <c r="I583" i="12"/>
  <c r="I584" i="12" a="1"/>
  <c r="I584" i="12"/>
  <c r="I585" i="12" a="1"/>
  <c r="I585" i="12"/>
  <c r="I586" i="12" a="1"/>
  <c r="I586" i="12"/>
  <c r="I587" i="12" a="1"/>
  <c r="I587" i="12"/>
  <c r="I588" i="12" a="1"/>
  <c r="I588" i="12"/>
  <c r="I589" i="12" a="1"/>
  <c r="I589" i="12"/>
  <c r="I590" i="12" a="1"/>
  <c r="I590" i="12"/>
  <c r="I591" i="12" a="1"/>
  <c r="I591" i="12"/>
  <c r="I592" i="12" a="1"/>
  <c r="I592" i="12"/>
  <c r="I593" i="12" a="1"/>
  <c r="I593" i="12"/>
  <c r="I594" i="12" a="1"/>
  <c r="I594" i="12"/>
  <c r="I595" i="12" a="1"/>
  <c r="I595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Z35" i="7" s="1"/>
  <c r="AA35" i="7" a="1"/>
  <c r="AA35" i="7" s="1"/>
  <c r="AB35" i="7" a="1"/>
  <c r="AB35" i="7" s="1"/>
  <c r="D35" i="5"/>
  <c r="Z35" i="5" a="1"/>
  <c r="Z35" i="5"/>
  <c r="AA35" i="5" a="1"/>
  <c r="AA35" i="5"/>
  <c r="AB35" i="5" a="1"/>
  <c r="AB35" i="5"/>
  <c r="F20" i="6"/>
  <c r="F10" i="4" a="1"/>
  <c r="F10" i="4" s="1"/>
  <c r="H10" i="4" s="1"/>
  <c r="G10" i="4" a="1"/>
  <c r="G10" i="4" s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I470" i="12"/>
  <c r="J470" i="12" a="1"/>
  <c r="J470" i="12"/>
  <c r="K470" i="12" a="1"/>
  <c r="K470" i="12"/>
  <c r="I471" i="12" a="1"/>
  <c r="I471" i="12"/>
  <c r="J471" i="12" a="1"/>
  <c r="J471" i="12"/>
  <c r="K471" i="12" a="1"/>
  <c r="K471" i="12"/>
  <c r="I472" i="12" a="1"/>
  <c r="I472" i="12"/>
  <c r="J472" i="12" a="1"/>
  <c r="J472" i="12"/>
  <c r="K472" i="12" a="1"/>
  <c r="K472" i="12"/>
  <c r="I473" i="12" a="1"/>
  <c r="I473" i="12"/>
  <c r="J473" i="12" a="1"/>
  <c r="J473" i="12"/>
  <c r="K473" i="12" a="1"/>
  <c r="K473" i="12"/>
  <c r="I474" i="12" a="1"/>
  <c r="I474" i="12"/>
  <c r="J474" i="12" a="1"/>
  <c r="J474" i="12"/>
  <c r="K474" i="12" a="1"/>
  <c r="K474" i="12"/>
  <c r="I475" i="12" a="1"/>
  <c r="I475" i="12"/>
  <c r="J475" i="12" a="1"/>
  <c r="J475" i="12"/>
  <c r="K475" i="12" a="1"/>
  <c r="K475" i="12"/>
  <c r="I476" i="12" a="1"/>
  <c r="I476" i="12"/>
  <c r="J476" i="12" a="1"/>
  <c r="J476" i="12"/>
  <c r="K476" i="12" a="1"/>
  <c r="K476" i="12"/>
  <c r="I477" i="12" a="1"/>
  <c r="I477" i="12"/>
  <c r="J477" i="12" a="1"/>
  <c r="J477" i="12"/>
  <c r="K477" i="12" a="1"/>
  <c r="K477" i="12"/>
  <c r="I478" i="12" a="1"/>
  <c r="I478" i="12"/>
  <c r="J478" i="12" a="1"/>
  <c r="J478" i="12"/>
  <c r="K478" i="12" a="1"/>
  <c r="K478" i="12"/>
  <c r="I479" i="12" a="1"/>
  <c r="I479" i="12"/>
  <c r="J479" i="12" a="1"/>
  <c r="J479" i="12"/>
  <c r="K479" i="12" a="1"/>
  <c r="K479" i="12"/>
  <c r="I480" i="12" a="1"/>
  <c r="I480" i="12"/>
  <c r="J480" i="12" a="1"/>
  <c r="J480" i="12"/>
  <c r="K480" i="12" a="1"/>
  <c r="K480" i="12"/>
  <c r="I481" i="12" a="1"/>
  <c r="I481" i="12"/>
  <c r="J481" i="12" a="1"/>
  <c r="J481" i="12"/>
  <c r="K481" i="12" a="1"/>
  <c r="K481" i="12"/>
  <c r="I482" i="12" a="1"/>
  <c r="I482" i="12"/>
  <c r="J482" i="12" a="1"/>
  <c r="J482" i="12"/>
  <c r="K482" i="12" a="1"/>
  <c r="K482" i="12"/>
  <c r="I483" i="12" a="1"/>
  <c r="I483" i="12"/>
  <c r="J483" i="12" a="1"/>
  <c r="J483" i="12"/>
  <c r="K483" i="12" a="1"/>
  <c r="K483" i="12"/>
  <c r="I484" i="12" a="1"/>
  <c r="I484" i="12"/>
  <c r="J484" i="12" a="1"/>
  <c r="J484" i="12"/>
  <c r="K484" i="12" a="1"/>
  <c r="K484" i="12"/>
  <c r="I485" i="12" a="1"/>
  <c r="I485" i="12"/>
  <c r="J485" i="12" a="1"/>
  <c r="J485" i="12"/>
  <c r="K485" i="12" a="1"/>
  <c r="K485" i="12"/>
  <c r="I486" i="12" a="1"/>
  <c r="I486" i="12"/>
  <c r="J486" i="12" a="1"/>
  <c r="J486" i="12"/>
  <c r="K486" i="12" a="1"/>
  <c r="K486" i="12"/>
  <c r="I487" i="12" a="1"/>
  <c r="I487" i="12"/>
  <c r="J487" i="12" a="1"/>
  <c r="J487" i="12"/>
  <c r="K487" i="12" a="1"/>
  <c r="K487" i="12"/>
  <c r="I488" i="12" a="1"/>
  <c r="I488" i="12"/>
  <c r="J488" i="12" a="1"/>
  <c r="J488" i="12"/>
  <c r="K488" i="12" a="1"/>
  <c r="K488" i="12"/>
  <c r="I489" i="12" a="1"/>
  <c r="I489" i="12"/>
  <c r="J489" i="12" a="1"/>
  <c r="J489" i="12"/>
  <c r="K489" i="12" a="1"/>
  <c r="K489" i="12"/>
  <c r="I490" i="12" a="1"/>
  <c r="I490" i="12"/>
  <c r="J490" i="12" a="1"/>
  <c r="J490" i="12"/>
  <c r="K490" i="12" a="1"/>
  <c r="K490" i="12"/>
  <c r="I491" i="12" a="1"/>
  <c r="I491" i="12"/>
  <c r="J491" i="12" a="1"/>
  <c r="J491" i="12"/>
  <c r="K491" i="12" a="1"/>
  <c r="K491" i="12"/>
  <c r="I492" i="12" a="1"/>
  <c r="I492" i="12"/>
  <c r="J492" i="12" a="1"/>
  <c r="J492" i="12"/>
  <c r="K492" i="12" a="1"/>
  <c r="K492" i="12"/>
  <c r="I493" i="12" a="1"/>
  <c r="I493" i="12"/>
  <c r="J493" i="12" a="1"/>
  <c r="J493" i="12"/>
  <c r="K493" i="12" a="1"/>
  <c r="K493" i="12"/>
  <c r="I494" i="12" a="1"/>
  <c r="I494" i="12"/>
  <c r="J494" i="12" a="1"/>
  <c r="J494" i="12"/>
  <c r="K494" i="12" a="1"/>
  <c r="K494" i="12"/>
  <c r="I495" i="12" a="1"/>
  <c r="I495" i="12"/>
  <c r="J495" i="12" a="1"/>
  <c r="J495" i="12"/>
  <c r="K495" i="12" a="1"/>
  <c r="K495" i="12"/>
  <c r="I496" i="12" a="1"/>
  <c r="I496" i="12"/>
  <c r="J496" i="12" a="1"/>
  <c r="J496" i="12"/>
  <c r="K496" i="12" a="1"/>
  <c r="K496" i="12"/>
  <c r="I497" i="12" a="1"/>
  <c r="I497" i="12"/>
  <c r="J497" i="12" a="1"/>
  <c r="J497" i="12"/>
  <c r="K497" i="12" a="1"/>
  <c r="K497" i="12"/>
  <c r="I498" i="12" a="1"/>
  <c r="I498" i="12"/>
  <c r="J498" i="12" a="1"/>
  <c r="J498" i="12"/>
  <c r="K498" i="12" a="1"/>
  <c r="K498" i="12"/>
  <c r="I499" i="12" a="1"/>
  <c r="I499" i="12"/>
  <c r="J499" i="12" a="1"/>
  <c r="J499" i="12"/>
  <c r="K499" i="12" a="1"/>
  <c r="K499" i="12"/>
  <c r="I500" i="12" a="1"/>
  <c r="I500" i="12"/>
  <c r="J500" i="12" a="1"/>
  <c r="J500" i="12"/>
  <c r="K500" i="12" a="1"/>
  <c r="K500" i="12"/>
  <c r="I501" i="12" a="1"/>
  <c r="I501" i="12"/>
  <c r="J501" i="12" a="1"/>
  <c r="J501" i="12"/>
  <c r="K501" i="12" a="1"/>
  <c r="K501" i="12"/>
  <c r="I502" i="12" a="1"/>
  <c r="I502" i="12"/>
  <c r="J502" i="12" a="1"/>
  <c r="J502" i="12"/>
  <c r="K502" i="12" a="1"/>
  <c r="K502" i="12"/>
  <c r="I503" i="12" a="1"/>
  <c r="I503" i="12"/>
  <c r="J503" i="12" a="1"/>
  <c r="J503" i="12"/>
  <c r="K503" i="12" a="1"/>
  <c r="K503" i="12"/>
  <c r="I504" i="12" a="1"/>
  <c r="I504" i="12"/>
  <c r="J504" i="12" a="1"/>
  <c r="J504" i="12"/>
  <c r="K504" i="12" a="1"/>
  <c r="K504" i="12"/>
  <c r="I505" i="12" a="1"/>
  <c r="I505" i="12"/>
  <c r="J505" i="12" a="1"/>
  <c r="J505" i="12"/>
  <c r="K505" i="12" a="1"/>
  <c r="K505" i="12"/>
  <c r="I506" i="12" a="1"/>
  <c r="I506" i="12"/>
  <c r="J506" i="12" a="1"/>
  <c r="J506" i="12"/>
  <c r="K506" i="12" a="1"/>
  <c r="K506" i="12"/>
  <c r="I507" i="12" a="1"/>
  <c r="I507" i="12"/>
  <c r="J507" i="12" a="1"/>
  <c r="J507" i="12"/>
  <c r="K507" i="12" a="1"/>
  <c r="K507" i="12"/>
  <c r="I508" i="12" a="1"/>
  <c r="I508" i="12"/>
  <c r="J508" i="12" a="1"/>
  <c r="J508" i="12"/>
  <c r="K508" i="12" a="1"/>
  <c r="K508" i="12"/>
  <c r="I509" i="12" a="1"/>
  <c r="I509" i="12"/>
  <c r="J509" i="12" a="1"/>
  <c r="J509" i="12"/>
  <c r="K509" i="12" a="1"/>
  <c r="K509" i="12"/>
  <c r="I510" i="12" a="1"/>
  <c r="I510" i="12"/>
  <c r="J510" i="12" a="1"/>
  <c r="J510" i="12"/>
  <c r="K510" i="12" a="1"/>
  <c r="K510" i="12"/>
  <c r="I511" i="12" a="1"/>
  <c r="I511" i="12"/>
  <c r="J511" i="12" a="1"/>
  <c r="J511" i="12"/>
  <c r="K511" i="12" a="1"/>
  <c r="K511" i="12"/>
  <c r="I512" i="12" a="1"/>
  <c r="I512" i="12"/>
  <c r="J512" i="12" a="1"/>
  <c r="J512" i="12"/>
  <c r="K512" i="12" a="1"/>
  <c r="K512" i="12"/>
  <c r="I513" i="12" a="1"/>
  <c r="I513" i="12"/>
  <c r="J513" i="12" a="1"/>
  <c r="J513" i="12"/>
  <c r="K513" i="12" a="1"/>
  <c r="K513" i="12"/>
  <c r="I514" i="12" a="1"/>
  <c r="I514" i="12"/>
  <c r="J514" i="12" a="1"/>
  <c r="J514" i="12"/>
  <c r="K514" i="12" a="1"/>
  <c r="K514" i="12"/>
  <c r="I515" i="12" a="1"/>
  <c r="I515" i="12"/>
  <c r="J515" i="12" a="1"/>
  <c r="J515" i="12"/>
  <c r="K515" i="12" a="1"/>
  <c r="K515" i="12"/>
  <c r="I516" i="12" a="1"/>
  <c r="I516" i="12"/>
  <c r="J516" i="12" a="1"/>
  <c r="J516" i="12"/>
  <c r="K516" i="12" a="1"/>
  <c r="K516" i="12"/>
  <c r="I517" i="12" a="1"/>
  <c r="I517" i="12"/>
  <c r="J517" i="12" a="1"/>
  <c r="J517" i="12"/>
  <c r="K517" i="12" a="1"/>
  <c r="K517" i="12"/>
  <c r="I518" i="12" a="1"/>
  <c r="I518" i="12"/>
  <c r="J518" i="12" a="1"/>
  <c r="J518" i="12"/>
  <c r="K518" i="12" a="1"/>
  <c r="K518" i="12"/>
  <c r="I519" i="12" a="1"/>
  <c r="I519" i="12"/>
  <c r="J519" i="12" a="1"/>
  <c r="J519" i="12"/>
  <c r="K519" i="12" a="1"/>
  <c r="K519" i="12"/>
  <c r="I520" i="12" a="1"/>
  <c r="I520" i="12"/>
  <c r="J520" i="12" a="1"/>
  <c r="J520" i="12"/>
  <c r="K520" i="12" a="1"/>
  <c r="K520" i="12"/>
  <c r="I521" i="12" a="1"/>
  <c r="I521" i="12"/>
  <c r="J521" i="12" a="1"/>
  <c r="J521" i="12"/>
  <c r="K521" i="12" a="1"/>
  <c r="K521" i="12"/>
  <c r="I522" i="12" a="1"/>
  <c r="I522" i="12"/>
  <c r="J522" i="12" a="1"/>
  <c r="J522" i="12"/>
  <c r="K522" i="12" a="1"/>
  <c r="K522" i="12"/>
  <c r="I523" i="12" a="1"/>
  <c r="I523" i="12"/>
  <c r="J523" i="12" a="1"/>
  <c r="J523" i="12"/>
  <c r="K523" i="12" a="1"/>
  <c r="K523" i="12"/>
  <c r="I524" i="12" a="1"/>
  <c r="I524" i="12"/>
  <c r="J524" i="12" a="1"/>
  <c r="J524" i="12"/>
  <c r="K524" i="12" a="1"/>
  <c r="K524" i="12"/>
  <c r="I525" i="12" a="1"/>
  <c r="I525" i="12"/>
  <c r="J525" i="12" a="1"/>
  <c r="J525" i="12"/>
  <c r="K525" i="12" a="1"/>
  <c r="K525" i="12"/>
  <c r="I526" i="12" a="1"/>
  <c r="I526" i="12"/>
  <c r="J526" i="12" a="1"/>
  <c r="J526" i="12"/>
  <c r="K526" i="12" a="1"/>
  <c r="K526" i="12"/>
  <c r="I527" i="12" a="1"/>
  <c r="I527" i="12"/>
  <c r="J527" i="12" a="1"/>
  <c r="J527" i="12"/>
  <c r="K527" i="12" a="1"/>
  <c r="K527" i="12"/>
  <c r="I528" i="12" a="1"/>
  <c r="I528" i="12"/>
  <c r="J528" i="12" a="1"/>
  <c r="J528" i="12"/>
  <c r="K528" i="12" a="1"/>
  <c r="K528" i="12"/>
  <c r="I529" i="12" a="1"/>
  <c r="I529" i="12"/>
  <c r="J529" i="12" a="1"/>
  <c r="J529" i="12"/>
  <c r="K529" i="12" a="1"/>
  <c r="K529" i="12"/>
  <c r="I530" i="12" a="1"/>
  <c r="I530" i="12"/>
  <c r="J530" i="12" a="1"/>
  <c r="J530" i="12"/>
  <c r="K530" i="12" a="1"/>
  <c r="K530" i="12"/>
  <c r="I531" i="12" a="1"/>
  <c r="I531" i="12"/>
  <c r="J531" i="12" a="1"/>
  <c r="J531" i="12"/>
  <c r="K531" i="12" a="1"/>
  <c r="K531" i="12"/>
  <c r="I532" i="12" a="1"/>
  <c r="I532" i="12"/>
  <c r="J532" i="12" a="1"/>
  <c r="J532" i="12"/>
  <c r="K532" i="12" a="1"/>
  <c r="K532" i="12"/>
  <c r="I533" i="12" a="1"/>
  <c r="I533" i="12"/>
  <c r="J533" i="12" a="1"/>
  <c r="J533" i="12"/>
  <c r="K533" i="12" a="1"/>
  <c r="K533" i="12"/>
  <c r="I534" i="12" a="1"/>
  <c r="I534" i="12"/>
  <c r="J534" i="12" a="1"/>
  <c r="J534" i="12"/>
  <c r="K534" i="12" a="1"/>
  <c r="K534" i="12"/>
  <c r="I535" i="12" a="1"/>
  <c r="I535" i="12"/>
  <c r="J535" i="12" a="1"/>
  <c r="J535" i="12"/>
  <c r="K535" i="12" a="1"/>
  <c r="K535" i="12"/>
  <c r="I536" i="12" a="1"/>
  <c r="I536" i="12"/>
  <c r="J536" i="12" a="1"/>
  <c r="J536" i="12"/>
  <c r="K536" i="12" a="1"/>
  <c r="K536" i="12"/>
  <c r="I537" i="12" a="1"/>
  <c r="I537" i="12"/>
  <c r="J537" i="12" a="1"/>
  <c r="J537" i="12"/>
  <c r="K537" i="12" a="1"/>
  <c r="K537" i="12"/>
  <c r="I538" i="12" a="1"/>
  <c r="I538" i="12"/>
  <c r="J538" i="12" a="1"/>
  <c r="J538" i="12"/>
  <c r="K538" i="12" a="1"/>
  <c r="K538" i="12"/>
  <c r="I539" i="12" a="1"/>
  <c r="I539" i="12"/>
  <c r="J539" i="12" a="1"/>
  <c r="J539" i="12"/>
  <c r="K539" i="12" a="1"/>
  <c r="K539" i="12"/>
  <c r="I540" i="12" a="1"/>
  <c r="I540" i="12"/>
  <c r="J540" i="12" a="1"/>
  <c r="J540" i="12"/>
  <c r="K540" i="12" a="1"/>
  <c r="K540" i="12"/>
  <c r="I541" i="12" a="1"/>
  <c r="I541" i="12"/>
  <c r="J541" i="12" a="1"/>
  <c r="J541" i="12"/>
  <c r="K541" i="12" a="1"/>
  <c r="K541" i="12"/>
  <c r="I542" i="12" a="1"/>
  <c r="I542" i="12"/>
  <c r="J542" i="12" a="1"/>
  <c r="J542" i="12"/>
  <c r="K542" i="12" a="1"/>
  <c r="K542" i="12"/>
  <c r="I543" i="12" a="1"/>
  <c r="I543" i="12"/>
  <c r="J543" i="12" a="1"/>
  <c r="J543" i="12"/>
  <c r="K543" i="12" a="1"/>
  <c r="K543" i="12"/>
  <c r="I544" i="12" a="1"/>
  <c r="I544" i="12"/>
  <c r="J544" i="12" a="1"/>
  <c r="J544" i="12"/>
  <c r="K544" i="12" a="1"/>
  <c r="K544" i="12"/>
  <c r="I545" i="12" a="1"/>
  <c r="I545" i="12"/>
  <c r="J545" i="12" a="1"/>
  <c r="J545" i="12"/>
  <c r="K545" i="12" a="1"/>
  <c r="K545" i="12"/>
  <c r="I546" i="12" a="1"/>
  <c r="I546" i="12"/>
  <c r="J546" i="12" a="1"/>
  <c r="J546" i="12"/>
  <c r="K546" i="12" a="1"/>
  <c r="K546" i="12"/>
  <c r="I547" i="12" a="1"/>
  <c r="I547" i="12"/>
  <c r="J547" i="12" a="1"/>
  <c r="J547" i="12"/>
  <c r="K547" i="12" a="1"/>
  <c r="K547" i="12"/>
  <c r="I548" i="12" a="1"/>
  <c r="I548" i="12"/>
  <c r="J548" i="12" a="1"/>
  <c r="J548" i="12"/>
  <c r="K548" i="12" a="1"/>
  <c r="K548" i="12"/>
  <c r="I549" i="12" a="1"/>
  <c r="I549" i="12"/>
  <c r="J549" i="12" a="1"/>
  <c r="J549" i="12"/>
  <c r="K549" i="12" a="1"/>
  <c r="K549" i="12"/>
  <c r="I550" i="12" a="1"/>
  <c r="I550" i="12"/>
  <c r="J550" i="12" a="1"/>
  <c r="J550" i="12"/>
  <c r="K550" i="12" a="1"/>
  <c r="K550" i="12"/>
  <c r="I551" i="12" a="1"/>
  <c r="I551" i="12"/>
  <c r="J551" i="12" a="1"/>
  <c r="J551" i="12"/>
  <c r="K551" i="12" a="1"/>
  <c r="K551" i="12"/>
  <c r="I552" i="12" a="1"/>
  <c r="I552" i="12"/>
  <c r="J552" i="12" a="1"/>
  <c r="J552" i="12"/>
  <c r="K552" i="12" a="1"/>
  <c r="K552" i="12"/>
  <c r="I553" i="12" a="1"/>
  <c r="I553" i="12"/>
  <c r="J553" i="12" a="1"/>
  <c r="J553" i="12"/>
  <c r="K553" i="12" a="1"/>
  <c r="K553" i="12"/>
  <c r="I554" i="12" a="1"/>
  <c r="I554" i="12"/>
  <c r="J554" i="12" a="1"/>
  <c r="J554" i="12"/>
  <c r="K554" i="12" a="1"/>
  <c r="K554" i="12"/>
  <c r="I555" i="12" a="1"/>
  <c r="I555" i="12"/>
  <c r="J555" i="12" a="1"/>
  <c r="J555" i="12"/>
  <c r="K555" i="12" a="1"/>
  <c r="K555" i="12"/>
  <c r="I556" i="12" a="1"/>
  <c r="I556" i="12"/>
  <c r="J556" i="12" a="1"/>
  <c r="J556" i="12"/>
  <c r="K556" i="12" a="1"/>
  <c r="K556" i="12"/>
  <c r="I557" i="12" a="1"/>
  <c r="I557" i="12"/>
  <c r="J557" i="12" a="1"/>
  <c r="J557" i="12"/>
  <c r="K557" i="12" a="1"/>
  <c r="K557" i="12"/>
  <c r="I558" i="12" a="1"/>
  <c r="I558" i="12"/>
  <c r="J558" i="12" a="1"/>
  <c r="J558" i="12"/>
  <c r="K558" i="12" a="1"/>
  <c r="K558" i="12"/>
  <c r="I559" i="12" a="1"/>
  <c r="I559" i="12"/>
  <c r="J559" i="12" a="1"/>
  <c r="J559" i="12"/>
  <c r="K559" i="12" a="1"/>
  <c r="K559" i="12"/>
  <c r="I560" i="12" a="1"/>
  <c r="I560" i="12"/>
  <c r="J560" i="12" a="1"/>
  <c r="J560" i="12"/>
  <c r="K560" i="12" a="1"/>
  <c r="K560" i="12"/>
  <c r="I561" i="12" a="1"/>
  <c r="I561" i="12"/>
  <c r="J561" i="12" a="1"/>
  <c r="J561" i="12"/>
  <c r="K561" i="12" a="1"/>
  <c r="K561" i="12"/>
  <c r="I562" i="12" a="1"/>
  <c r="I562" i="12"/>
  <c r="J562" i="12" a="1"/>
  <c r="J562" i="12"/>
  <c r="K562" i="12" a="1"/>
  <c r="K562" i="12"/>
  <c r="I563" i="12" a="1"/>
  <c r="I563" i="12"/>
  <c r="J563" i="12" a="1"/>
  <c r="J563" i="12"/>
  <c r="K563" i="12" a="1"/>
  <c r="K563" i="12"/>
  <c r="I564" i="12" a="1"/>
  <c r="I564" i="12"/>
  <c r="J564" i="12" a="1"/>
  <c r="J564" i="12"/>
  <c r="K564" i="12" a="1"/>
  <c r="K564" i="12"/>
  <c r="I565" i="12" a="1"/>
  <c r="I565" i="12"/>
  <c r="J565" i="12" a="1"/>
  <c r="J565" i="12"/>
  <c r="K565" i="12" a="1"/>
  <c r="K565" i="12"/>
  <c r="I566" i="12" a="1"/>
  <c r="I566" i="12"/>
  <c r="J566" i="12" a="1"/>
  <c r="J566" i="12"/>
  <c r="K566" i="12" a="1"/>
  <c r="K566" i="12"/>
  <c r="I567" i="12" a="1"/>
  <c r="I567" i="12"/>
  <c r="J567" i="12" a="1"/>
  <c r="J567" i="12"/>
  <c r="K567" i="12" a="1"/>
  <c r="K567" i="12"/>
  <c r="I568" i="12" a="1"/>
  <c r="I568" i="12"/>
  <c r="J568" i="12" a="1"/>
  <c r="J568" i="12"/>
  <c r="K568" i="12" a="1"/>
  <c r="K568" i="12"/>
  <c r="I569" i="12" a="1"/>
  <c r="I569" i="12"/>
  <c r="J569" i="12" a="1"/>
  <c r="J569" i="12"/>
  <c r="K569" i="12" a="1"/>
  <c r="K569" i="12"/>
  <c r="I570" i="12" a="1"/>
  <c r="I570" i="12"/>
  <c r="J570" i="12" a="1"/>
  <c r="J570" i="12"/>
  <c r="K570" i="12" a="1"/>
  <c r="K570" i="12"/>
  <c r="I571" i="12" a="1"/>
  <c r="I571" i="12"/>
  <c r="J571" i="12" a="1"/>
  <c r="J571" i="12"/>
  <c r="K571" i="12" a="1"/>
  <c r="K571" i="12"/>
  <c r="I572" i="12" a="1"/>
  <c r="I572" i="12"/>
  <c r="J572" i="12" a="1"/>
  <c r="J572" i="12"/>
  <c r="K572" i="12" a="1"/>
  <c r="K572" i="12"/>
  <c r="I573" i="12" a="1"/>
  <c r="I573" i="12"/>
  <c r="J573" i="12" a="1"/>
  <c r="J573" i="12"/>
  <c r="K573" i="12" a="1"/>
  <c r="K573" i="12"/>
  <c r="I574" i="12" a="1"/>
  <c r="I574" i="12"/>
  <c r="J574" i="12" a="1"/>
  <c r="J574" i="12"/>
  <c r="K574" i="12" a="1"/>
  <c r="K574" i="12"/>
  <c r="I575" i="12" a="1"/>
  <c r="I575" i="12"/>
  <c r="J575" i="12" a="1"/>
  <c r="J575" i="12"/>
  <c r="K575" i="12" a="1"/>
  <c r="K575" i="12"/>
  <c r="I576" i="12" a="1"/>
  <c r="I576" i="12"/>
  <c r="J576" i="12" a="1"/>
  <c r="J576" i="12"/>
  <c r="K576" i="12" a="1"/>
  <c r="K576" i="12"/>
  <c r="I577" i="12" a="1"/>
  <c r="I577" i="12"/>
  <c r="J577" i="12" a="1"/>
  <c r="J577" i="12"/>
  <c r="K577" i="12" a="1"/>
  <c r="K577" i="12"/>
  <c r="I128" i="12" a="1"/>
  <c r="I128" i="12"/>
  <c r="J128" i="12" a="1"/>
  <c r="J128" i="12"/>
  <c r="K128" i="12" a="1"/>
  <c r="K128" i="12"/>
  <c r="I129" i="12" a="1"/>
  <c r="I129" i="12"/>
  <c r="J129" i="12" a="1"/>
  <c r="J129" i="12"/>
  <c r="K129" i="12" a="1"/>
  <c r="K129" i="12"/>
  <c r="I130" i="12" a="1"/>
  <c r="I130" i="12"/>
  <c r="J130" i="12" a="1"/>
  <c r="J130" i="12"/>
  <c r="K130" i="12" a="1"/>
  <c r="K130" i="12"/>
  <c r="I131" i="12" a="1"/>
  <c r="I131" i="12"/>
  <c r="J131" i="12" a="1"/>
  <c r="J131" i="12"/>
  <c r="K131" i="12" a="1"/>
  <c r="K131" i="12"/>
  <c r="I132" i="12" a="1"/>
  <c r="I132" i="12"/>
  <c r="J132" i="12" a="1"/>
  <c r="J132" i="12"/>
  <c r="K132" i="12" a="1"/>
  <c r="K132" i="12"/>
  <c r="I133" i="12" a="1"/>
  <c r="I133" i="12"/>
  <c r="J133" i="12" a="1"/>
  <c r="J133" i="12"/>
  <c r="K133" i="12" a="1"/>
  <c r="K133" i="12"/>
  <c r="I134" i="12" a="1"/>
  <c r="I134" i="12"/>
  <c r="J134" i="12" a="1"/>
  <c r="J134" i="12"/>
  <c r="K134" i="12" a="1"/>
  <c r="K134" i="12"/>
  <c r="I135" i="12" a="1"/>
  <c r="I135" i="12"/>
  <c r="J135" i="12" a="1"/>
  <c r="J135" i="12"/>
  <c r="K135" i="12" a="1"/>
  <c r="K135" i="12"/>
  <c r="I136" i="12" a="1"/>
  <c r="I136" i="12"/>
  <c r="J136" i="12" a="1"/>
  <c r="J136" i="12"/>
  <c r="K136" i="12" a="1"/>
  <c r="K136" i="12"/>
  <c r="I137" i="12" a="1"/>
  <c r="I137" i="12"/>
  <c r="J137" i="12" a="1"/>
  <c r="J137" i="12"/>
  <c r="K137" i="12" a="1"/>
  <c r="K137" i="12"/>
  <c r="I138" i="12" a="1"/>
  <c r="I138" i="12"/>
  <c r="J138" i="12" a="1"/>
  <c r="J138" i="12"/>
  <c r="K138" i="12" a="1"/>
  <c r="K138" i="12"/>
  <c r="I139" i="12" a="1"/>
  <c r="I139" i="12"/>
  <c r="J139" i="12" a="1"/>
  <c r="J139" i="12"/>
  <c r="K139" i="12" a="1"/>
  <c r="K139" i="12"/>
  <c r="I140" i="12" a="1"/>
  <c r="I140" i="12"/>
  <c r="J140" i="12" a="1"/>
  <c r="J140" i="12"/>
  <c r="K140" i="12" a="1"/>
  <c r="K140" i="12"/>
  <c r="I141" i="12" a="1"/>
  <c r="I141" i="12"/>
  <c r="J141" i="12" a="1"/>
  <c r="J141" i="12"/>
  <c r="K141" i="12" a="1"/>
  <c r="K141" i="12"/>
  <c r="I142" i="12" a="1"/>
  <c r="I142" i="12"/>
  <c r="J142" i="12" a="1"/>
  <c r="J142" i="12"/>
  <c r="K142" i="12" a="1"/>
  <c r="K142" i="12"/>
  <c r="I143" i="12" a="1"/>
  <c r="I143" i="12"/>
  <c r="J143" i="12" a="1"/>
  <c r="J143" i="12"/>
  <c r="K143" i="12" a="1"/>
  <c r="K143" i="12"/>
  <c r="I144" i="12" a="1"/>
  <c r="I144" i="12"/>
  <c r="J144" i="12" a="1"/>
  <c r="J144" i="12"/>
  <c r="K144" i="12" a="1"/>
  <c r="K144" i="12"/>
  <c r="I145" i="12" a="1"/>
  <c r="I145" i="12"/>
  <c r="J145" i="12" a="1"/>
  <c r="J145" i="12"/>
  <c r="K145" i="12" a="1"/>
  <c r="K145" i="12"/>
  <c r="I146" i="12" a="1"/>
  <c r="I146" i="12"/>
  <c r="J146" i="12" a="1"/>
  <c r="J146" i="12"/>
  <c r="K146" i="12" a="1"/>
  <c r="K146" i="12"/>
  <c r="I147" i="12" a="1"/>
  <c r="I147" i="12"/>
  <c r="J147" i="12" a="1"/>
  <c r="J147" i="12"/>
  <c r="K147" i="12" a="1"/>
  <c r="K147" i="12"/>
  <c r="I148" i="12" a="1"/>
  <c r="I148" i="12"/>
  <c r="J148" i="12" a="1"/>
  <c r="J148" i="12"/>
  <c r="K148" i="12" a="1"/>
  <c r="K148" i="12"/>
  <c r="I149" i="12" a="1"/>
  <c r="I149" i="12"/>
  <c r="J149" i="12" a="1"/>
  <c r="J149" i="12"/>
  <c r="K149" i="12" a="1"/>
  <c r="K149" i="12"/>
  <c r="I150" i="12" a="1"/>
  <c r="I150" i="12"/>
  <c r="J150" i="12" a="1"/>
  <c r="J150" i="12"/>
  <c r="K150" i="12" a="1"/>
  <c r="K150" i="12"/>
  <c r="I151" i="12" a="1"/>
  <c r="I151" i="12"/>
  <c r="J151" i="12" a="1"/>
  <c r="J151" i="12"/>
  <c r="K151" i="12" a="1"/>
  <c r="K151" i="12"/>
  <c r="I152" i="12" a="1"/>
  <c r="I152" i="12"/>
  <c r="J152" i="12" a="1"/>
  <c r="J152" i="12"/>
  <c r="K152" i="12" a="1"/>
  <c r="K152" i="12"/>
  <c r="I153" i="12" a="1"/>
  <c r="I153" i="12"/>
  <c r="J153" i="12" a="1"/>
  <c r="J153" i="12"/>
  <c r="K153" i="12" a="1"/>
  <c r="K153" i="12"/>
  <c r="I154" i="12" a="1"/>
  <c r="I154" i="12"/>
  <c r="J154" i="12" a="1"/>
  <c r="J154" i="12"/>
  <c r="K154" i="12" a="1"/>
  <c r="K154" i="12"/>
  <c r="I155" i="12" a="1"/>
  <c r="I155" i="12"/>
  <c r="J155" i="12" a="1"/>
  <c r="J155" i="12"/>
  <c r="K155" i="12" a="1"/>
  <c r="K155" i="12"/>
  <c r="I156" i="12" a="1"/>
  <c r="I156" i="12"/>
  <c r="J156" i="12" a="1"/>
  <c r="J156" i="12"/>
  <c r="K156" i="12" a="1"/>
  <c r="K156" i="12"/>
  <c r="I157" i="12" a="1"/>
  <c r="I157" i="12"/>
  <c r="J157" i="12" a="1"/>
  <c r="J157" i="12"/>
  <c r="K157" i="12" a="1"/>
  <c r="K157" i="12"/>
  <c r="I158" i="12" a="1"/>
  <c r="I158" i="12"/>
  <c r="J158" i="12" a="1"/>
  <c r="J158" i="12"/>
  <c r="K158" i="12" a="1"/>
  <c r="K158" i="12"/>
  <c r="I159" i="12" a="1"/>
  <c r="I159" i="12"/>
  <c r="J159" i="12" a="1"/>
  <c r="J159" i="12"/>
  <c r="K159" i="12" a="1"/>
  <c r="K159" i="12"/>
  <c r="I160" i="12" a="1"/>
  <c r="I160" i="12"/>
  <c r="J160" i="12" a="1"/>
  <c r="J160" i="12"/>
  <c r="K160" i="12" a="1"/>
  <c r="K160" i="12"/>
  <c r="I161" i="12" a="1"/>
  <c r="I161" i="12"/>
  <c r="J161" i="12" a="1"/>
  <c r="J161" i="12"/>
  <c r="K161" i="12" a="1"/>
  <c r="K161" i="12"/>
  <c r="I162" i="12" a="1"/>
  <c r="I162" i="12"/>
  <c r="J162" i="12" a="1"/>
  <c r="J162" i="12"/>
  <c r="K162" i="12" a="1"/>
  <c r="K162" i="12"/>
  <c r="I163" i="12" a="1"/>
  <c r="I163" i="12"/>
  <c r="J163" i="12" a="1"/>
  <c r="J163" i="12"/>
  <c r="K163" i="12" a="1"/>
  <c r="K163" i="12"/>
  <c r="I164" i="12" a="1"/>
  <c r="I164" i="12"/>
  <c r="J164" i="12" a="1"/>
  <c r="J164" i="12"/>
  <c r="K164" i="12" a="1"/>
  <c r="K164" i="12"/>
  <c r="I165" i="12" a="1"/>
  <c r="I165" i="12"/>
  <c r="J165" i="12" a="1"/>
  <c r="J165" i="12"/>
  <c r="K165" i="12" a="1"/>
  <c r="K165" i="12"/>
  <c r="I166" i="12" a="1"/>
  <c r="I166" i="12"/>
  <c r="J166" i="12" a="1"/>
  <c r="J166" i="12"/>
  <c r="K166" i="12" a="1"/>
  <c r="K166" i="12"/>
  <c r="I167" i="12" a="1"/>
  <c r="I167" i="12"/>
  <c r="J167" i="12" a="1"/>
  <c r="J167" i="12"/>
  <c r="K167" i="12" a="1"/>
  <c r="K167" i="12"/>
  <c r="I168" i="12" a="1"/>
  <c r="I168" i="12"/>
  <c r="J168" i="12" a="1"/>
  <c r="J168" i="12"/>
  <c r="K168" i="12" a="1"/>
  <c r="K168" i="12"/>
  <c r="I169" i="12" a="1"/>
  <c r="I169" i="12"/>
  <c r="J169" i="12" a="1"/>
  <c r="J169" i="12"/>
  <c r="K169" i="12" a="1"/>
  <c r="K169" i="12"/>
  <c r="I170" i="12" a="1"/>
  <c r="I170" i="12"/>
  <c r="J170" i="12" a="1"/>
  <c r="J170" i="12"/>
  <c r="K170" i="12" a="1"/>
  <c r="K170" i="12"/>
  <c r="I171" i="12" a="1"/>
  <c r="I171" i="12"/>
  <c r="J171" i="12" a="1"/>
  <c r="J171" i="12"/>
  <c r="K171" i="12" a="1"/>
  <c r="K171" i="12"/>
  <c r="I172" i="12" a="1"/>
  <c r="I172" i="12"/>
  <c r="J172" i="12" a="1"/>
  <c r="J172" i="12"/>
  <c r="K172" i="12" a="1"/>
  <c r="K172" i="12"/>
  <c r="I173" i="12" a="1"/>
  <c r="I173" i="12"/>
  <c r="J173" i="12" a="1"/>
  <c r="J173" i="12"/>
  <c r="K173" i="12" a="1"/>
  <c r="K173" i="12"/>
  <c r="I174" i="12" a="1"/>
  <c r="I174" i="12"/>
  <c r="J174" i="12" a="1"/>
  <c r="J174" i="12"/>
  <c r="K174" i="12" a="1"/>
  <c r="K174" i="12"/>
  <c r="I175" i="12" a="1"/>
  <c r="I175" i="12"/>
  <c r="J175" i="12" a="1"/>
  <c r="J175" i="12"/>
  <c r="K175" i="12" a="1"/>
  <c r="K175" i="12"/>
  <c r="I176" i="12" a="1"/>
  <c r="I176" i="12"/>
  <c r="J176" i="12" a="1"/>
  <c r="J176" i="12"/>
  <c r="K176" i="12" a="1"/>
  <c r="K176" i="12"/>
  <c r="I177" i="12" a="1"/>
  <c r="I177" i="12"/>
  <c r="J177" i="12" a="1"/>
  <c r="J177" i="12"/>
  <c r="K177" i="12" a="1"/>
  <c r="K177" i="12"/>
  <c r="I178" i="12" a="1"/>
  <c r="I178" i="12"/>
  <c r="J178" i="12" a="1"/>
  <c r="J178" i="12"/>
  <c r="K178" i="12" a="1"/>
  <c r="K178" i="12"/>
  <c r="I179" i="12" a="1"/>
  <c r="I179" i="12"/>
  <c r="J179" i="12" a="1"/>
  <c r="J179" i="12"/>
  <c r="K179" i="12" a="1"/>
  <c r="K179" i="12"/>
  <c r="I180" i="12" a="1"/>
  <c r="I180" i="12"/>
  <c r="J180" i="12" a="1"/>
  <c r="J180" i="12"/>
  <c r="K180" i="12" a="1"/>
  <c r="K180" i="12"/>
  <c r="I181" i="12" a="1"/>
  <c r="I181" i="12"/>
  <c r="J181" i="12" a="1"/>
  <c r="J181" i="12"/>
  <c r="K181" i="12" a="1"/>
  <c r="K181" i="12"/>
  <c r="I182" i="12" a="1"/>
  <c r="I182" i="12"/>
  <c r="J182" i="12" a="1"/>
  <c r="J182" i="12"/>
  <c r="K182" i="12" a="1"/>
  <c r="K182" i="12"/>
  <c r="I183" i="12" a="1"/>
  <c r="I183" i="12"/>
  <c r="J183" i="12" a="1"/>
  <c r="J183" i="12"/>
  <c r="K183" i="12" a="1"/>
  <c r="K183" i="12"/>
  <c r="I184" i="12" a="1"/>
  <c r="I184" i="12"/>
  <c r="J184" i="12" a="1"/>
  <c r="J184" i="12"/>
  <c r="K184" i="12" a="1"/>
  <c r="K184" i="12"/>
  <c r="I185" i="12" a="1"/>
  <c r="I185" i="12"/>
  <c r="J185" i="12" a="1"/>
  <c r="J185" i="12"/>
  <c r="K185" i="12" a="1"/>
  <c r="K185" i="12"/>
  <c r="I186" i="12" a="1"/>
  <c r="I186" i="12"/>
  <c r="J186" i="12" a="1"/>
  <c r="J186" i="12"/>
  <c r="K186" i="12" a="1"/>
  <c r="K186" i="12"/>
  <c r="I187" i="12" a="1"/>
  <c r="I187" i="12"/>
  <c r="J187" i="12" a="1"/>
  <c r="J187" i="12"/>
  <c r="K187" i="12" a="1"/>
  <c r="K187" i="12"/>
  <c r="I188" i="12" a="1"/>
  <c r="I188" i="12"/>
  <c r="J188" i="12" a="1"/>
  <c r="J188" i="12"/>
  <c r="K188" i="12" a="1"/>
  <c r="K188" i="12"/>
  <c r="I189" i="12" a="1"/>
  <c r="I189" i="12"/>
  <c r="J189" i="12" a="1"/>
  <c r="J189" i="12"/>
  <c r="K189" i="12" a="1"/>
  <c r="K189" i="12"/>
  <c r="I190" i="12" a="1"/>
  <c r="I190" i="12"/>
  <c r="J190" i="12" a="1"/>
  <c r="J190" i="12"/>
  <c r="K190" i="12" a="1"/>
  <c r="K190" i="12"/>
  <c r="I191" i="12" a="1"/>
  <c r="I191" i="12"/>
  <c r="J191" i="12" a="1"/>
  <c r="J191" i="12"/>
  <c r="K191" i="12" a="1"/>
  <c r="K191" i="12"/>
  <c r="I192" i="12" a="1"/>
  <c r="I192" i="12"/>
  <c r="J192" i="12" a="1"/>
  <c r="J192" i="12"/>
  <c r="K192" i="12" a="1"/>
  <c r="K192" i="12"/>
  <c r="I193" i="12" a="1"/>
  <c r="I193" i="12"/>
  <c r="J193" i="12" a="1"/>
  <c r="J193" i="12"/>
  <c r="K193" i="12" a="1"/>
  <c r="K193" i="12"/>
  <c r="I194" i="12" a="1"/>
  <c r="I194" i="12"/>
  <c r="J194" i="12" a="1"/>
  <c r="J194" i="12"/>
  <c r="K194" i="12" a="1"/>
  <c r="K194" i="12"/>
  <c r="I195" i="12" a="1"/>
  <c r="I195" i="12"/>
  <c r="J195" i="12" a="1"/>
  <c r="J195" i="12"/>
  <c r="K195" i="12" a="1"/>
  <c r="K195" i="12"/>
  <c r="I196" i="12" a="1"/>
  <c r="I196" i="12"/>
  <c r="J196" i="12" a="1"/>
  <c r="J196" i="12"/>
  <c r="K196" i="12" a="1"/>
  <c r="K196" i="12"/>
  <c r="I197" i="12" a="1"/>
  <c r="I197" i="12"/>
  <c r="J197" i="12" a="1"/>
  <c r="J197" i="12"/>
  <c r="K197" i="12" a="1"/>
  <c r="K197" i="12"/>
  <c r="I198" i="12" a="1"/>
  <c r="I198" i="12"/>
  <c r="J198" i="12" a="1"/>
  <c r="J198" i="12"/>
  <c r="K198" i="12" a="1"/>
  <c r="K198" i="12"/>
  <c r="I199" i="12" a="1"/>
  <c r="I199" i="12"/>
  <c r="J199" i="12" a="1"/>
  <c r="J199" i="12"/>
  <c r="K199" i="12" a="1"/>
  <c r="K199" i="12"/>
  <c r="I200" i="12" a="1"/>
  <c r="I200" i="12"/>
  <c r="J200" i="12" a="1"/>
  <c r="J200" i="12"/>
  <c r="K200" i="12" a="1"/>
  <c r="K200" i="12"/>
  <c r="I201" i="12" a="1"/>
  <c r="I201" i="12"/>
  <c r="J201" i="12" a="1"/>
  <c r="J201" i="12"/>
  <c r="K201" i="12" a="1"/>
  <c r="K201" i="12"/>
  <c r="I202" i="12" a="1"/>
  <c r="I202" i="12"/>
  <c r="J202" i="12" a="1"/>
  <c r="J202" i="12"/>
  <c r="K202" i="12" a="1"/>
  <c r="K202" i="12"/>
  <c r="I203" i="12" a="1"/>
  <c r="I203" i="12"/>
  <c r="J203" i="12" a="1"/>
  <c r="J203" i="12"/>
  <c r="K203" i="12" a="1"/>
  <c r="K203" i="12"/>
  <c r="I204" i="12" a="1"/>
  <c r="I204" i="12"/>
  <c r="J204" i="12" a="1"/>
  <c r="J204" i="12"/>
  <c r="K204" i="12" a="1"/>
  <c r="K204" i="12"/>
  <c r="I205" i="12" a="1"/>
  <c r="I205" i="12"/>
  <c r="J205" i="12" a="1"/>
  <c r="J205" i="12"/>
  <c r="K205" i="12" a="1"/>
  <c r="K205" i="12"/>
  <c r="I206" i="12" a="1"/>
  <c r="I206" i="12"/>
  <c r="J206" i="12" a="1"/>
  <c r="J206" i="12"/>
  <c r="K206" i="12" a="1"/>
  <c r="K206" i="12"/>
  <c r="I207" i="12" a="1"/>
  <c r="I207" i="12"/>
  <c r="J207" i="12" a="1"/>
  <c r="J207" i="12"/>
  <c r="K207" i="12" a="1"/>
  <c r="K207" i="12"/>
  <c r="I208" i="12" a="1"/>
  <c r="I208" i="12"/>
  <c r="J208" i="12" a="1"/>
  <c r="J208" i="12"/>
  <c r="K208" i="12" a="1"/>
  <c r="K208" i="12"/>
  <c r="I209" i="12" a="1"/>
  <c r="I209" i="12"/>
  <c r="J209" i="12" a="1"/>
  <c r="J209" i="12"/>
  <c r="K209" i="12" a="1"/>
  <c r="K209" i="12"/>
  <c r="I210" i="12" a="1"/>
  <c r="I210" i="12"/>
  <c r="J210" i="12" a="1"/>
  <c r="J210" i="12"/>
  <c r="K210" i="12" a="1"/>
  <c r="K210" i="12"/>
  <c r="I211" i="12" a="1"/>
  <c r="I211" i="12"/>
  <c r="J211" i="12" a="1"/>
  <c r="J211" i="12"/>
  <c r="K211" i="12" a="1"/>
  <c r="K211" i="12"/>
  <c r="I212" i="12" a="1"/>
  <c r="I212" i="12"/>
  <c r="J212" i="12" a="1"/>
  <c r="J212" i="12"/>
  <c r="K212" i="12" a="1"/>
  <c r="K212" i="12"/>
  <c r="I213" i="12" a="1"/>
  <c r="I213" i="12"/>
  <c r="J213" i="12" a="1"/>
  <c r="J213" i="12"/>
  <c r="K213" i="12" a="1"/>
  <c r="K213" i="12"/>
  <c r="I214" i="12" a="1"/>
  <c r="I214" i="12"/>
  <c r="J214" i="12" a="1"/>
  <c r="J214" i="12"/>
  <c r="K214" i="12" a="1"/>
  <c r="K214" i="12"/>
  <c r="I215" i="12" a="1"/>
  <c r="I215" i="12"/>
  <c r="J215" i="12" a="1"/>
  <c r="J215" i="12"/>
  <c r="K215" i="12" a="1"/>
  <c r="K215" i="12"/>
  <c r="I216" i="12" a="1"/>
  <c r="I216" i="12"/>
  <c r="J216" i="12" a="1"/>
  <c r="J216" i="12"/>
  <c r="K216" i="12" a="1"/>
  <c r="K216" i="12"/>
  <c r="I217" i="12" a="1"/>
  <c r="I217" i="12"/>
  <c r="J217" i="12" a="1"/>
  <c r="J217" i="12"/>
  <c r="K217" i="12" a="1"/>
  <c r="K217" i="12"/>
  <c r="I218" i="12" a="1"/>
  <c r="I218" i="12"/>
  <c r="J218" i="12" a="1"/>
  <c r="J218" i="12"/>
  <c r="K218" i="12" a="1"/>
  <c r="K218" i="12"/>
  <c r="I219" i="12" a="1"/>
  <c r="I219" i="12"/>
  <c r="J219" i="12" a="1"/>
  <c r="J219" i="12"/>
  <c r="K219" i="12" a="1"/>
  <c r="K219" i="12"/>
  <c r="I220" i="12" a="1"/>
  <c r="I220" i="12"/>
  <c r="J220" i="12" a="1"/>
  <c r="J220" i="12"/>
  <c r="K220" i="12" a="1"/>
  <c r="K220" i="12"/>
  <c r="I221" i="12" a="1"/>
  <c r="I221" i="12"/>
  <c r="J221" i="12" a="1"/>
  <c r="J221" i="12"/>
  <c r="K221" i="12" a="1"/>
  <c r="K221" i="12"/>
  <c r="I222" i="12" a="1"/>
  <c r="I222" i="12"/>
  <c r="J222" i="12" a="1"/>
  <c r="J222" i="12"/>
  <c r="K222" i="12" a="1"/>
  <c r="K222" i="12"/>
  <c r="I223" i="12" a="1"/>
  <c r="I223" i="12"/>
  <c r="J223" i="12" a="1"/>
  <c r="J223" i="12"/>
  <c r="K223" i="12" a="1"/>
  <c r="K223" i="12"/>
  <c r="I224" i="12" a="1"/>
  <c r="I224" i="12"/>
  <c r="J224" i="12" a="1"/>
  <c r="J224" i="12"/>
  <c r="K224" i="12" a="1"/>
  <c r="K224" i="12"/>
  <c r="I225" i="12" a="1"/>
  <c r="I225" i="12"/>
  <c r="J225" i="12" a="1"/>
  <c r="J225" i="12"/>
  <c r="K225" i="12" a="1"/>
  <c r="K225" i="12"/>
  <c r="I226" i="12" a="1"/>
  <c r="I226" i="12"/>
  <c r="J226" i="12" a="1"/>
  <c r="J226" i="12"/>
  <c r="K226" i="12" a="1"/>
  <c r="K226" i="12"/>
  <c r="I227" i="12" a="1"/>
  <c r="I227" i="12"/>
  <c r="J227" i="12" a="1"/>
  <c r="J227" i="12"/>
  <c r="K227" i="12" a="1"/>
  <c r="K227" i="12"/>
  <c r="I228" i="12" a="1"/>
  <c r="I228" i="12"/>
  <c r="J228" i="12" a="1"/>
  <c r="J228" i="12"/>
  <c r="K228" i="12" a="1"/>
  <c r="K228" i="12"/>
  <c r="I229" i="12" a="1"/>
  <c r="I229" i="12"/>
  <c r="J229" i="12" a="1"/>
  <c r="J229" i="12"/>
  <c r="K229" i="12" a="1"/>
  <c r="K229" i="12"/>
  <c r="I230" i="12" a="1"/>
  <c r="I230" i="12"/>
  <c r="J230" i="12" a="1"/>
  <c r="J230" i="12"/>
  <c r="K230" i="12" a="1"/>
  <c r="K230" i="12"/>
  <c r="I231" i="12" a="1"/>
  <c r="I231" i="12"/>
  <c r="J231" i="12" a="1"/>
  <c r="J231" i="12"/>
  <c r="K231" i="12" a="1"/>
  <c r="K231" i="12"/>
  <c r="I232" i="12" a="1"/>
  <c r="I232" i="12"/>
  <c r="J232" i="12" a="1"/>
  <c r="J232" i="12"/>
  <c r="K232" i="12" a="1"/>
  <c r="K232" i="12"/>
  <c r="I233" i="12" a="1"/>
  <c r="I233" i="12"/>
  <c r="J233" i="12" a="1"/>
  <c r="J233" i="12"/>
  <c r="K233" i="12" a="1"/>
  <c r="K233" i="12"/>
  <c r="I234" i="12" a="1"/>
  <c r="I234" i="12"/>
  <c r="J234" i="12" a="1"/>
  <c r="J234" i="12"/>
  <c r="K234" i="12" a="1"/>
  <c r="K234" i="12"/>
  <c r="I235" i="12" a="1"/>
  <c r="I235" i="12"/>
  <c r="J235" i="12" a="1"/>
  <c r="J235" i="12"/>
  <c r="K235" i="12" a="1"/>
  <c r="K235" i="12"/>
  <c r="I236" i="12" a="1"/>
  <c r="I236" i="12"/>
  <c r="J236" i="12" a="1"/>
  <c r="J236" i="12"/>
  <c r="K236" i="12" a="1"/>
  <c r="K236" i="12"/>
  <c r="I237" i="12" a="1"/>
  <c r="I237" i="12"/>
  <c r="J237" i="12" a="1"/>
  <c r="J237" i="12"/>
  <c r="K237" i="12" a="1"/>
  <c r="K237" i="12"/>
  <c r="I238" i="12" a="1"/>
  <c r="I238" i="12"/>
  <c r="J238" i="12" a="1"/>
  <c r="J238" i="12"/>
  <c r="K238" i="12" a="1"/>
  <c r="K238" i="12"/>
  <c r="I239" i="12" a="1"/>
  <c r="I239" i="12"/>
  <c r="J239" i="12" a="1"/>
  <c r="J239" i="12"/>
  <c r="K239" i="12" a="1"/>
  <c r="K239" i="12"/>
  <c r="I240" i="12" a="1"/>
  <c r="I240" i="12"/>
  <c r="J240" i="12" a="1"/>
  <c r="J240" i="12"/>
  <c r="K240" i="12" a="1"/>
  <c r="K240" i="12"/>
  <c r="I241" i="12" a="1"/>
  <c r="I241" i="12"/>
  <c r="J241" i="12" a="1"/>
  <c r="J241" i="12"/>
  <c r="K241" i="12" a="1"/>
  <c r="K241" i="12"/>
  <c r="I242" i="12" a="1"/>
  <c r="I242" i="12"/>
  <c r="J242" i="12" a="1"/>
  <c r="J242" i="12"/>
  <c r="K242" i="12" a="1"/>
  <c r="K242" i="12"/>
  <c r="I243" i="12" a="1"/>
  <c r="I243" i="12"/>
  <c r="J243" i="12" a="1"/>
  <c r="J243" i="12"/>
  <c r="K243" i="12" a="1"/>
  <c r="K243" i="12"/>
  <c r="I244" i="12" a="1"/>
  <c r="I244" i="12"/>
  <c r="J244" i="12" a="1"/>
  <c r="J244" i="12"/>
  <c r="K244" i="12" a="1"/>
  <c r="K244" i="12"/>
  <c r="I245" i="12" a="1"/>
  <c r="I245" i="12"/>
  <c r="J245" i="12" a="1"/>
  <c r="J245" i="12"/>
  <c r="K245" i="12" a="1"/>
  <c r="K245" i="12"/>
  <c r="I246" i="12" a="1"/>
  <c r="I246" i="12"/>
  <c r="J246" i="12" a="1"/>
  <c r="J246" i="12"/>
  <c r="K246" i="12" a="1"/>
  <c r="K246" i="12"/>
  <c r="I247" i="12" a="1"/>
  <c r="I247" i="12"/>
  <c r="J247" i="12" a="1"/>
  <c r="J247" i="12"/>
  <c r="K247" i="12" a="1"/>
  <c r="K247" i="12"/>
  <c r="I248" i="12" a="1"/>
  <c r="I248" i="12"/>
  <c r="J248" i="12" a="1"/>
  <c r="J248" i="12"/>
  <c r="K248" i="12" a="1"/>
  <c r="K248" i="12"/>
  <c r="I249" i="12" a="1"/>
  <c r="I249" i="12"/>
  <c r="J249" i="12" a="1"/>
  <c r="J249" i="12"/>
  <c r="K249" i="12" a="1"/>
  <c r="K249" i="12"/>
  <c r="I250" i="12" a="1"/>
  <c r="I250" i="12"/>
  <c r="J250" i="12" a="1"/>
  <c r="J250" i="12"/>
  <c r="K250" i="12" a="1"/>
  <c r="K250" i="12"/>
  <c r="I251" i="12" a="1"/>
  <c r="I251" i="12"/>
  <c r="J251" i="12" a="1"/>
  <c r="J251" i="12"/>
  <c r="K251" i="12" a="1"/>
  <c r="K251" i="12"/>
  <c r="I252" i="12" a="1"/>
  <c r="I252" i="12"/>
  <c r="J252" i="12" a="1"/>
  <c r="J252" i="12"/>
  <c r="K252" i="12" a="1"/>
  <c r="K252" i="12"/>
  <c r="I253" i="12" a="1"/>
  <c r="I253" i="12"/>
  <c r="J253" i="12" a="1"/>
  <c r="J253" i="12"/>
  <c r="K253" i="12" a="1"/>
  <c r="K253" i="12"/>
  <c r="I254" i="12" a="1"/>
  <c r="I254" i="12"/>
  <c r="J254" i="12" a="1"/>
  <c r="J254" i="12"/>
  <c r="K254" i="12" a="1"/>
  <c r="K254" i="12"/>
  <c r="I255" i="12" a="1"/>
  <c r="I255" i="12"/>
  <c r="J255" i="12" a="1"/>
  <c r="J255" i="12"/>
  <c r="K255" i="12" a="1"/>
  <c r="K255" i="12"/>
  <c r="I256" i="12" a="1"/>
  <c r="I256" i="12"/>
  <c r="J256" i="12" a="1"/>
  <c r="J256" i="12"/>
  <c r="K256" i="12" a="1"/>
  <c r="K256" i="12"/>
  <c r="I257" i="12" a="1"/>
  <c r="I257" i="12"/>
  <c r="J257" i="12" a="1"/>
  <c r="J257" i="12"/>
  <c r="K257" i="12" a="1"/>
  <c r="K257" i="12"/>
  <c r="I258" i="12" a="1"/>
  <c r="I258" i="12"/>
  <c r="J258" i="12" a="1"/>
  <c r="J258" i="12"/>
  <c r="K258" i="12" a="1"/>
  <c r="K258" i="12"/>
  <c r="I259" i="12" a="1"/>
  <c r="I259" i="12"/>
  <c r="J259" i="12" a="1"/>
  <c r="J259" i="12"/>
  <c r="K259" i="12" a="1"/>
  <c r="K259" i="12"/>
  <c r="I260" i="12" a="1"/>
  <c r="I260" i="12"/>
  <c r="J260" i="12" a="1"/>
  <c r="J260" i="12"/>
  <c r="K260" i="12" a="1"/>
  <c r="K260" i="12"/>
  <c r="I261" i="12" a="1"/>
  <c r="I261" i="12"/>
  <c r="J261" i="12" a="1"/>
  <c r="J261" i="12"/>
  <c r="K261" i="12" a="1"/>
  <c r="K261" i="12"/>
  <c r="I262" i="12" a="1"/>
  <c r="I262" i="12"/>
  <c r="J262" i="12" a="1"/>
  <c r="J262" i="12"/>
  <c r="K262" i="12" a="1"/>
  <c r="K262" i="12"/>
  <c r="I263" i="12" a="1"/>
  <c r="I263" i="12"/>
  <c r="J263" i="12" a="1"/>
  <c r="J263" i="12"/>
  <c r="K263" i="12" a="1"/>
  <c r="K263" i="12"/>
  <c r="I264" i="12" a="1"/>
  <c r="I264" i="12"/>
  <c r="J264" i="12" a="1"/>
  <c r="J264" i="12"/>
  <c r="K264" i="12" a="1"/>
  <c r="K264" i="12"/>
  <c r="I265" i="12" a="1"/>
  <c r="I265" i="12"/>
  <c r="J265" i="12" a="1"/>
  <c r="J265" i="12"/>
  <c r="K265" i="12" a="1"/>
  <c r="K265" i="12"/>
  <c r="I266" i="12" a="1"/>
  <c r="I266" i="12"/>
  <c r="J266" i="12" a="1"/>
  <c r="J266" i="12"/>
  <c r="K266" i="12" a="1"/>
  <c r="K266" i="12"/>
  <c r="I267" i="12" a="1"/>
  <c r="I267" i="12"/>
  <c r="J267" i="12" a="1"/>
  <c r="J267" i="12"/>
  <c r="K267" i="12" a="1"/>
  <c r="K267" i="12"/>
  <c r="I268" i="12" a="1"/>
  <c r="I268" i="12"/>
  <c r="J268" i="12" a="1"/>
  <c r="J268" i="12"/>
  <c r="K268" i="12" a="1"/>
  <c r="K268" i="12"/>
  <c r="I269" i="12" a="1"/>
  <c r="I269" i="12"/>
  <c r="J269" i="12" a="1"/>
  <c r="J269" i="12"/>
  <c r="K269" i="12" a="1"/>
  <c r="K269" i="12"/>
  <c r="I270" i="12" a="1"/>
  <c r="I270" i="12"/>
  <c r="J270" i="12" a="1"/>
  <c r="J270" i="12"/>
  <c r="K270" i="12" a="1"/>
  <c r="K270" i="12"/>
  <c r="I271" i="12" a="1"/>
  <c r="I271" i="12"/>
  <c r="J271" i="12" a="1"/>
  <c r="J271" i="12"/>
  <c r="K271" i="12" a="1"/>
  <c r="K271" i="12"/>
  <c r="I272" i="12" a="1"/>
  <c r="I272" i="12"/>
  <c r="J272" i="12" a="1"/>
  <c r="J272" i="12"/>
  <c r="K272" i="12" a="1"/>
  <c r="K272" i="12"/>
  <c r="I273" i="12" a="1"/>
  <c r="I273" i="12"/>
  <c r="J273" i="12" a="1"/>
  <c r="J273" i="12"/>
  <c r="K273" i="12" a="1"/>
  <c r="K273" i="12"/>
  <c r="I274" i="12" a="1"/>
  <c r="I274" i="12"/>
  <c r="J274" i="12" a="1"/>
  <c r="J274" i="12"/>
  <c r="K274" i="12" a="1"/>
  <c r="K274" i="12"/>
  <c r="I275" i="12" a="1"/>
  <c r="I275" i="12"/>
  <c r="J275" i="12" a="1"/>
  <c r="J275" i="12"/>
  <c r="K275" i="12" a="1"/>
  <c r="K275" i="12"/>
  <c r="I276" i="12" a="1"/>
  <c r="I276" i="12"/>
  <c r="J276" i="12" a="1"/>
  <c r="J276" i="12"/>
  <c r="K276" i="12" a="1"/>
  <c r="K276" i="12"/>
  <c r="I277" i="12" a="1"/>
  <c r="I277" i="12"/>
  <c r="J277" i="12" a="1"/>
  <c r="J277" i="12"/>
  <c r="K277" i="12" a="1"/>
  <c r="K277" i="12"/>
  <c r="I278" i="12" a="1"/>
  <c r="I278" i="12"/>
  <c r="J278" i="12" a="1"/>
  <c r="J278" i="12"/>
  <c r="K278" i="12" a="1"/>
  <c r="K278" i="12"/>
  <c r="I279" i="12" a="1"/>
  <c r="I279" i="12"/>
  <c r="J279" i="12" a="1"/>
  <c r="J279" i="12"/>
  <c r="K279" i="12" a="1"/>
  <c r="K279" i="12"/>
  <c r="I280" i="12" a="1"/>
  <c r="I280" i="12"/>
  <c r="J280" i="12" a="1"/>
  <c r="J280" i="12"/>
  <c r="K280" i="12" a="1"/>
  <c r="K280" i="12"/>
  <c r="I281" i="12" a="1"/>
  <c r="I281" i="12"/>
  <c r="J281" i="12" a="1"/>
  <c r="J281" i="12"/>
  <c r="K281" i="12" a="1"/>
  <c r="K281" i="12"/>
  <c r="I282" i="12" a="1"/>
  <c r="I282" i="12"/>
  <c r="J282" i="12" a="1"/>
  <c r="J282" i="12"/>
  <c r="K282" i="12" a="1"/>
  <c r="K282" i="12"/>
  <c r="I283" i="12" a="1"/>
  <c r="I283" i="12"/>
  <c r="J283" i="12" a="1"/>
  <c r="J283" i="12"/>
  <c r="K283" i="12" a="1"/>
  <c r="K283" i="12"/>
  <c r="I284" i="12" a="1"/>
  <c r="I284" i="12"/>
  <c r="J284" i="12" a="1"/>
  <c r="J284" i="12"/>
  <c r="K284" i="12" a="1"/>
  <c r="K284" i="12"/>
  <c r="I285" i="12" a="1"/>
  <c r="I285" i="12"/>
  <c r="J285" i="12" a="1"/>
  <c r="J285" i="12"/>
  <c r="K285" i="12" a="1"/>
  <c r="K285" i="12"/>
  <c r="I286" i="12" a="1"/>
  <c r="I286" i="12"/>
  <c r="J286" i="12" a="1"/>
  <c r="J286" i="12"/>
  <c r="K286" i="12" a="1"/>
  <c r="K286" i="12"/>
  <c r="I287" i="12" a="1"/>
  <c r="I287" i="12"/>
  <c r="J287" i="12" a="1"/>
  <c r="J287" i="12"/>
  <c r="K287" i="12" a="1"/>
  <c r="K287" i="12"/>
  <c r="I288" i="12" a="1"/>
  <c r="I288" i="12"/>
  <c r="J288" i="12" a="1"/>
  <c r="J288" i="12"/>
  <c r="K288" i="12" a="1"/>
  <c r="K288" i="12"/>
  <c r="I289" i="12" a="1"/>
  <c r="I289" i="12"/>
  <c r="J289" i="12" a="1"/>
  <c r="J289" i="12"/>
  <c r="K289" i="12" a="1"/>
  <c r="K289" i="12"/>
  <c r="I290" i="12" a="1"/>
  <c r="I290" i="12"/>
  <c r="J290" i="12" a="1"/>
  <c r="J290" i="12"/>
  <c r="K290" i="12" a="1"/>
  <c r="K290" i="12"/>
  <c r="I291" i="12" a="1"/>
  <c r="I291" i="12"/>
  <c r="J291" i="12" a="1"/>
  <c r="J291" i="12"/>
  <c r="K291" i="12" a="1"/>
  <c r="K291" i="12"/>
  <c r="I292" i="12" a="1"/>
  <c r="I292" i="12"/>
  <c r="J292" i="12" a="1"/>
  <c r="J292" i="12"/>
  <c r="K292" i="12" a="1"/>
  <c r="K292" i="12"/>
  <c r="I293" i="12" a="1"/>
  <c r="I293" i="12"/>
  <c r="J293" i="12" a="1"/>
  <c r="J293" i="12"/>
  <c r="K293" i="12" a="1"/>
  <c r="K293" i="12"/>
  <c r="I294" i="12" a="1"/>
  <c r="I294" i="12"/>
  <c r="J294" i="12" a="1"/>
  <c r="J294" i="12"/>
  <c r="K294" i="12" a="1"/>
  <c r="K294" i="12"/>
  <c r="I295" i="12" a="1"/>
  <c r="I295" i="12"/>
  <c r="J295" i="12" a="1"/>
  <c r="J295" i="12"/>
  <c r="K295" i="12" a="1"/>
  <c r="K295" i="12"/>
  <c r="I296" i="12" a="1"/>
  <c r="I296" i="12"/>
  <c r="J296" i="12" a="1"/>
  <c r="J296" i="12"/>
  <c r="K296" i="12" a="1"/>
  <c r="K296" i="12"/>
  <c r="I297" i="12" a="1"/>
  <c r="I297" i="12"/>
  <c r="J297" i="12" a="1"/>
  <c r="J297" i="12"/>
  <c r="K297" i="12" a="1"/>
  <c r="K297" i="12"/>
  <c r="I298" i="12" a="1"/>
  <c r="I298" i="12"/>
  <c r="J298" i="12" a="1"/>
  <c r="J298" i="12"/>
  <c r="K298" i="12" a="1"/>
  <c r="K298" i="12"/>
  <c r="I299" i="12" a="1"/>
  <c r="I299" i="12"/>
  <c r="J299" i="12" a="1"/>
  <c r="J299" i="12"/>
  <c r="K299" i="12" a="1"/>
  <c r="K299" i="12"/>
  <c r="I300" i="12" a="1"/>
  <c r="I300" i="12"/>
  <c r="J300" i="12" a="1"/>
  <c r="J300" i="12"/>
  <c r="K300" i="12" a="1"/>
  <c r="K300" i="12"/>
  <c r="I301" i="12" a="1"/>
  <c r="I301" i="12"/>
  <c r="J301" i="12" a="1"/>
  <c r="J301" i="12"/>
  <c r="K301" i="12" a="1"/>
  <c r="K301" i="12"/>
  <c r="I302" i="12" a="1"/>
  <c r="I302" i="12"/>
  <c r="J302" i="12" a="1"/>
  <c r="J302" i="12"/>
  <c r="K302" i="12" a="1"/>
  <c r="K302" i="12"/>
  <c r="I303" i="12" a="1"/>
  <c r="I303" i="12"/>
  <c r="J303" i="12" a="1"/>
  <c r="J303" i="12"/>
  <c r="K303" i="12" a="1"/>
  <c r="K303" i="12"/>
  <c r="I304" i="12" a="1"/>
  <c r="I304" i="12"/>
  <c r="J304" i="12" a="1"/>
  <c r="J304" i="12"/>
  <c r="K304" i="12" a="1"/>
  <c r="K304" i="12"/>
  <c r="I305" i="12" a="1"/>
  <c r="I305" i="12"/>
  <c r="J305" i="12" a="1"/>
  <c r="J305" i="12"/>
  <c r="K305" i="12" a="1"/>
  <c r="K305" i="12"/>
  <c r="I306" i="12" a="1"/>
  <c r="I306" i="12"/>
  <c r="J306" i="12" a="1"/>
  <c r="J306" i="12"/>
  <c r="K306" i="12" a="1"/>
  <c r="K306" i="12"/>
  <c r="I307" i="12" a="1"/>
  <c r="I307" i="12"/>
  <c r="J307" i="12" a="1"/>
  <c r="J307" i="12"/>
  <c r="K307" i="12" a="1"/>
  <c r="K307" i="12"/>
  <c r="I308" i="12" a="1"/>
  <c r="I308" i="12"/>
  <c r="J308" i="12" a="1"/>
  <c r="J308" i="12"/>
  <c r="K308" i="12" a="1"/>
  <c r="K308" i="12"/>
  <c r="I309" i="12" a="1"/>
  <c r="I309" i="12"/>
  <c r="J309" i="12" a="1"/>
  <c r="J309" i="12"/>
  <c r="K309" i="12" a="1"/>
  <c r="K309" i="12"/>
  <c r="I310" i="12" a="1"/>
  <c r="I310" i="12"/>
  <c r="J310" i="12" a="1"/>
  <c r="J310" i="12"/>
  <c r="K310" i="12" a="1"/>
  <c r="K310" i="12"/>
  <c r="I311" i="12" a="1"/>
  <c r="I311" i="12"/>
  <c r="J311" i="12" a="1"/>
  <c r="J311" i="12"/>
  <c r="K311" i="12" a="1"/>
  <c r="K311" i="12"/>
  <c r="I312" i="12" a="1"/>
  <c r="I312" i="12"/>
  <c r="J312" i="12" a="1"/>
  <c r="J312" i="12"/>
  <c r="K312" i="12" a="1"/>
  <c r="K312" i="12"/>
  <c r="I313" i="12" a="1"/>
  <c r="I313" i="12"/>
  <c r="J313" i="12" a="1"/>
  <c r="J313" i="12"/>
  <c r="K313" i="12" a="1"/>
  <c r="K313" i="12"/>
  <c r="I314" i="12" a="1"/>
  <c r="I314" i="12"/>
  <c r="J314" i="12" a="1"/>
  <c r="J314" i="12"/>
  <c r="K314" i="12" a="1"/>
  <c r="K314" i="12"/>
  <c r="I315" i="12" a="1"/>
  <c r="I315" i="12"/>
  <c r="J315" i="12" a="1"/>
  <c r="J315" i="12"/>
  <c r="K315" i="12" a="1"/>
  <c r="K315" i="12"/>
  <c r="I316" i="12" a="1"/>
  <c r="I316" i="12"/>
  <c r="J316" i="12" a="1"/>
  <c r="J316" i="12"/>
  <c r="K316" i="12" a="1"/>
  <c r="K316" i="12"/>
  <c r="I317" i="12" a="1"/>
  <c r="I317" i="12"/>
  <c r="J317" i="12" a="1"/>
  <c r="J317" i="12"/>
  <c r="K317" i="12" a="1"/>
  <c r="K317" i="12"/>
  <c r="I318" i="12" a="1"/>
  <c r="I318" i="12"/>
  <c r="J318" i="12" a="1"/>
  <c r="J318" i="12"/>
  <c r="K318" i="12" a="1"/>
  <c r="K318" i="12"/>
  <c r="I319" i="12" a="1"/>
  <c r="I319" i="12"/>
  <c r="J319" i="12" a="1"/>
  <c r="J319" i="12"/>
  <c r="K319" i="12" a="1"/>
  <c r="K319" i="12"/>
  <c r="I320" i="12" a="1"/>
  <c r="I320" i="12"/>
  <c r="J320" i="12" a="1"/>
  <c r="J320" i="12"/>
  <c r="K320" i="12" a="1"/>
  <c r="K320" i="12"/>
  <c r="I321" i="12" a="1"/>
  <c r="I321" i="12"/>
  <c r="J321" i="12" a="1"/>
  <c r="J321" i="12"/>
  <c r="K321" i="12" a="1"/>
  <c r="K321" i="12"/>
  <c r="I322" i="12" a="1"/>
  <c r="I322" i="12"/>
  <c r="J322" i="12" a="1"/>
  <c r="J322" i="12"/>
  <c r="K322" i="12" a="1"/>
  <c r="K322" i="12"/>
  <c r="I323" i="12" a="1"/>
  <c r="I323" i="12"/>
  <c r="J323" i="12" a="1"/>
  <c r="J323" i="12"/>
  <c r="K323" i="12" a="1"/>
  <c r="K323" i="12"/>
  <c r="I324" i="12" a="1"/>
  <c r="I324" i="12"/>
  <c r="J324" i="12" a="1"/>
  <c r="J324" i="12"/>
  <c r="K324" i="12" a="1"/>
  <c r="K324" i="12"/>
  <c r="I325" i="12" a="1"/>
  <c r="I325" i="12"/>
  <c r="J325" i="12" a="1"/>
  <c r="J325" i="12"/>
  <c r="K325" i="12" a="1"/>
  <c r="K325" i="12"/>
  <c r="I326" i="12" a="1"/>
  <c r="I326" i="12"/>
  <c r="J326" i="12" a="1"/>
  <c r="J326" i="12"/>
  <c r="K326" i="12" a="1"/>
  <c r="K326" i="12"/>
  <c r="I327" i="12" a="1"/>
  <c r="I327" i="12"/>
  <c r="J327" i="12" a="1"/>
  <c r="J327" i="12"/>
  <c r="K327" i="12" a="1"/>
  <c r="K327" i="12"/>
  <c r="I328" i="12" a="1"/>
  <c r="I328" i="12"/>
  <c r="J328" i="12" a="1"/>
  <c r="J328" i="12"/>
  <c r="K328" i="12" a="1"/>
  <c r="K328" i="12"/>
  <c r="I329" i="12" a="1"/>
  <c r="I329" i="12"/>
  <c r="J329" i="12" a="1"/>
  <c r="J329" i="12"/>
  <c r="K329" i="12" a="1"/>
  <c r="K329" i="12"/>
  <c r="I330" i="12" a="1"/>
  <c r="I330" i="12"/>
  <c r="J330" i="12" a="1"/>
  <c r="J330" i="12"/>
  <c r="K330" i="12" a="1"/>
  <c r="K330" i="12"/>
  <c r="I331" i="12" a="1"/>
  <c r="I331" i="12"/>
  <c r="J331" i="12" a="1"/>
  <c r="J331" i="12"/>
  <c r="K331" i="12" a="1"/>
  <c r="K331" i="12"/>
  <c r="I332" i="12" a="1"/>
  <c r="I332" i="12"/>
  <c r="J332" i="12" a="1"/>
  <c r="J332" i="12"/>
  <c r="K332" i="12" a="1"/>
  <c r="K332" i="12"/>
  <c r="I333" i="12" a="1"/>
  <c r="I333" i="12"/>
  <c r="J333" i="12" a="1"/>
  <c r="J333" i="12"/>
  <c r="K333" i="12" a="1"/>
  <c r="K333" i="12"/>
  <c r="I334" i="12" a="1"/>
  <c r="I334" i="12"/>
  <c r="J334" i="12" a="1"/>
  <c r="J334" i="12"/>
  <c r="K334" i="12" a="1"/>
  <c r="K334" i="12"/>
  <c r="I335" i="12" a="1"/>
  <c r="I335" i="12"/>
  <c r="J335" i="12" a="1"/>
  <c r="J335" i="12"/>
  <c r="K335" i="12" a="1"/>
  <c r="K335" i="12"/>
  <c r="I336" i="12" a="1"/>
  <c r="I336" i="12"/>
  <c r="J336" i="12" a="1"/>
  <c r="J336" i="12"/>
  <c r="K336" i="12" a="1"/>
  <c r="K336" i="12"/>
  <c r="I337" i="12" a="1"/>
  <c r="I337" i="12"/>
  <c r="J337" i="12" a="1"/>
  <c r="J337" i="12"/>
  <c r="K337" i="12" a="1"/>
  <c r="K337" i="12"/>
  <c r="I338" i="12" a="1"/>
  <c r="I338" i="12"/>
  <c r="J338" i="12" a="1"/>
  <c r="J338" i="12"/>
  <c r="K338" i="12" a="1"/>
  <c r="K338" i="12"/>
  <c r="I339" i="12" a="1"/>
  <c r="I339" i="12"/>
  <c r="J339" i="12" a="1"/>
  <c r="J339" i="12"/>
  <c r="K339" i="12" a="1"/>
  <c r="K339" i="12"/>
  <c r="I340" i="12" a="1"/>
  <c r="I340" i="12"/>
  <c r="J340" i="12" a="1"/>
  <c r="J340" i="12"/>
  <c r="K340" i="12" a="1"/>
  <c r="K340" i="12"/>
  <c r="I341" i="12" a="1"/>
  <c r="I341" i="12"/>
  <c r="J341" i="12" a="1"/>
  <c r="J341" i="12"/>
  <c r="K341" i="12" a="1"/>
  <c r="K341" i="12"/>
  <c r="I342" i="12" a="1"/>
  <c r="I342" i="12"/>
  <c r="J342" i="12" a="1"/>
  <c r="J342" i="12"/>
  <c r="K342" i="12" a="1"/>
  <c r="K342" i="12"/>
  <c r="I343" i="12" a="1"/>
  <c r="I343" i="12"/>
  <c r="J343" i="12" a="1"/>
  <c r="J343" i="12"/>
  <c r="K343" i="12" a="1"/>
  <c r="K343" i="12"/>
  <c r="I344" i="12" a="1"/>
  <c r="I344" i="12"/>
  <c r="J344" i="12" a="1"/>
  <c r="J344" i="12"/>
  <c r="K344" i="12" a="1"/>
  <c r="K344" i="12"/>
  <c r="I345" i="12" a="1"/>
  <c r="I345" i="12"/>
  <c r="J345" i="12" a="1"/>
  <c r="J345" i="12"/>
  <c r="K345" i="12" a="1"/>
  <c r="K345" i="12"/>
  <c r="I346" i="12" a="1"/>
  <c r="I346" i="12"/>
  <c r="J346" i="12" a="1"/>
  <c r="J346" i="12"/>
  <c r="K346" i="12" a="1"/>
  <c r="K346" i="12"/>
  <c r="I347" i="12" a="1"/>
  <c r="I347" i="12"/>
  <c r="J347" i="12" a="1"/>
  <c r="J347" i="12"/>
  <c r="K347" i="12" a="1"/>
  <c r="K347" i="12"/>
  <c r="I348" i="12" a="1"/>
  <c r="I348" i="12"/>
  <c r="J348" i="12" a="1"/>
  <c r="J348" i="12"/>
  <c r="K348" i="12" a="1"/>
  <c r="K348" i="12"/>
  <c r="I349" i="12" a="1"/>
  <c r="I349" i="12"/>
  <c r="J349" i="12" a="1"/>
  <c r="J349" i="12"/>
  <c r="K349" i="12" a="1"/>
  <c r="K349" i="12"/>
  <c r="I350" i="12" a="1"/>
  <c r="I350" i="12"/>
  <c r="J350" i="12" a="1"/>
  <c r="J350" i="12"/>
  <c r="K350" i="12" a="1"/>
  <c r="K350" i="12"/>
  <c r="I351" i="12" a="1"/>
  <c r="I351" i="12"/>
  <c r="J351" i="12" a="1"/>
  <c r="J351" i="12"/>
  <c r="K351" i="12" a="1"/>
  <c r="K351" i="12"/>
  <c r="I352" i="12" a="1"/>
  <c r="I352" i="12"/>
  <c r="J352" i="12" a="1"/>
  <c r="J352" i="12"/>
  <c r="K352" i="12" a="1"/>
  <c r="K352" i="12"/>
  <c r="I353" i="12" a="1"/>
  <c r="I353" i="12"/>
  <c r="J353" i="12" a="1"/>
  <c r="J353" i="12"/>
  <c r="K353" i="12" a="1"/>
  <c r="K353" i="12"/>
  <c r="I354" i="12" a="1"/>
  <c r="I354" i="12"/>
  <c r="J354" i="12" a="1"/>
  <c r="J354" i="12"/>
  <c r="K354" i="12" a="1"/>
  <c r="K354" i="12"/>
  <c r="I355" i="12" a="1"/>
  <c r="I355" i="12"/>
  <c r="J355" i="12" a="1"/>
  <c r="J355" i="12"/>
  <c r="K355" i="12" a="1"/>
  <c r="K355" i="12"/>
  <c r="I356" i="12" a="1"/>
  <c r="I356" i="12"/>
  <c r="J356" i="12" a="1"/>
  <c r="J356" i="12"/>
  <c r="K356" i="12" a="1"/>
  <c r="K356" i="12"/>
  <c r="I357" i="12" a="1"/>
  <c r="I357" i="12"/>
  <c r="J357" i="12" a="1"/>
  <c r="J357" i="12"/>
  <c r="K357" i="12" a="1"/>
  <c r="K357" i="12"/>
  <c r="I358" i="12" a="1"/>
  <c r="I358" i="12"/>
  <c r="J358" i="12" a="1"/>
  <c r="J358" i="12"/>
  <c r="K358" i="12" a="1"/>
  <c r="K358" i="12"/>
  <c r="I359" i="12" a="1"/>
  <c r="I359" i="12"/>
  <c r="J359" i="12" a="1"/>
  <c r="J359" i="12"/>
  <c r="K359" i="12" a="1"/>
  <c r="K359" i="12"/>
  <c r="I360" i="12" a="1"/>
  <c r="I360" i="12"/>
  <c r="J360" i="12" a="1"/>
  <c r="J360" i="12"/>
  <c r="K360" i="12" a="1"/>
  <c r="K360" i="12"/>
  <c r="I361" i="12" a="1"/>
  <c r="I361" i="12"/>
  <c r="J361" i="12" a="1"/>
  <c r="J361" i="12"/>
  <c r="K361" i="12" a="1"/>
  <c r="K361" i="12"/>
  <c r="I362" i="12" a="1"/>
  <c r="I362" i="12"/>
  <c r="J362" i="12" a="1"/>
  <c r="J362" i="12"/>
  <c r="K362" i="12" a="1"/>
  <c r="K362" i="12"/>
  <c r="I363" i="12" a="1"/>
  <c r="I363" i="12"/>
  <c r="J363" i="12" a="1"/>
  <c r="J363" i="12"/>
  <c r="K363" i="12" a="1"/>
  <c r="K363" i="12"/>
  <c r="I364" i="12" a="1"/>
  <c r="I364" i="12"/>
  <c r="J364" i="12" a="1"/>
  <c r="J364" i="12"/>
  <c r="K364" i="12" a="1"/>
  <c r="K364" i="12"/>
  <c r="I365" i="12" a="1"/>
  <c r="I365" i="12"/>
  <c r="J365" i="12" a="1"/>
  <c r="J365" i="12"/>
  <c r="K365" i="12" a="1"/>
  <c r="K365" i="12"/>
  <c r="I366" i="12" a="1"/>
  <c r="I366" i="12"/>
  <c r="J366" i="12" a="1"/>
  <c r="J366" i="12"/>
  <c r="K366" i="12" a="1"/>
  <c r="K366" i="12"/>
  <c r="I367" i="12" a="1"/>
  <c r="I367" i="12"/>
  <c r="J367" i="12" a="1"/>
  <c r="J367" i="12"/>
  <c r="K367" i="12" a="1"/>
  <c r="K367" i="12"/>
  <c r="I368" i="12" a="1"/>
  <c r="I368" i="12"/>
  <c r="J368" i="12" a="1"/>
  <c r="J368" i="12"/>
  <c r="K368" i="12" a="1"/>
  <c r="K368" i="12"/>
  <c r="I369" i="12" a="1"/>
  <c r="I369" i="12"/>
  <c r="J369" i="12" a="1"/>
  <c r="J369" i="12"/>
  <c r="K369" i="12" a="1"/>
  <c r="K369" i="12"/>
  <c r="I370" i="12" a="1"/>
  <c r="I370" i="12"/>
  <c r="J370" i="12" a="1"/>
  <c r="J370" i="12"/>
  <c r="K370" i="12" a="1"/>
  <c r="K370" i="12"/>
  <c r="I371" i="12" a="1"/>
  <c r="I371" i="12"/>
  <c r="J371" i="12" a="1"/>
  <c r="J371" i="12"/>
  <c r="K371" i="12" a="1"/>
  <c r="K371" i="12"/>
  <c r="I372" i="12" a="1"/>
  <c r="I372" i="12"/>
  <c r="J372" i="12" a="1"/>
  <c r="J372" i="12"/>
  <c r="K372" i="12" a="1"/>
  <c r="K372" i="12"/>
  <c r="I373" i="12" a="1"/>
  <c r="I373" i="12"/>
  <c r="J373" i="12" a="1"/>
  <c r="J373" i="12"/>
  <c r="K373" i="12" a="1"/>
  <c r="K373" i="12"/>
  <c r="I374" i="12" a="1"/>
  <c r="I374" i="12"/>
  <c r="J374" i="12" a="1"/>
  <c r="J374" i="12"/>
  <c r="K374" i="12" a="1"/>
  <c r="K374" i="12"/>
  <c r="I375" i="12" a="1"/>
  <c r="I375" i="12"/>
  <c r="J375" i="12" a="1"/>
  <c r="J375" i="12"/>
  <c r="K375" i="12" a="1"/>
  <c r="K375" i="12"/>
  <c r="I376" i="12" a="1"/>
  <c r="I376" i="12"/>
  <c r="J376" i="12" a="1"/>
  <c r="J376" i="12"/>
  <c r="K376" i="12" a="1"/>
  <c r="K376" i="12"/>
  <c r="I377" i="12" a="1"/>
  <c r="I377" i="12"/>
  <c r="J377" i="12" a="1"/>
  <c r="J377" i="12"/>
  <c r="K377" i="12" a="1"/>
  <c r="K377" i="12"/>
  <c r="I378" i="12" a="1"/>
  <c r="I378" i="12"/>
  <c r="J378" i="12" a="1"/>
  <c r="J378" i="12"/>
  <c r="K378" i="12" a="1"/>
  <c r="K378" i="12"/>
  <c r="I379" i="12" a="1"/>
  <c r="I379" i="12"/>
  <c r="J379" i="12" a="1"/>
  <c r="J379" i="12"/>
  <c r="K379" i="12" a="1"/>
  <c r="K379" i="12"/>
  <c r="I380" i="12" a="1"/>
  <c r="I380" i="12"/>
  <c r="J380" i="12" a="1"/>
  <c r="J380" i="12"/>
  <c r="K380" i="12" a="1"/>
  <c r="K380" i="12"/>
  <c r="I381" i="12" a="1"/>
  <c r="I381" i="12"/>
  <c r="J381" i="12" a="1"/>
  <c r="J381" i="12"/>
  <c r="K381" i="12" a="1"/>
  <c r="K381" i="12"/>
  <c r="I382" i="12" a="1"/>
  <c r="I382" i="12"/>
  <c r="J382" i="12" a="1"/>
  <c r="J382" i="12"/>
  <c r="K382" i="12" a="1"/>
  <c r="K382" i="12"/>
  <c r="I383" i="12" a="1"/>
  <c r="I383" i="12"/>
  <c r="J383" i="12" a="1"/>
  <c r="J383" i="12"/>
  <c r="K383" i="12" a="1"/>
  <c r="K383" i="12"/>
  <c r="I384" i="12" a="1"/>
  <c r="I384" i="12"/>
  <c r="J384" i="12" a="1"/>
  <c r="J384" i="12"/>
  <c r="K384" i="12" a="1"/>
  <c r="K384" i="12"/>
  <c r="I385" i="12" a="1"/>
  <c r="I385" i="12"/>
  <c r="J385" i="12" a="1"/>
  <c r="J385" i="12"/>
  <c r="K385" i="12" a="1"/>
  <c r="K385" i="12"/>
  <c r="I386" i="12" a="1"/>
  <c r="I386" i="12"/>
  <c r="J386" i="12" a="1"/>
  <c r="J386" i="12"/>
  <c r="K386" i="12" a="1"/>
  <c r="K386" i="12"/>
  <c r="I387" i="12" a="1"/>
  <c r="I387" i="12"/>
  <c r="J387" i="12" a="1"/>
  <c r="J387" i="12"/>
  <c r="K387" i="12" a="1"/>
  <c r="K387" i="12"/>
  <c r="I388" i="12" a="1"/>
  <c r="I388" i="12"/>
  <c r="J388" i="12" a="1"/>
  <c r="J388" i="12"/>
  <c r="K388" i="12" a="1"/>
  <c r="K388" i="12"/>
  <c r="I389" i="12" a="1"/>
  <c r="I389" i="12"/>
  <c r="J389" i="12" a="1"/>
  <c r="J389" i="12"/>
  <c r="K389" i="12" a="1"/>
  <c r="K389" i="12"/>
  <c r="I390" i="12" a="1"/>
  <c r="I390" i="12"/>
  <c r="J390" i="12" a="1"/>
  <c r="J390" i="12"/>
  <c r="K390" i="12" a="1"/>
  <c r="K390" i="12"/>
  <c r="I391" i="12" a="1"/>
  <c r="I391" i="12"/>
  <c r="J391" i="12" a="1"/>
  <c r="J391" i="12"/>
  <c r="K391" i="12" a="1"/>
  <c r="K391" i="12"/>
  <c r="I392" i="12" a="1"/>
  <c r="I392" i="12"/>
  <c r="J392" i="12" a="1"/>
  <c r="J392" i="12"/>
  <c r="K392" i="12" a="1"/>
  <c r="K392" i="12"/>
  <c r="I393" i="12" a="1"/>
  <c r="I393" i="12"/>
  <c r="J393" i="12" a="1"/>
  <c r="J393" i="12"/>
  <c r="K393" i="12" a="1"/>
  <c r="K393" i="12"/>
  <c r="I394" i="12" a="1"/>
  <c r="I394" i="12"/>
  <c r="J394" i="12" a="1"/>
  <c r="J394" i="12"/>
  <c r="K394" i="12" a="1"/>
  <c r="K394" i="12"/>
  <c r="I395" i="12" a="1"/>
  <c r="I395" i="12"/>
  <c r="J395" i="12" a="1"/>
  <c r="J395" i="12"/>
  <c r="K395" i="12" a="1"/>
  <c r="K395" i="12"/>
  <c r="I396" i="12" a="1"/>
  <c r="I396" i="12"/>
  <c r="J396" i="12" a="1"/>
  <c r="J396" i="12"/>
  <c r="K396" i="12" a="1"/>
  <c r="K396" i="12"/>
  <c r="I397" i="12" a="1"/>
  <c r="I397" i="12"/>
  <c r="J397" i="12" a="1"/>
  <c r="J397" i="12"/>
  <c r="K397" i="12" a="1"/>
  <c r="K397" i="12"/>
  <c r="I398" i="12" a="1"/>
  <c r="I398" i="12"/>
  <c r="J398" i="12" a="1"/>
  <c r="J398" i="12"/>
  <c r="K398" i="12" a="1"/>
  <c r="K398" i="12"/>
  <c r="I399" i="12" a="1"/>
  <c r="I399" i="12"/>
  <c r="J399" i="12" a="1"/>
  <c r="J399" i="12"/>
  <c r="K399" i="12" a="1"/>
  <c r="K399" i="12"/>
  <c r="I400" i="12" a="1"/>
  <c r="I400" i="12"/>
  <c r="J400" i="12" a="1"/>
  <c r="J400" i="12"/>
  <c r="K400" i="12" a="1"/>
  <c r="K400" i="12"/>
  <c r="I401" i="12" a="1"/>
  <c r="I401" i="12"/>
  <c r="J401" i="12" a="1"/>
  <c r="J401" i="12"/>
  <c r="K401" i="12" a="1"/>
  <c r="K401" i="12"/>
  <c r="I402" i="12" a="1"/>
  <c r="I402" i="12"/>
  <c r="J402" i="12" a="1"/>
  <c r="J402" i="12"/>
  <c r="K402" i="12" a="1"/>
  <c r="K402" i="12"/>
  <c r="I403" i="12" a="1"/>
  <c r="I403" i="12"/>
  <c r="J403" i="12" a="1"/>
  <c r="J403" i="12"/>
  <c r="K403" i="12" a="1"/>
  <c r="K403" i="12"/>
  <c r="I404" i="12" a="1"/>
  <c r="I404" i="12"/>
  <c r="J404" i="12" a="1"/>
  <c r="J404" i="12"/>
  <c r="K404" i="12" a="1"/>
  <c r="K404" i="12"/>
  <c r="I405" i="12" a="1"/>
  <c r="I405" i="12"/>
  <c r="J405" i="12" a="1"/>
  <c r="J405" i="12"/>
  <c r="K405" i="12" a="1"/>
  <c r="K405" i="12"/>
  <c r="I406" i="12" a="1"/>
  <c r="I406" i="12"/>
  <c r="J406" i="12" a="1"/>
  <c r="J406" i="12"/>
  <c r="K406" i="12" a="1"/>
  <c r="K406" i="12"/>
  <c r="I407" i="12" a="1"/>
  <c r="I407" i="12"/>
  <c r="J407" i="12" a="1"/>
  <c r="J407" i="12"/>
  <c r="K407" i="12" a="1"/>
  <c r="K407" i="12"/>
  <c r="I408" i="12" a="1"/>
  <c r="I408" i="12"/>
  <c r="J408" i="12" a="1"/>
  <c r="J408" i="12"/>
  <c r="K408" i="12" a="1"/>
  <c r="K408" i="12"/>
  <c r="I409" i="12" a="1"/>
  <c r="I409" i="12"/>
  <c r="J409" i="12" a="1"/>
  <c r="J409" i="12"/>
  <c r="K409" i="12" a="1"/>
  <c r="K409" i="12"/>
  <c r="I410" i="12" a="1"/>
  <c r="I410" i="12"/>
  <c r="J410" i="12" a="1"/>
  <c r="J410" i="12"/>
  <c r="K410" i="12" a="1"/>
  <c r="K410" i="12"/>
  <c r="I411" i="12" a="1"/>
  <c r="I411" i="12"/>
  <c r="J411" i="12" a="1"/>
  <c r="J411" i="12"/>
  <c r="K411" i="12" a="1"/>
  <c r="K411" i="12"/>
  <c r="I412" i="12" a="1"/>
  <c r="I412" i="12"/>
  <c r="J412" i="12" a="1"/>
  <c r="J412" i="12"/>
  <c r="K412" i="12" a="1"/>
  <c r="K412" i="12"/>
  <c r="I413" i="12" a="1"/>
  <c r="I413" i="12"/>
  <c r="J413" i="12" a="1"/>
  <c r="J413" i="12"/>
  <c r="K413" i="12" a="1"/>
  <c r="K413" i="12"/>
  <c r="I414" i="12" a="1"/>
  <c r="I414" i="12"/>
  <c r="J414" i="12" a="1"/>
  <c r="J414" i="12"/>
  <c r="K414" i="12" a="1"/>
  <c r="K414" i="12"/>
  <c r="I415" i="12" a="1"/>
  <c r="I415" i="12"/>
  <c r="J415" i="12" a="1"/>
  <c r="J415" i="12"/>
  <c r="K415" i="12" a="1"/>
  <c r="K415" i="12"/>
  <c r="I416" i="12" a="1"/>
  <c r="I416" i="12"/>
  <c r="J416" i="12" a="1"/>
  <c r="J416" i="12"/>
  <c r="K416" i="12" a="1"/>
  <c r="K416" i="12"/>
  <c r="I417" i="12" a="1"/>
  <c r="I417" i="12"/>
  <c r="J417" i="12" a="1"/>
  <c r="J417" i="12"/>
  <c r="K417" i="12" a="1"/>
  <c r="K417" i="12"/>
  <c r="I418" i="12" a="1"/>
  <c r="I418" i="12"/>
  <c r="J418" i="12" a="1"/>
  <c r="J418" i="12"/>
  <c r="K418" i="12" a="1"/>
  <c r="K418" i="12"/>
  <c r="I419" i="12" a="1"/>
  <c r="I419" i="12"/>
  <c r="J419" i="12" a="1"/>
  <c r="J419" i="12"/>
  <c r="K419" i="12" a="1"/>
  <c r="K419" i="12"/>
  <c r="I420" i="12" a="1"/>
  <c r="I420" i="12"/>
  <c r="J420" i="12" a="1"/>
  <c r="J420" i="12"/>
  <c r="K420" i="12" a="1"/>
  <c r="K420" i="12"/>
  <c r="I421" i="12" a="1"/>
  <c r="I421" i="12"/>
  <c r="J421" i="12" a="1"/>
  <c r="J421" i="12"/>
  <c r="K421" i="12" a="1"/>
  <c r="K421" i="12"/>
  <c r="I422" i="12" a="1"/>
  <c r="I422" i="12"/>
  <c r="J422" i="12" a="1"/>
  <c r="J422" i="12"/>
  <c r="K422" i="12" a="1"/>
  <c r="K422" i="12"/>
  <c r="I423" i="12" a="1"/>
  <c r="I423" i="12"/>
  <c r="J423" i="12" a="1"/>
  <c r="J423" i="12"/>
  <c r="K423" i="12" a="1"/>
  <c r="K423" i="12"/>
  <c r="I424" i="12" a="1"/>
  <c r="I424" i="12"/>
  <c r="J424" i="12" a="1"/>
  <c r="J424" i="12"/>
  <c r="K424" i="12" a="1"/>
  <c r="K424" i="12"/>
  <c r="I425" i="12" a="1"/>
  <c r="I425" i="12"/>
  <c r="J425" i="12" a="1"/>
  <c r="J425" i="12"/>
  <c r="K425" i="12" a="1"/>
  <c r="K425" i="12"/>
  <c r="I426" i="12" a="1"/>
  <c r="I426" i="12"/>
  <c r="J426" i="12" a="1"/>
  <c r="J426" i="12"/>
  <c r="K426" i="12" a="1"/>
  <c r="K426" i="12"/>
  <c r="I427" i="12" a="1"/>
  <c r="I427" i="12"/>
  <c r="J427" i="12" a="1"/>
  <c r="J427" i="12"/>
  <c r="K427" i="12" a="1"/>
  <c r="K427" i="12"/>
  <c r="I428" i="12" a="1"/>
  <c r="I428" i="12"/>
  <c r="J428" i="12" a="1"/>
  <c r="J428" i="12"/>
  <c r="K428" i="12" a="1"/>
  <c r="K428" i="12"/>
  <c r="I429" i="12" a="1"/>
  <c r="I429" i="12"/>
  <c r="J429" i="12" a="1"/>
  <c r="J429" i="12"/>
  <c r="K429" i="12" a="1"/>
  <c r="K429" i="12"/>
  <c r="I430" i="12" a="1"/>
  <c r="I430" i="12"/>
  <c r="J430" i="12" a="1"/>
  <c r="J430" i="12"/>
  <c r="K430" i="12" a="1"/>
  <c r="K430" i="12"/>
  <c r="I431" i="12" a="1"/>
  <c r="I431" i="12"/>
  <c r="J431" i="12" a="1"/>
  <c r="J431" i="12"/>
  <c r="K431" i="12" a="1"/>
  <c r="K431" i="12"/>
  <c r="I432" i="12" a="1"/>
  <c r="I432" i="12"/>
  <c r="J432" i="12" a="1"/>
  <c r="J432" i="12"/>
  <c r="K432" i="12" a="1"/>
  <c r="K432" i="12"/>
  <c r="I433" i="12" a="1"/>
  <c r="I433" i="12"/>
  <c r="J433" i="12" a="1"/>
  <c r="J433" i="12"/>
  <c r="K433" i="12" a="1"/>
  <c r="K433" i="12"/>
  <c r="I434" i="12" a="1"/>
  <c r="I434" i="12"/>
  <c r="J434" i="12" a="1"/>
  <c r="J434" i="12"/>
  <c r="K434" i="12" a="1"/>
  <c r="K434" i="12"/>
  <c r="I435" i="12" a="1"/>
  <c r="I435" i="12"/>
  <c r="J435" i="12" a="1"/>
  <c r="J435" i="12"/>
  <c r="K435" i="12" a="1"/>
  <c r="K435" i="12"/>
  <c r="I436" i="12" a="1"/>
  <c r="I436" i="12"/>
  <c r="J436" i="12" a="1"/>
  <c r="J436" i="12"/>
  <c r="K436" i="12" a="1"/>
  <c r="K436" i="12"/>
  <c r="I437" i="12" a="1"/>
  <c r="I437" i="12"/>
  <c r="J437" i="12" a="1"/>
  <c r="J437" i="12"/>
  <c r="K437" i="12" a="1"/>
  <c r="K437" i="12"/>
  <c r="I438" i="12" a="1"/>
  <c r="I438" i="12"/>
  <c r="J438" i="12" a="1"/>
  <c r="J438" i="12"/>
  <c r="K438" i="12" a="1"/>
  <c r="K438" i="12"/>
  <c r="I439" i="12" a="1"/>
  <c r="I439" i="12"/>
  <c r="J439" i="12" a="1"/>
  <c r="J439" i="12"/>
  <c r="K439" i="12" a="1"/>
  <c r="K439" i="12"/>
  <c r="I440" i="12" a="1"/>
  <c r="I440" i="12"/>
  <c r="J440" i="12" a="1"/>
  <c r="J440" i="12"/>
  <c r="K440" i="12" a="1"/>
  <c r="K440" i="12"/>
  <c r="I441" i="12" a="1"/>
  <c r="I441" i="12"/>
  <c r="J441" i="12" a="1"/>
  <c r="J441" i="12"/>
  <c r="K441" i="12" a="1"/>
  <c r="K441" i="12"/>
  <c r="I442" i="12" a="1"/>
  <c r="I442" i="12"/>
  <c r="J442" i="12" a="1"/>
  <c r="J442" i="12"/>
  <c r="K442" i="12" a="1"/>
  <c r="K442" i="12"/>
  <c r="I443" i="12" a="1"/>
  <c r="I443" i="12"/>
  <c r="J443" i="12" a="1"/>
  <c r="J443" i="12"/>
  <c r="K443" i="12" a="1"/>
  <c r="K443" i="12"/>
  <c r="I444" i="12" a="1"/>
  <c r="I444" i="12"/>
  <c r="J444" i="12" a="1"/>
  <c r="J444" i="12"/>
  <c r="K444" i="12" a="1"/>
  <c r="K444" i="12"/>
  <c r="I445" i="12" a="1"/>
  <c r="I445" i="12"/>
  <c r="J445" i="12" a="1"/>
  <c r="J445" i="12"/>
  <c r="K445" i="12" a="1"/>
  <c r="K445" i="12"/>
  <c r="I446" i="12" a="1"/>
  <c r="I446" i="12"/>
  <c r="J446" i="12" a="1"/>
  <c r="J446" i="12"/>
  <c r="K446" i="12" a="1"/>
  <c r="K446" i="12"/>
  <c r="I447" i="12" a="1"/>
  <c r="I447" i="12"/>
  <c r="J447" i="12" a="1"/>
  <c r="J447" i="12"/>
  <c r="K447" i="12" a="1"/>
  <c r="K447" i="12"/>
  <c r="I448" i="12" a="1"/>
  <c r="I448" i="12"/>
  <c r="J448" i="12" a="1"/>
  <c r="J448" i="12"/>
  <c r="K448" i="12" a="1"/>
  <c r="K448" i="12"/>
  <c r="I449" i="12" a="1"/>
  <c r="I449" i="12"/>
  <c r="J449" i="12" a="1"/>
  <c r="J449" i="12"/>
  <c r="K449" i="12" a="1"/>
  <c r="K449" i="12"/>
  <c r="I450" i="12" a="1"/>
  <c r="I450" i="12"/>
  <c r="J450" i="12" a="1"/>
  <c r="J450" i="12"/>
  <c r="K450" i="12" a="1"/>
  <c r="K450" i="12"/>
  <c r="I451" i="12" a="1"/>
  <c r="I451" i="12"/>
  <c r="J451" i="12" a="1"/>
  <c r="J451" i="12"/>
  <c r="K451" i="12" a="1"/>
  <c r="K451" i="12"/>
  <c r="I452" i="12" a="1"/>
  <c r="I452" i="12"/>
  <c r="J452" i="12" a="1"/>
  <c r="J452" i="12"/>
  <c r="K452" i="12" a="1"/>
  <c r="K452" i="12"/>
  <c r="I453" i="12" a="1"/>
  <c r="I453" i="12"/>
  <c r="J453" i="12" a="1"/>
  <c r="J453" i="12"/>
  <c r="K453" i="12" a="1"/>
  <c r="K453" i="12"/>
  <c r="I454" i="12" a="1"/>
  <c r="I454" i="12"/>
  <c r="J454" i="12" a="1"/>
  <c r="J454" i="12"/>
  <c r="K454" i="12" a="1"/>
  <c r="K454" i="12"/>
  <c r="I455" i="12" a="1"/>
  <c r="I455" i="12"/>
  <c r="J455" i="12" a="1"/>
  <c r="J455" i="12"/>
  <c r="K455" i="12" a="1"/>
  <c r="K455" i="12"/>
  <c r="I456" i="12" a="1"/>
  <c r="I456" i="12"/>
  <c r="J456" i="12" a="1"/>
  <c r="J456" i="12"/>
  <c r="K456" i="12" a="1"/>
  <c r="K456" i="12"/>
  <c r="I457" i="12" a="1"/>
  <c r="I457" i="12"/>
  <c r="J457" i="12" a="1"/>
  <c r="J457" i="12"/>
  <c r="K457" i="12" a="1"/>
  <c r="K457" i="12"/>
  <c r="I458" i="12" a="1"/>
  <c r="I458" i="12"/>
  <c r="J458" i="12" a="1"/>
  <c r="J458" i="12"/>
  <c r="K458" i="12" a="1"/>
  <c r="K458" i="12"/>
  <c r="I459" i="12" a="1"/>
  <c r="I459" i="12"/>
  <c r="J459" i="12" a="1"/>
  <c r="J459" i="12"/>
  <c r="K459" i="12" a="1"/>
  <c r="K459" i="12"/>
  <c r="I460" i="12" a="1"/>
  <c r="I460" i="12"/>
  <c r="J460" i="12" a="1"/>
  <c r="J460" i="12"/>
  <c r="K460" i="12" a="1"/>
  <c r="K460" i="12"/>
  <c r="I461" i="12" a="1"/>
  <c r="I461" i="12"/>
  <c r="J461" i="12" a="1"/>
  <c r="J461" i="12"/>
  <c r="K461" i="12" a="1"/>
  <c r="K461" i="12"/>
  <c r="I462" i="12" a="1"/>
  <c r="I462" i="12"/>
  <c r="J462" i="12" a="1"/>
  <c r="J462" i="12"/>
  <c r="K462" i="12" a="1"/>
  <c r="K462" i="12"/>
  <c r="I463" i="12" a="1"/>
  <c r="I463" i="12"/>
  <c r="J463" i="12" a="1"/>
  <c r="J463" i="12"/>
  <c r="K463" i="12" a="1"/>
  <c r="K463" i="12"/>
  <c r="I464" i="12" a="1"/>
  <c r="I464" i="12"/>
  <c r="J464" i="12" a="1"/>
  <c r="J464" i="12"/>
  <c r="K464" i="12" a="1"/>
  <c r="K464" i="12"/>
  <c r="I465" i="12" a="1"/>
  <c r="I465" i="12"/>
  <c r="J465" i="12" a="1"/>
  <c r="J465" i="12"/>
  <c r="K465" i="12" a="1"/>
  <c r="K465" i="12"/>
  <c r="I466" i="12" a="1"/>
  <c r="I466" i="12"/>
  <c r="J466" i="12" a="1"/>
  <c r="J466" i="12"/>
  <c r="K466" i="12" a="1"/>
  <c r="K466" i="12"/>
  <c r="I467" i="12" a="1"/>
  <c r="I467" i="12"/>
  <c r="J467" i="12" a="1"/>
  <c r="J467" i="12"/>
  <c r="K467" i="12" a="1"/>
  <c r="K467" i="12"/>
  <c r="I468" i="12" a="1"/>
  <c r="I468" i="12"/>
  <c r="J468" i="12" a="1"/>
  <c r="J468" i="12"/>
  <c r="K468" i="12" a="1"/>
  <c r="K468" i="12"/>
  <c r="I469" i="12" a="1"/>
  <c r="I469" i="12"/>
  <c r="J469" i="12" a="1"/>
  <c r="J469" i="12"/>
  <c r="K469" i="12" a="1"/>
  <c r="K469" i="12"/>
  <c r="I118" i="12" a="1"/>
  <c r="I118" i="12"/>
  <c r="J118" i="12" a="1"/>
  <c r="J118" i="12"/>
  <c r="K118" i="12" a="1"/>
  <c r="K118" i="12"/>
  <c r="I119" i="12" a="1"/>
  <c r="I119" i="12"/>
  <c r="J119" i="12" a="1"/>
  <c r="J119" i="12"/>
  <c r="K119" i="12" a="1"/>
  <c r="K119" i="12"/>
  <c r="I120" i="12" a="1"/>
  <c r="I120" i="12"/>
  <c r="J120" i="12" a="1"/>
  <c r="J120" i="12"/>
  <c r="K120" i="12" a="1"/>
  <c r="K120" i="12"/>
  <c r="I121" i="12" a="1"/>
  <c r="I121" i="12"/>
  <c r="J121" i="12" a="1"/>
  <c r="J121" i="12"/>
  <c r="K121" i="12" a="1"/>
  <c r="K121" i="12"/>
  <c r="I122" i="12" a="1"/>
  <c r="I122" i="12"/>
  <c r="J122" i="12" a="1"/>
  <c r="J122" i="12"/>
  <c r="K122" i="12" a="1"/>
  <c r="K122" i="12"/>
  <c r="I123" i="12" a="1"/>
  <c r="I123" i="12"/>
  <c r="J123" i="12" a="1"/>
  <c r="J123" i="12"/>
  <c r="K123" i="12" a="1"/>
  <c r="K123" i="12"/>
  <c r="I124" i="12" a="1"/>
  <c r="I124" i="12"/>
  <c r="J124" i="12" a="1"/>
  <c r="J124" i="12"/>
  <c r="K124" i="12" a="1"/>
  <c r="K124" i="12"/>
  <c r="I125" i="12" a="1"/>
  <c r="I125" i="12"/>
  <c r="J125" i="12" a="1"/>
  <c r="J125" i="12"/>
  <c r="K125" i="12" a="1"/>
  <c r="K125" i="12"/>
  <c r="I126" i="12" a="1"/>
  <c r="I126" i="12"/>
  <c r="J126" i="12" a="1"/>
  <c r="J126" i="12"/>
  <c r="K126" i="12" a="1"/>
  <c r="K126" i="12"/>
  <c r="I127" i="12" a="1"/>
  <c r="I127" i="12"/>
  <c r="J127" i="12" a="1"/>
  <c r="J127" i="12"/>
  <c r="K127" i="12" a="1"/>
  <c r="K127" i="12"/>
  <c r="I108" i="12" a="1"/>
  <c r="I108" i="12"/>
  <c r="J108" i="12" a="1"/>
  <c r="J108" i="12"/>
  <c r="K108" i="12" a="1"/>
  <c r="K108" i="12"/>
  <c r="I109" i="12" a="1"/>
  <c r="I109" i="12"/>
  <c r="J109" i="12" a="1"/>
  <c r="J109" i="12"/>
  <c r="K109" i="12" a="1"/>
  <c r="K109" i="12"/>
  <c r="I93" i="12" a="1"/>
  <c r="I93" i="12"/>
  <c r="J93" i="12" a="1"/>
  <c r="J93" i="12"/>
  <c r="K93" i="12" a="1"/>
  <c r="K93" i="12"/>
  <c r="I94" i="12" a="1"/>
  <c r="I94" i="12"/>
  <c r="J94" i="12" a="1"/>
  <c r="J94" i="12"/>
  <c r="K94" i="12" a="1"/>
  <c r="K94" i="12"/>
  <c r="I95" i="12" a="1"/>
  <c r="I95" i="12"/>
  <c r="J95" i="12" a="1"/>
  <c r="J95" i="12"/>
  <c r="K95" i="12" a="1"/>
  <c r="K95" i="12"/>
  <c r="I96" i="12" a="1"/>
  <c r="I96" i="12"/>
  <c r="J96" i="12" a="1"/>
  <c r="J96" i="12"/>
  <c r="K96" i="12" a="1"/>
  <c r="K96" i="12"/>
  <c r="I97" i="12" a="1"/>
  <c r="I97" i="12"/>
  <c r="J97" i="12" a="1"/>
  <c r="J97" i="12"/>
  <c r="K97" i="12" a="1"/>
  <c r="K97" i="12"/>
  <c r="I98" i="12" a="1"/>
  <c r="I98" i="12"/>
  <c r="J98" i="12" a="1"/>
  <c r="J98" i="12"/>
  <c r="K98" i="12" a="1"/>
  <c r="K98" i="12"/>
  <c r="I99" i="12" a="1"/>
  <c r="I99" i="12"/>
  <c r="J99" i="12" a="1"/>
  <c r="J99" i="12"/>
  <c r="K99" i="12" a="1"/>
  <c r="K99" i="12"/>
  <c r="I100" i="12" a="1"/>
  <c r="I100" i="12"/>
  <c r="J100" i="12" a="1"/>
  <c r="J100" i="12"/>
  <c r="K100" i="12" a="1"/>
  <c r="K100" i="12"/>
  <c r="I101" i="12" a="1"/>
  <c r="I101" i="12"/>
  <c r="J101" i="12" a="1"/>
  <c r="J101" i="12"/>
  <c r="K101" i="12" a="1"/>
  <c r="K101" i="12"/>
  <c r="I102" i="12" a="1"/>
  <c r="I102" i="12"/>
  <c r="J102" i="12" a="1"/>
  <c r="J102" i="12"/>
  <c r="K102" i="12" a="1"/>
  <c r="K102" i="12"/>
  <c r="I103" i="12" a="1"/>
  <c r="I103" i="12"/>
  <c r="J103" i="12" a="1"/>
  <c r="J103" i="12"/>
  <c r="K103" i="12" a="1"/>
  <c r="K103" i="12"/>
  <c r="I104" i="12" a="1"/>
  <c r="I104" i="12"/>
  <c r="J104" i="12" a="1"/>
  <c r="J104" i="12"/>
  <c r="K104" i="12" a="1"/>
  <c r="K104" i="12"/>
  <c r="I105" i="12" a="1"/>
  <c r="I105" i="12"/>
  <c r="J105" i="12" a="1"/>
  <c r="J105" i="12"/>
  <c r="K105" i="12" a="1"/>
  <c r="K105" i="12"/>
  <c r="I106" i="12" a="1"/>
  <c r="I106" i="12"/>
  <c r="J106" i="12" a="1"/>
  <c r="J106" i="12"/>
  <c r="K106" i="12" a="1"/>
  <c r="K106" i="12"/>
  <c r="I107" i="12" a="1"/>
  <c r="I107" i="12"/>
  <c r="J107" i="12" a="1"/>
  <c r="J107" i="12"/>
  <c r="K107" i="12" a="1"/>
  <c r="K107" i="12"/>
  <c r="J3" i="12" a="1"/>
  <c r="J3" i="12"/>
  <c r="J4" i="12" a="1"/>
  <c r="J4" i="12"/>
  <c r="J5" i="12" a="1"/>
  <c r="J5" i="12"/>
  <c r="J6" i="12" a="1"/>
  <c r="J6" i="12"/>
  <c r="J7" i="12" a="1"/>
  <c r="J7" i="12"/>
  <c r="J8" i="12" a="1"/>
  <c r="J8" i="12"/>
  <c r="J9" i="12" a="1"/>
  <c r="J9" i="12"/>
  <c r="J10" i="12" a="1"/>
  <c r="J10" i="12"/>
  <c r="J11" i="12" a="1"/>
  <c r="J11" i="12"/>
  <c r="J12" i="12" a="1"/>
  <c r="J12" i="12"/>
  <c r="J13" i="12" a="1"/>
  <c r="J13" i="12"/>
  <c r="J14" i="12" a="1"/>
  <c r="J14" i="12"/>
  <c r="J15" i="12" a="1"/>
  <c r="J15" i="12"/>
  <c r="J16" i="12" a="1"/>
  <c r="J16" i="12"/>
  <c r="J17" i="12" a="1"/>
  <c r="J17" i="12"/>
  <c r="J18" i="12" a="1"/>
  <c r="J18" i="12"/>
  <c r="J19" i="12" a="1"/>
  <c r="J19" i="12"/>
  <c r="J20" i="12" a="1"/>
  <c r="J20" i="12"/>
  <c r="J21" i="12" a="1"/>
  <c r="J21" i="12"/>
  <c r="J22" i="12" a="1"/>
  <c r="J22" i="12"/>
  <c r="J23" i="12" a="1"/>
  <c r="J23" i="12"/>
  <c r="J24" i="12" a="1"/>
  <c r="J24" i="12"/>
  <c r="J25" i="12" a="1"/>
  <c r="J25" i="12"/>
  <c r="J26" i="12" a="1"/>
  <c r="J26" i="12"/>
  <c r="J27" i="12" a="1"/>
  <c r="J27" i="12"/>
  <c r="J28" i="12" a="1"/>
  <c r="J28" i="12"/>
  <c r="J29" i="12" a="1"/>
  <c r="J29" i="12"/>
  <c r="J30" i="12" a="1"/>
  <c r="J30" i="12"/>
  <c r="J31" i="12" a="1"/>
  <c r="J31" i="12"/>
  <c r="J32" i="12" a="1"/>
  <c r="J32" i="12"/>
  <c r="J33" i="12" a="1"/>
  <c r="J33" i="12"/>
  <c r="J34" i="12" a="1"/>
  <c r="J34" i="12"/>
  <c r="J35" i="12" a="1"/>
  <c r="J35" i="12"/>
  <c r="J36" i="12" a="1"/>
  <c r="J36" i="12"/>
  <c r="J37" i="12" a="1"/>
  <c r="J37" i="12"/>
  <c r="J38" i="12" a="1"/>
  <c r="J38" i="12"/>
  <c r="J39" i="12" a="1"/>
  <c r="J39" i="12"/>
  <c r="J40" i="12" a="1"/>
  <c r="J40" i="12"/>
  <c r="J41" i="12" a="1"/>
  <c r="J41" i="12"/>
  <c r="J42" i="12" a="1"/>
  <c r="J42" i="12"/>
  <c r="J43" i="12" a="1"/>
  <c r="J43" i="12"/>
  <c r="J44" i="12" a="1"/>
  <c r="J44" i="12"/>
  <c r="J45" i="12" a="1"/>
  <c r="J45" i="12"/>
  <c r="J46" i="12" a="1"/>
  <c r="J46" i="12"/>
  <c r="J47" i="12" a="1"/>
  <c r="J47" i="12"/>
  <c r="J48" i="12" a="1"/>
  <c r="J48" i="12"/>
  <c r="J49" i="12" a="1"/>
  <c r="J49" i="12"/>
  <c r="J50" i="12" a="1"/>
  <c r="J50" i="12"/>
  <c r="J51" i="12" a="1"/>
  <c r="J51" i="12"/>
  <c r="J52" i="12" a="1"/>
  <c r="J52" i="12"/>
  <c r="J53" i="12" a="1"/>
  <c r="J53" i="12"/>
  <c r="J54" i="12" a="1"/>
  <c r="J54" i="12"/>
  <c r="J55" i="12" a="1"/>
  <c r="J55" i="12"/>
  <c r="J56" i="12" a="1"/>
  <c r="J56" i="12"/>
  <c r="J57" i="12" a="1"/>
  <c r="J57" i="12"/>
  <c r="J58" i="12" a="1"/>
  <c r="J58" i="12"/>
  <c r="J59" i="12" a="1"/>
  <c r="J59" i="12"/>
  <c r="J60" i="12" a="1"/>
  <c r="J60" i="12"/>
  <c r="J61" i="12" a="1"/>
  <c r="J61" i="12"/>
  <c r="J62" i="12" a="1"/>
  <c r="J62" i="12"/>
  <c r="J63" i="12" a="1"/>
  <c r="J63" i="12"/>
  <c r="J64" i="12" a="1"/>
  <c r="J64" i="12"/>
  <c r="J65" i="12" a="1"/>
  <c r="J65" i="12"/>
  <c r="J66" i="12" a="1"/>
  <c r="J66" i="12"/>
  <c r="J67" i="12" a="1"/>
  <c r="J67" i="12"/>
  <c r="J68" i="12" a="1"/>
  <c r="J68" i="12"/>
  <c r="J69" i="12" a="1"/>
  <c r="J69" i="12"/>
  <c r="J70" i="12" a="1"/>
  <c r="J70" i="12"/>
  <c r="J71" i="12" a="1"/>
  <c r="J71" i="12"/>
  <c r="J72" i="12" a="1"/>
  <c r="J72" i="12"/>
  <c r="J73" i="12" a="1"/>
  <c r="J73" i="12"/>
  <c r="J74" i="12" a="1"/>
  <c r="J74" i="12"/>
  <c r="J75" i="12" a="1"/>
  <c r="J75" i="12"/>
  <c r="J76" i="12" a="1"/>
  <c r="J76" i="12"/>
  <c r="J77" i="12" a="1"/>
  <c r="J77" i="12"/>
  <c r="J78" i="12" a="1"/>
  <c r="J78" i="12"/>
  <c r="J79" i="12" a="1"/>
  <c r="J79" i="12"/>
  <c r="J80" i="12" a="1"/>
  <c r="J80" i="12"/>
  <c r="J81" i="12" a="1"/>
  <c r="J81" i="12"/>
  <c r="J82" i="12" a="1"/>
  <c r="J82" i="12"/>
  <c r="J83" i="12" a="1"/>
  <c r="J83" i="12"/>
  <c r="J84" i="12" a="1"/>
  <c r="J84" i="12"/>
  <c r="J85" i="12" a="1"/>
  <c r="J85" i="12"/>
  <c r="J86" i="12" a="1"/>
  <c r="J86" i="12"/>
  <c r="J87" i="12" a="1"/>
  <c r="J87" i="12"/>
  <c r="J88" i="12" a="1"/>
  <c r="J88" i="12"/>
  <c r="J89" i="12" a="1"/>
  <c r="J89" i="12"/>
  <c r="J90" i="12" a="1"/>
  <c r="J90" i="12"/>
  <c r="J91" i="12" a="1"/>
  <c r="J91" i="12"/>
  <c r="J92" i="12" a="1"/>
  <c r="J92" i="12"/>
  <c r="J110" i="12" a="1"/>
  <c r="J110" i="12"/>
  <c r="J111" i="12" a="1"/>
  <c r="J111" i="12"/>
  <c r="J112" i="12" a="1"/>
  <c r="J112" i="12"/>
  <c r="J113" i="12" a="1"/>
  <c r="J113" i="12"/>
  <c r="J114" i="12" a="1"/>
  <c r="J114" i="12"/>
  <c r="J115" i="12" a="1"/>
  <c r="J115" i="12"/>
  <c r="J116" i="12" a="1"/>
  <c r="J116" i="12"/>
  <c r="J117" i="12" a="1"/>
  <c r="J117" i="12"/>
  <c r="J2" i="12" a="1"/>
  <c r="J2" i="12"/>
  <c r="I74" i="12" a="1"/>
  <c r="I74" i="12"/>
  <c r="K74" i="12" a="1"/>
  <c r="K74" i="12"/>
  <c r="I75" i="12" a="1"/>
  <c r="I75" i="12"/>
  <c r="K75" i="12" a="1"/>
  <c r="K75" i="12"/>
  <c r="I76" i="12" a="1"/>
  <c r="I76" i="12"/>
  <c r="K76" i="12" a="1"/>
  <c r="K76" i="12"/>
  <c r="I77" i="12" a="1"/>
  <c r="I77" i="12"/>
  <c r="K77" i="12" a="1"/>
  <c r="K77" i="12"/>
  <c r="I78" i="12" a="1"/>
  <c r="I78" i="12"/>
  <c r="K78" i="12" a="1"/>
  <c r="K78" i="12"/>
  <c r="I79" i="12" a="1"/>
  <c r="I79" i="12"/>
  <c r="K79" i="12" a="1"/>
  <c r="K79" i="12"/>
  <c r="I80" i="12" a="1"/>
  <c r="I80" i="12"/>
  <c r="K80" i="12" a="1"/>
  <c r="K80" i="12"/>
  <c r="I81" i="12" a="1"/>
  <c r="I81" i="12"/>
  <c r="K81" i="12" a="1"/>
  <c r="K81" i="12"/>
  <c r="I82" i="12" a="1"/>
  <c r="I82" i="12"/>
  <c r="K82" i="12" a="1"/>
  <c r="K82" i="12"/>
  <c r="I83" i="12" a="1"/>
  <c r="I83" i="12"/>
  <c r="K83" i="12" a="1"/>
  <c r="K83" i="12"/>
  <c r="I84" i="12" a="1"/>
  <c r="I84" i="12"/>
  <c r="K84" i="12" a="1"/>
  <c r="K84" i="12"/>
  <c r="I85" i="12" a="1"/>
  <c r="I85" i="12"/>
  <c r="K85" i="12" a="1"/>
  <c r="K85" i="12"/>
  <c r="I86" i="12" a="1"/>
  <c r="I86" i="12"/>
  <c r="K86" i="12" a="1"/>
  <c r="K86" i="12"/>
  <c r="I87" i="12" a="1"/>
  <c r="I87" i="12"/>
  <c r="K87" i="12" a="1"/>
  <c r="K87" i="12"/>
  <c r="I88" i="12" a="1"/>
  <c r="I88" i="12"/>
  <c r="K88" i="12" a="1"/>
  <c r="K88" i="12"/>
  <c r="I89" i="12" a="1"/>
  <c r="I89" i="12"/>
  <c r="K89" i="12" a="1"/>
  <c r="K89" i="12"/>
  <c r="I90" i="12" a="1"/>
  <c r="I90" i="12"/>
  <c r="K90" i="12" a="1"/>
  <c r="K90" i="12"/>
  <c r="I91" i="12" a="1"/>
  <c r="I91" i="12"/>
  <c r="K91" i="12" a="1"/>
  <c r="K91" i="12"/>
  <c r="I92" i="12" a="1"/>
  <c r="I92" i="12"/>
  <c r="K92" i="12" a="1"/>
  <c r="K92" i="12"/>
  <c r="I110" i="12" a="1"/>
  <c r="I110" i="12"/>
  <c r="K110" i="12" a="1"/>
  <c r="K110" i="12"/>
  <c r="I111" i="12" a="1"/>
  <c r="I111" i="12"/>
  <c r="K111" i="12" a="1"/>
  <c r="K111" i="12"/>
  <c r="I112" i="12" a="1"/>
  <c r="I112" i="12"/>
  <c r="K112" i="12" a="1"/>
  <c r="K112" i="12"/>
  <c r="I113" i="12" a="1"/>
  <c r="I113" i="12"/>
  <c r="K113" i="12" a="1"/>
  <c r="K113" i="12"/>
  <c r="I114" i="12" a="1"/>
  <c r="I114" i="12"/>
  <c r="K114" i="12" a="1"/>
  <c r="K114" i="12"/>
  <c r="I115" i="12" a="1"/>
  <c r="I115" i="12"/>
  <c r="K115" i="12" a="1"/>
  <c r="K115" i="12"/>
  <c r="I116" i="12" a="1"/>
  <c r="I116" i="12"/>
  <c r="K116" i="12" a="1"/>
  <c r="K116" i="12"/>
  <c r="I117" i="12" a="1"/>
  <c r="I117" i="12"/>
  <c r="K117" i="12" a="1"/>
  <c r="K117" i="12"/>
  <c r="K3" i="12" a="1"/>
  <c r="K3" i="12"/>
  <c r="K4" i="12" a="1"/>
  <c r="K4" i="12"/>
  <c r="K5" i="12" a="1"/>
  <c r="K5" i="12"/>
  <c r="K6" i="12" a="1"/>
  <c r="K6" i="12"/>
  <c r="K7" i="12" a="1"/>
  <c r="K7" i="12"/>
  <c r="K8" i="12" a="1"/>
  <c r="K8" i="12"/>
  <c r="K9" i="12" a="1"/>
  <c r="K9" i="12"/>
  <c r="K10" i="12" a="1"/>
  <c r="K10" i="12"/>
  <c r="K11" i="12" a="1"/>
  <c r="K11" i="12"/>
  <c r="K12" i="12" a="1"/>
  <c r="K12" i="12"/>
  <c r="K13" i="12" a="1"/>
  <c r="K13" i="12"/>
  <c r="K14" i="12" a="1"/>
  <c r="K14" i="12"/>
  <c r="K15" i="12" a="1"/>
  <c r="K15" i="12"/>
  <c r="K16" i="12" a="1"/>
  <c r="K16" i="12"/>
  <c r="K17" i="12" a="1"/>
  <c r="K17" i="12"/>
  <c r="K18" i="12" a="1"/>
  <c r="K18" i="12"/>
  <c r="K19" i="12" a="1"/>
  <c r="K19" i="12"/>
  <c r="K20" i="12" a="1"/>
  <c r="K20" i="12"/>
  <c r="K21" i="12" a="1"/>
  <c r="K21" i="12"/>
  <c r="K22" i="12" a="1"/>
  <c r="K22" i="12"/>
  <c r="K23" i="12" a="1"/>
  <c r="K23" i="12"/>
  <c r="K24" i="12" a="1"/>
  <c r="K24" i="12"/>
  <c r="K25" i="12" a="1"/>
  <c r="K25" i="12"/>
  <c r="K26" i="12" a="1"/>
  <c r="K26" i="12"/>
  <c r="K27" i="12" a="1"/>
  <c r="K27" i="12"/>
  <c r="K28" i="12" a="1"/>
  <c r="K28" i="12"/>
  <c r="K29" i="12" a="1"/>
  <c r="K29" i="12"/>
  <c r="K30" i="12" a="1"/>
  <c r="K30" i="12"/>
  <c r="K31" i="12" a="1"/>
  <c r="K31" i="12"/>
  <c r="K32" i="12" a="1"/>
  <c r="K32" i="12"/>
  <c r="K33" i="12" a="1"/>
  <c r="K33" i="12"/>
  <c r="K34" i="12" a="1"/>
  <c r="K34" i="12"/>
  <c r="K35" i="12" a="1"/>
  <c r="K35" i="12"/>
  <c r="K36" i="12" a="1"/>
  <c r="K36" i="12"/>
  <c r="K37" i="12" a="1"/>
  <c r="K37" i="12"/>
  <c r="K38" i="12" a="1"/>
  <c r="K38" i="12"/>
  <c r="K39" i="12" a="1"/>
  <c r="K39" i="12"/>
  <c r="K40" i="12" a="1"/>
  <c r="K40" i="12"/>
  <c r="K41" i="12" a="1"/>
  <c r="K41" i="12"/>
  <c r="K42" i="12" a="1"/>
  <c r="K42" i="12"/>
  <c r="K43" i="12" a="1"/>
  <c r="K43" i="12"/>
  <c r="K44" i="12" a="1"/>
  <c r="K44" i="12"/>
  <c r="K45" i="12" a="1"/>
  <c r="K45" i="12"/>
  <c r="K46" i="12" a="1"/>
  <c r="K46" i="12"/>
  <c r="K47" i="12" a="1"/>
  <c r="K47" i="12"/>
  <c r="K48" i="12" a="1"/>
  <c r="K48" i="12"/>
  <c r="K49" i="12" a="1"/>
  <c r="K49" i="12"/>
  <c r="K50" i="12" a="1"/>
  <c r="K50" i="12"/>
  <c r="K51" i="12" a="1"/>
  <c r="K51" i="12"/>
  <c r="K52" i="12" a="1"/>
  <c r="K52" i="12"/>
  <c r="K53" i="12" a="1"/>
  <c r="K53" i="12"/>
  <c r="K54" i="12" a="1"/>
  <c r="K54" i="12"/>
  <c r="K55" i="12" a="1"/>
  <c r="K55" i="12"/>
  <c r="K56" i="12" a="1"/>
  <c r="K56" i="12"/>
  <c r="K57" i="12" a="1"/>
  <c r="K57" i="12"/>
  <c r="K58" i="12" a="1"/>
  <c r="K58" i="12"/>
  <c r="K59" i="12" a="1"/>
  <c r="K59" i="12"/>
  <c r="K60" i="12" a="1"/>
  <c r="K60" i="12"/>
  <c r="K61" i="12" a="1"/>
  <c r="K61" i="12"/>
  <c r="K62" i="12" a="1"/>
  <c r="K62" i="12"/>
  <c r="K63" i="12" a="1"/>
  <c r="K63" i="12"/>
  <c r="K64" i="12" a="1"/>
  <c r="K64" i="12"/>
  <c r="K65" i="12" a="1"/>
  <c r="K65" i="12"/>
  <c r="K66" i="12" a="1"/>
  <c r="K66" i="12"/>
  <c r="K67" i="12" a="1"/>
  <c r="K67" i="12"/>
  <c r="K68" i="12" a="1"/>
  <c r="K68" i="12"/>
  <c r="K69" i="12" a="1"/>
  <c r="K69" i="12"/>
  <c r="K70" i="12" a="1"/>
  <c r="K70" i="12"/>
  <c r="K71" i="12" a="1"/>
  <c r="K71" i="12"/>
  <c r="K72" i="12" a="1"/>
  <c r="K72" i="12"/>
  <c r="K73" i="12" a="1"/>
  <c r="K73" i="12"/>
  <c r="K2" i="12" a="1"/>
  <c r="K2" i="12"/>
  <c r="I3" i="12" a="1"/>
  <c r="I3" i="12"/>
  <c r="I4" i="12" a="1"/>
  <c r="I4" i="12"/>
  <c r="I5" i="12" a="1"/>
  <c r="I5" i="12"/>
  <c r="I6" i="12" a="1"/>
  <c r="I6" i="12"/>
  <c r="I7" i="12" a="1"/>
  <c r="I7" i="12"/>
  <c r="I8" i="12" a="1"/>
  <c r="I8" i="12"/>
  <c r="I9" i="12" a="1"/>
  <c r="I9" i="12"/>
  <c r="I10" i="12" a="1"/>
  <c r="I10" i="12"/>
  <c r="I11" i="12" a="1"/>
  <c r="I11" i="12"/>
  <c r="I12" i="12" a="1"/>
  <c r="I12" i="12"/>
  <c r="I13" i="12" a="1"/>
  <c r="I13" i="12"/>
  <c r="I14" i="12" a="1"/>
  <c r="I14" i="12"/>
  <c r="I15" i="12" a="1"/>
  <c r="I15" i="12"/>
  <c r="I16" i="12" a="1"/>
  <c r="I16" i="12"/>
  <c r="I17" i="12" a="1"/>
  <c r="I17" i="12"/>
  <c r="I18" i="12" a="1"/>
  <c r="I18" i="12"/>
  <c r="I19" i="12" a="1"/>
  <c r="I19" i="12"/>
  <c r="I20" i="12" a="1"/>
  <c r="I20" i="12"/>
  <c r="I21" i="12" a="1"/>
  <c r="I21" i="12"/>
  <c r="I22" i="12" a="1"/>
  <c r="I22" i="12"/>
  <c r="I23" i="12" a="1"/>
  <c r="I23" i="12"/>
  <c r="I24" i="12" a="1"/>
  <c r="I24" i="12"/>
  <c r="I25" i="12" a="1"/>
  <c r="I25" i="12"/>
  <c r="I26" i="12" a="1"/>
  <c r="I26" i="12"/>
  <c r="I27" i="12" a="1"/>
  <c r="I27" i="12"/>
  <c r="I28" i="12" a="1"/>
  <c r="I28" i="12"/>
  <c r="I29" i="12" a="1"/>
  <c r="I29" i="12"/>
  <c r="I30" i="12" a="1"/>
  <c r="I30" i="12"/>
  <c r="I31" i="12" a="1"/>
  <c r="I31" i="12"/>
  <c r="I32" i="12" a="1"/>
  <c r="I32" i="12"/>
  <c r="I33" i="12" a="1"/>
  <c r="I33" i="12"/>
  <c r="I34" i="12" a="1"/>
  <c r="I34" i="12"/>
  <c r="I35" i="12" a="1"/>
  <c r="I35" i="12"/>
  <c r="I36" i="12" a="1"/>
  <c r="I36" i="12"/>
  <c r="I37" i="12" a="1"/>
  <c r="I37" i="12"/>
  <c r="I38" i="12" a="1"/>
  <c r="I38" i="12"/>
  <c r="I39" i="12" a="1"/>
  <c r="I39" i="12"/>
  <c r="I40" i="12" a="1"/>
  <c r="I40" i="12"/>
  <c r="I41" i="12" a="1"/>
  <c r="I41" i="12"/>
  <c r="I42" i="12" a="1"/>
  <c r="I42" i="12"/>
  <c r="I43" i="12" a="1"/>
  <c r="I43" i="12"/>
  <c r="I44" i="12" a="1"/>
  <c r="I44" i="12"/>
  <c r="I45" i="12" a="1"/>
  <c r="I45" i="12"/>
  <c r="I46" i="12" a="1"/>
  <c r="I46" i="12"/>
  <c r="I47" i="12" a="1"/>
  <c r="I47" i="12"/>
  <c r="I48" i="12" a="1"/>
  <c r="I48" i="12"/>
  <c r="I49" i="12" a="1"/>
  <c r="I49" i="12"/>
  <c r="I50" i="12" a="1"/>
  <c r="I50" i="12"/>
  <c r="I51" i="12" a="1"/>
  <c r="I51" i="12"/>
  <c r="I52" i="12" a="1"/>
  <c r="I52" i="12"/>
  <c r="I53" i="12" a="1"/>
  <c r="I53" i="12"/>
  <c r="I54" i="12" a="1"/>
  <c r="I54" i="12"/>
  <c r="I55" i="12" a="1"/>
  <c r="I55" i="12"/>
  <c r="I56" i="12" a="1"/>
  <c r="I56" i="12"/>
  <c r="I57" i="12" a="1"/>
  <c r="I57" i="12"/>
  <c r="I58" i="12" a="1"/>
  <c r="I58" i="12"/>
  <c r="I59" i="12" a="1"/>
  <c r="I59" i="12"/>
  <c r="I60" i="12" a="1"/>
  <c r="I60" i="12"/>
  <c r="I61" i="12" a="1"/>
  <c r="I61" i="12"/>
  <c r="I62" i="12" a="1"/>
  <c r="I62" i="12"/>
  <c r="I63" i="12" a="1"/>
  <c r="I63" i="12"/>
  <c r="I64" i="12" a="1"/>
  <c r="I64" i="12"/>
  <c r="I65" i="12" a="1"/>
  <c r="I65" i="12"/>
  <c r="I66" i="12" a="1"/>
  <c r="I66" i="12"/>
  <c r="I67" i="12" a="1"/>
  <c r="I67" i="12"/>
  <c r="I68" i="12" a="1"/>
  <c r="I68" i="12"/>
  <c r="I69" i="12" a="1"/>
  <c r="I69" i="12"/>
  <c r="I70" i="12" a="1"/>
  <c r="I70" i="12"/>
  <c r="I71" i="12" a="1"/>
  <c r="I71" i="12"/>
  <c r="I72" i="12" a="1"/>
  <c r="I72" i="12"/>
  <c r="I73" i="12" a="1"/>
  <c r="I73" i="12"/>
  <c r="I2" i="12" a="1"/>
  <c r="I2" i="12"/>
  <c r="D26" i="9"/>
  <c r="W26" i="9"/>
  <c r="D77" i="9"/>
  <c r="D76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W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W15" i="9"/>
  <c r="D14" i="9"/>
  <c r="W14" i="9" s="1"/>
  <c r="D13" i="9"/>
  <c r="W13" i="9" s="1"/>
  <c r="D11" i="9"/>
  <c r="W11" i="9" s="1"/>
  <c r="D10" i="9"/>
  <c r="W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W2" i="9"/>
  <c r="D77" i="8"/>
  <c r="D76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77" i="7"/>
  <c r="D76" i="7"/>
  <c r="AB34" i="7" a="1"/>
  <c r="AB34" i="7"/>
  <c r="AA34" i="7" a="1"/>
  <c r="AA34" i="7" s="1"/>
  <c r="Z34" i="7" a="1"/>
  <c r="Z34" i="7" s="1"/>
  <c r="D34" i="7"/>
  <c r="AB33" i="7" a="1"/>
  <c r="AB33" i="7"/>
  <c r="AA33" i="7" a="1"/>
  <c r="AA33" i="7"/>
  <c r="Z33" i="7" a="1"/>
  <c r="Z33" i="7"/>
  <c r="D33" i="7"/>
  <c r="AB32" i="7" a="1"/>
  <c r="AB32" i="7" s="1"/>
  <c r="AA32" i="7" a="1"/>
  <c r="AA32" i="7"/>
  <c r="Z32" i="7" a="1"/>
  <c r="Z32" i="7" s="1"/>
  <c r="D32" i="7"/>
  <c r="AB31" i="7" a="1"/>
  <c r="AB31" i="7"/>
  <c r="AA31" i="7" a="1"/>
  <c r="AA31" i="7"/>
  <c r="Z31" i="7" a="1"/>
  <c r="Z31" i="7"/>
  <c r="D31" i="7"/>
  <c r="AB30" i="7" a="1"/>
  <c r="AB30" i="7" s="1"/>
  <c r="AA30" i="7" a="1"/>
  <c r="AA30" i="7" s="1"/>
  <c r="Z30" i="7" a="1"/>
  <c r="Z30" i="7"/>
  <c r="D30" i="7"/>
  <c r="AB29" i="7" a="1"/>
  <c r="AB29" i="7"/>
  <c r="AA29" i="7" a="1"/>
  <c r="AA29" i="7"/>
  <c r="Z29" i="7" a="1"/>
  <c r="Z29" i="7"/>
  <c r="D29" i="7"/>
  <c r="AB28" i="7" a="1"/>
  <c r="AB28" i="7" s="1"/>
  <c r="AA28" i="7" a="1"/>
  <c r="AA28" i="7" s="1"/>
  <c r="Z28" i="7" a="1"/>
  <c r="Z28" i="7" s="1"/>
  <c r="D28" i="7"/>
  <c r="AB27" i="7" a="1"/>
  <c r="AB27" i="7"/>
  <c r="AA27" i="7" a="1"/>
  <c r="AA27" i="7"/>
  <c r="Z27" i="7" a="1"/>
  <c r="Z27" i="7"/>
  <c r="D27" i="7"/>
  <c r="AB26" i="7" a="1"/>
  <c r="AB26" i="7" s="1"/>
  <c r="AA26" i="7" a="1"/>
  <c r="AA26" i="7" s="1"/>
  <c r="Z26" i="7" a="1"/>
  <c r="Z26" i="7" s="1"/>
  <c r="D26" i="7"/>
  <c r="AB25" i="7" a="1"/>
  <c r="AB25" i="7"/>
  <c r="AA25" i="7" a="1"/>
  <c r="AA25" i="7"/>
  <c r="Z25" i="7" a="1"/>
  <c r="Z25" i="7"/>
  <c r="D25" i="7"/>
  <c r="AB24" i="7" a="1"/>
  <c r="AB24" i="7" s="1"/>
  <c r="AA24" i="7" a="1"/>
  <c r="AA24" i="7" s="1"/>
  <c r="Z24" i="7" a="1"/>
  <c r="Z24" i="7" s="1"/>
  <c r="D24" i="7"/>
  <c r="AB23" i="7" a="1"/>
  <c r="AB23" i="7"/>
  <c r="AA23" i="7" a="1"/>
  <c r="AA23" i="7"/>
  <c r="Z23" i="7" a="1"/>
  <c r="Z23" i="7"/>
  <c r="D23" i="7"/>
  <c r="AB22" i="7" a="1"/>
  <c r="AB22" i="7" s="1"/>
  <c r="AA22" i="7" a="1"/>
  <c r="AA22" i="7" s="1"/>
  <c r="Z22" i="7" a="1"/>
  <c r="Z22" i="7" s="1"/>
  <c r="D22" i="7"/>
  <c r="AB21" i="7" a="1"/>
  <c r="AB21" i="7"/>
  <c r="AA21" i="7" a="1"/>
  <c r="AA21" i="7"/>
  <c r="Z21" i="7" a="1"/>
  <c r="Z21" i="7"/>
  <c r="D21" i="7"/>
  <c r="AB20" i="7" a="1"/>
  <c r="AB20" i="7" s="1"/>
  <c r="AA20" i="7" a="1"/>
  <c r="AA20" i="7" s="1"/>
  <c r="Z20" i="7" a="1"/>
  <c r="Z20" i="7" s="1"/>
  <c r="D20" i="7"/>
  <c r="AB19" i="7" a="1"/>
  <c r="AB19" i="7"/>
  <c r="AA19" i="7" a="1"/>
  <c r="AA19" i="7"/>
  <c r="Z19" i="7" a="1"/>
  <c r="Z19" i="7"/>
  <c r="D19" i="7"/>
  <c r="AB18" i="7" a="1"/>
  <c r="AB18" i="7"/>
  <c r="AA18" i="7" a="1"/>
  <c r="AA18" i="7" s="1"/>
  <c r="Z18" i="7" a="1"/>
  <c r="Z18" i="7" s="1"/>
  <c r="D18" i="7"/>
  <c r="AB17" i="7" a="1"/>
  <c r="AB17" i="7"/>
  <c r="AA17" i="7" a="1"/>
  <c r="AA17" i="7"/>
  <c r="Z17" i="7" a="1"/>
  <c r="Z17" i="7"/>
  <c r="D17" i="7"/>
  <c r="AB16" i="7" a="1"/>
  <c r="AB16" i="7" s="1"/>
  <c r="AA16" i="7" a="1"/>
  <c r="AA16" i="7"/>
  <c r="Z16" i="7" a="1"/>
  <c r="Z16" i="7" s="1"/>
  <c r="D16" i="7"/>
  <c r="AB15" i="7" a="1"/>
  <c r="AB15" i="7"/>
  <c r="AA15" i="7" a="1"/>
  <c r="AA15" i="7"/>
  <c r="Z15" i="7" a="1"/>
  <c r="Z15" i="7"/>
  <c r="D15" i="7"/>
  <c r="AB14" i="7" a="1"/>
  <c r="AB14" i="7" s="1"/>
  <c r="AA14" i="7" a="1"/>
  <c r="AA14" i="7" s="1"/>
  <c r="Z14" i="7" a="1"/>
  <c r="Z14" i="7"/>
  <c r="D14" i="7"/>
  <c r="AB13" i="7" a="1"/>
  <c r="AB13" i="7"/>
  <c r="AA13" i="7" a="1"/>
  <c r="AA13" i="7"/>
  <c r="Z13" i="7" a="1"/>
  <c r="Z13" i="7"/>
  <c r="D13" i="7"/>
  <c r="AB12" i="7" a="1"/>
  <c r="AB12" i="7" s="1"/>
  <c r="AA12" i="7" a="1"/>
  <c r="AA12" i="7" s="1"/>
  <c r="Z12" i="7" a="1"/>
  <c r="Z12" i="7" s="1"/>
  <c r="D12" i="7"/>
  <c r="AB11" i="7" a="1"/>
  <c r="AB11" i="7"/>
  <c r="AA11" i="7" a="1"/>
  <c r="AA11" i="7"/>
  <c r="Z11" i="7" a="1"/>
  <c r="Z11" i="7"/>
  <c r="D11" i="7"/>
  <c r="AB10" i="7" a="1"/>
  <c r="AB10" i="7" s="1"/>
  <c r="AA10" i="7" a="1"/>
  <c r="AA10" i="7" s="1"/>
  <c r="Z10" i="7" a="1"/>
  <c r="Z10" i="7" s="1"/>
  <c r="D10" i="7"/>
  <c r="AB9" i="7" a="1"/>
  <c r="AB9" i="7"/>
  <c r="AA9" i="7" a="1"/>
  <c r="AA9" i="7"/>
  <c r="Z9" i="7" a="1"/>
  <c r="Z9" i="7"/>
  <c r="D9" i="7"/>
  <c r="AB8" i="7" a="1"/>
  <c r="AB8" i="7" s="1"/>
  <c r="AA8" i="7" a="1"/>
  <c r="AA8" i="7" s="1"/>
  <c r="Z8" i="7" a="1"/>
  <c r="Z8" i="7" s="1"/>
  <c r="D8" i="7"/>
  <c r="AB7" i="7" a="1"/>
  <c r="AB7" i="7"/>
  <c r="AA7" i="7" a="1"/>
  <c r="AA7" i="7"/>
  <c r="Z7" i="7" a="1"/>
  <c r="Z7" i="7"/>
  <c r="D7" i="7"/>
  <c r="AB6" i="7" a="1"/>
  <c r="AB6" i="7" s="1"/>
  <c r="AA6" i="7" a="1"/>
  <c r="AA6" i="7" s="1"/>
  <c r="Z6" i="7" a="1"/>
  <c r="Z6" i="7" s="1"/>
  <c r="D6" i="7"/>
  <c r="AB5" i="7" a="1"/>
  <c r="AB5" i="7"/>
  <c r="AA5" i="7" a="1"/>
  <c r="AA5" i="7"/>
  <c r="Z5" i="7" a="1"/>
  <c r="Z5" i="7"/>
  <c r="D5" i="7"/>
  <c r="AB4" i="7" a="1"/>
  <c r="AB4" i="7" s="1"/>
  <c r="AA4" i="7" a="1"/>
  <c r="AA4" i="7" s="1"/>
  <c r="Z4" i="7" a="1"/>
  <c r="Z4" i="7" s="1"/>
  <c r="D4" i="7"/>
  <c r="AB3" i="7" a="1"/>
  <c r="AB3" i="7"/>
  <c r="AA3" i="7" a="1"/>
  <c r="AA3" i="7"/>
  <c r="Z3" i="7" a="1"/>
  <c r="Z3" i="7"/>
  <c r="D3" i="7"/>
  <c r="AB2" i="7" a="1"/>
  <c r="AB2" i="7"/>
  <c r="AA2" i="7" a="1"/>
  <c r="AA2" i="7" s="1"/>
  <c r="Z2" i="7" a="1"/>
  <c r="Z2" i="7" s="1"/>
  <c r="D2" i="7"/>
  <c r="D73" i="5"/>
  <c r="D74" i="5"/>
  <c r="AB2" i="5" a="1"/>
  <c r="AB2" i="5"/>
  <c r="AB3" i="5" a="1"/>
  <c r="AB3" i="5"/>
  <c r="AB4" i="5" a="1"/>
  <c r="AB4" i="5"/>
  <c r="AB5" i="5" a="1"/>
  <c r="AB5" i="5"/>
  <c r="AB6" i="5" a="1"/>
  <c r="AB6" i="5"/>
  <c r="AB7" i="5" a="1"/>
  <c r="AB7" i="5"/>
  <c r="AB8" i="5" a="1"/>
  <c r="AB8" i="5"/>
  <c r="AB9" i="5" a="1"/>
  <c r="AB9" i="5"/>
  <c r="AB10" i="5" a="1"/>
  <c r="AB10" i="5"/>
  <c r="AB11" i="5" a="1"/>
  <c r="AB11" i="5"/>
  <c r="AB12" i="5" a="1"/>
  <c r="AB12" i="5"/>
  <c r="AB13" i="5" a="1"/>
  <c r="AB13" i="5"/>
  <c r="AB14" i="5" a="1"/>
  <c r="AB14" i="5"/>
  <c r="AB15" i="5" a="1"/>
  <c r="AB15" i="5"/>
  <c r="AB16" i="5" a="1"/>
  <c r="AB16" i="5"/>
  <c r="AB17" i="5" a="1"/>
  <c r="AB17" i="5"/>
  <c r="AB18" i="5" a="1"/>
  <c r="AB18" i="5"/>
  <c r="AB19" i="5" a="1"/>
  <c r="AB19" i="5"/>
  <c r="AB20" i="5" a="1"/>
  <c r="AB20" i="5"/>
  <c r="AB21" i="5" a="1"/>
  <c r="AB21" i="5"/>
  <c r="AB22" i="5" a="1"/>
  <c r="AB22" i="5"/>
  <c r="AB23" i="5" a="1"/>
  <c r="AB23" i="5"/>
  <c r="AB24" i="5" a="1"/>
  <c r="AB24" i="5"/>
  <c r="AB25" i="5" a="1"/>
  <c r="AB25" i="5"/>
  <c r="AB26" i="5" a="1"/>
  <c r="AB26" i="5"/>
  <c r="AB27" i="5" a="1"/>
  <c r="AB27" i="5"/>
  <c r="AB28" i="5" a="1"/>
  <c r="AB28" i="5"/>
  <c r="AB29" i="5" a="1"/>
  <c r="AB29" i="5"/>
  <c r="AB30" i="5" a="1"/>
  <c r="AB30" i="5"/>
  <c r="AB31" i="5" a="1"/>
  <c r="AB31" i="5"/>
  <c r="AB32" i="5" a="1"/>
  <c r="AB32" i="5"/>
  <c r="AB33" i="5" a="1"/>
  <c r="AB33" i="5"/>
  <c r="AB34" i="5" a="1"/>
  <c r="AB34" i="5"/>
  <c r="AA2" i="5" a="1"/>
  <c r="AA2" i="5"/>
  <c r="AA3" i="5" a="1"/>
  <c r="AA3" i="5"/>
  <c r="AA4" i="5" a="1"/>
  <c r="AA4" i="5"/>
  <c r="AA5" i="5" a="1"/>
  <c r="AA5" i="5"/>
  <c r="AA6" i="5" a="1"/>
  <c r="AA6" i="5"/>
  <c r="AA7" i="5" a="1"/>
  <c r="AA7" i="5"/>
  <c r="AA8" i="5" a="1"/>
  <c r="AA8" i="5"/>
  <c r="AA9" i="5" a="1"/>
  <c r="AA9" i="5"/>
  <c r="AA10" i="5" a="1"/>
  <c r="AA10" i="5"/>
  <c r="AA11" i="5" a="1"/>
  <c r="AA11" i="5"/>
  <c r="AA12" i="5" a="1"/>
  <c r="AA12" i="5"/>
  <c r="AA13" i="5" a="1"/>
  <c r="AA13" i="5"/>
  <c r="AA14" i="5" a="1"/>
  <c r="AA14" i="5"/>
  <c r="AA15" i="5" a="1"/>
  <c r="AA15" i="5"/>
  <c r="AA16" i="5" a="1"/>
  <c r="AA16" i="5"/>
  <c r="AA17" i="5" a="1"/>
  <c r="AA17" i="5"/>
  <c r="AA18" i="5" a="1"/>
  <c r="AA18" i="5"/>
  <c r="AA19" i="5" a="1"/>
  <c r="AA19" i="5"/>
  <c r="AA20" i="5" a="1"/>
  <c r="AA20" i="5"/>
  <c r="AA21" i="5" a="1"/>
  <c r="AA21" i="5"/>
  <c r="AA22" i="5" a="1"/>
  <c r="AA22" i="5"/>
  <c r="AA23" i="5" a="1"/>
  <c r="AA23" i="5"/>
  <c r="AA24" i="5" a="1"/>
  <c r="AA24" i="5"/>
  <c r="AA25" i="5" a="1"/>
  <c r="AA25" i="5"/>
  <c r="AA26" i="5" a="1"/>
  <c r="AA26" i="5"/>
  <c r="AA27" i="5" a="1"/>
  <c r="AA27" i="5"/>
  <c r="AA28" i="5" a="1"/>
  <c r="AA28" i="5"/>
  <c r="AA29" i="5" a="1"/>
  <c r="AA29" i="5"/>
  <c r="AA30" i="5" a="1"/>
  <c r="AA30" i="5"/>
  <c r="AA31" i="5" a="1"/>
  <c r="AA31" i="5"/>
  <c r="AA32" i="5" a="1"/>
  <c r="AA32" i="5"/>
  <c r="AA33" i="5" a="1"/>
  <c r="AA33" i="5"/>
  <c r="AA34" i="5" a="1"/>
  <c r="AA34" i="5"/>
  <c r="Z24" i="5" a="1"/>
  <c r="Z24" i="5"/>
  <c r="G76" i="4" a="1"/>
  <c r="G76" i="4" s="1"/>
  <c r="G77" i="4" a="1"/>
  <c r="G77" i="4" s="1"/>
  <c r="H77" i="4" s="1"/>
  <c r="F76" i="4" a="1"/>
  <c r="F76" i="4" s="1"/>
  <c r="H76" i="4" s="1"/>
  <c r="F77" i="4" a="1"/>
  <c r="F77" i="4"/>
  <c r="G7" i="4" a="1"/>
  <c r="G7" i="4" s="1"/>
  <c r="G22" i="4" a="1"/>
  <c r="G22" i="4" s="1"/>
  <c r="G17" i="4" a="1"/>
  <c r="G17" i="4" s="1"/>
  <c r="G42" i="4" a="1"/>
  <c r="G42" i="4" s="1"/>
  <c r="G14" i="4" a="1"/>
  <c r="G14" i="4" s="1"/>
  <c r="G16" i="4" a="1"/>
  <c r="G16" i="4" s="1"/>
  <c r="G46" i="4" a="1"/>
  <c r="G46" i="4" s="1"/>
  <c r="G27" i="4" a="1"/>
  <c r="G27" i="4" s="1"/>
  <c r="G19" i="4" a="1"/>
  <c r="G19" i="4" s="1"/>
  <c r="G13" i="4" a="1"/>
  <c r="G13" i="4" s="1"/>
  <c r="G21" i="4" a="1"/>
  <c r="G21" i="4" s="1"/>
  <c r="G8" i="4" a="1"/>
  <c r="G8" i="4" s="1"/>
  <c r="G3" i="4" a="1"/>
  <c r="G3" i="4" s="1"/>
  <c r="G2" i="4" a="1"/>
  <c r="G2" i="4" s="1"/>
  <c r="G9" i="4" a="1"/>
  <c r="G9" i="4" s="1"/>
  <c r="G11" i="4" a="1"/>
  <c r="G11" i="4" s="1"/>
  <c r="G63" i="4" a="1"/>
  <c r="G63" i="4" s="1"/>
  <c r="G60" i="4" a="1"/>
  <c r="G60" i="4" s="1"/>
  <c r="G33" i="4" a="1"/>
  <c r="G33" i="4"/>
  <c r="G43" i="4" a="1"/>
  <c r="G43" i="4" s="1"/>
  <c r="G51" i="4" a="1"/>
  <c r="G51" i="4" s="1"/>
  <c r="G30" i="4" a="1"/>
  <c r="G30" i="4" s="1"/>
  <c r="G50" i="4" a="1"/>
  <c r="G50" i="4" s="1"/>
  <c r="G53" i="4" a="1"/>
  <c r="G53" i="4" s="1"/>
  <c r="G44" i="4" a="1"/>
  <c r="G44" i="4" s="1"/>
  <c r="G37" i="4" a="1"/>
  <c r="G37" i="4" s="1"/>
  <c r="G31" i="4" a="1"/>
  <c r="G31" i="4"/>
  <c r="G32" i="4" a="1"/>
  <c r="G32" i="4" s="1"/>
  <c r="G36" i="4" a="1"/>
  <c r="G36" i="4" s="1"/>
  <c r="G55" i="4" a="1"/>
  <c r="G55" i="4" s="1"/>
  <c r="G62" i="4" a="1"/>
  <c r="G62" i="4" s="1"/>
  <c r="G39" i="4" a="1"/>
  <c r="G39" i="4" s="1"/>
  <c r="G54" i="4" a="1"/>
  <c r="G54" i="4" s="1"/>
  <c r="F7" i="4" a="1"/>
  <c r="F7" i="4" s="1"/>
  <c r="F22" i="4" a="1"/>
  <c r="F22" i="4" s="1"/>
  <c r="F17" i="4" a="1"/>
  <c r="F17" i="4" s="1"/>
  <c r="F42" i="4" a="1"/>
  <c r="F42" i="4" s="1"/>
  <c r="F14" i="4" a="1"/>
  <c r="F14" i="4" s="1"/>
  <c r="H14" i="4" s="1"/>
  <c r="F16" i="4" a="1"/>
  <c r="F16" i="4" s="1"/>
  <c r="H16" i="4" s="1"/>
  <c r="F46" i="4" a="1"/>
  <c r="F46" i="4" s="1"/>
  <c r="H46" i="4" s="1"/>
  <c r="F27" i="4" a="1"/>
  <c r="F27" i="4" s="1"/>
  <c r="F19" i="4" a="1"/>
  <c r="F19" i="4" s="1"/>
  <c r="H19" i="4" s="1"/>
  <c r="F13" i="4" a="1"/>
  <c r="F13" i="4"/>
  <c r="F21" i="4" a="1"/>
  <c r="F21" i="4" s="1"/>
  <c r="F8" i="4" a="1"/>
  <c r="F8" i="4" s="1"/>
  <c r="F3" i="4" a="1"/>
  <c r="F3" i="4" s="1"/>
  <c r="H3" i="4" s="1"/>
  <c r="F2" i="4" a="1"/>
  <c r="F2" i="4" s="1"/>
  <c r="F9" i="4" a="1"/>
  <c r="F9" i="4" s="1"/>
  <c r="H9" i="4" s="1"/>
  <c r="F11" i="4" a="1"/>
  <c r="F11" i="4" s="1"/>
  <c r="F63" i="4" a="1"/>
  <c r="F63" i="4" s="1"/>
  <c r="F60" i="4" a="1"/>
  <c r="F60" i="4" s="1"/>
  <c r="F33" i="4" a="1"/>
  <c r="F33" i="4" s="1"/>
  <c r="H33" i="4" s="1"/>
  <c r="F43" i="4" a="1"/>
  <c r="F43" i="4" s="1"/>
  <c r="F51" i="4" a="1"/>
  <c r="F51" i="4" s="1"/>
  <c r="H51" i="4" s="1"/>
  <c r="F30" i="4" a="1"/>
  <c r="F30" i="4" s="1"/>
  <c r="H30" i="4" s="1"/>
  <c r="F50" i="4" a="1"/>
  <c r="F50" i="4" s="1"/>
  <c r="F53" i="4" a="1"/>
  <c r="F53" i="4" s="1"/>
  <c r="F44" i="4" a="1"/>
  <c r="F44" i="4" s="1"/>
  <c r="F37" i="4" a="1"/>
  <c r="F37" i="4" s="1"/>
  <c r="F31" i="4" a="1"/>
  <c r="F31" i="4" s="1"/>
  <c r="F32" i="4" a="1"/>
  <c r="F32" i="4" s="1"/>
  <c r="H32" i="4" s="1"/>
  <c r="F36" i="4" a="1"/>
  <c r="F36" i="4" s="1"/>
  <c r="F55" i="4" a="1"/>
  <c r="F55" i="4" s="1"/>
  <c r="H55" i="4" s="1"/>
  <c r="F62" i="4" a="1"/>
  <c r="F62" i="4" s="1"/>
  <c r="F39" i="4" a="1"/>
  <c r="F39" i="4" s="1"/>
  <c r="F54" i="4" a="1"/>
  <c r="F54" i="4" s="1"/>
  <c r="Z2" i="5" a="1"/>
  <c r="Z2" i="5"/>
  <c r="Z3" i="5" a="1"/>
  <c r="Z3" i="5"/>
  <c r="Z4" i="5" a="1"/>
  <c r="Z4" i="5"/>
  <c r="Z5" i="5" a="1"/>
  <c r="Z5" i="5"/>
  <c r="Z6" i="5" a="1"/>
  <c r="Z6" i="5"/>
  <c r="Z7" i="5" a="1"/>
  <c r="Z7" i="5"/>
  <c r="Z8" i="5" a="1"/>
  <c r="Z8" i="5"/>
  <c r="Z9" i="5" a="1"/>
  <c r="Z9" i="5"/>
  <c r="Z10" i="5" a="1"/>
  <c r="Z10" i="5"/>
  <c r="Z11" i="5" a="1"/>
  <c r="Z11" i="5"/>
  <c r="Z12" i="5" a="1"/>
  <c r="Z12" i="5"/>
  <c r="Z13" i="5" a="1"/>
  <c r="Z13" i="5"/>
  <c r="Z14" i="5" a="1"/>
  <c r="Z14" i="5"/>
  <c r="Z15" i="5" a="1"/>
  <c r="Z15" i="5"/>
  <c r="Z16" i="5" a="1"/>
  <c r="Z16" i="5"/>
  <c r="Z17" i="5" a="1"/>
  <c r="Z17" i="5"/>
  <c r="Z18" i="5" a="1"/>
  <c r="Z18" i="5"/>
  <c r="Z19" i="5" a="1"/>
  <c r="Z19" i="5"/>
  <c r="Z20" i="5" a="1"/>
  <c r="Z20" i="5"/>
  <c r="Z21" i="5" a="1"/>
  <c r="Z21" i="5"/>
  <c r="Z22" i="5" a="1"/>
  <c r="Z22" i="5"/>
  <c r="Z23" i="5" a="1"/>
  <c r="Z23" i="5"/>
  <c r="Z25" i="5" a="1"/>
  <c r="Z25" i="5"/>
  <c r="Z26" i="5" a="1"/>
  <c r="Z26" i="5"/>
  <c r="Z27" i="5" a="1"/>
  <c r="Z27" i="5"/>
  <c r="Z28" i="5" a="1"/>
  <c r="Z28" i="5"/>
  <c r="Z29" i="5" a="1"/>
  <c r="Z29" i="5"/>
  <c r="Z30" i="5" a="1"/>
  <c r="Z30" i="5"/>
  <c r="Z31" i="5" a="1"/>
  <c r="Z31" i="5"/>
  <c r="Z32" i="5" a="1"/>
  <c r="Z32" i="5"/>
  <c r="Z33" i="5" a="1"/>
  <c r="Z33" i="5"/>
  <c r="Z34" i="5" a="1"/>
  <c r="Z34" i="5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M1066" i="12"/>
  <c r="N1066" i="12" s="1"/>
  <c r="M960" i="12"/>
  <c r="N960" i="12" s="1"/>
  <c r="M981" i="12"/>
  <c r="N981" i="12" s="1"/>
  <c r="M939" i="12"/>
  <c r="N939" i="12" s="1"/>
  <c r="M1008" i="12"/>
  <c r="N1008" i="12" s="1"/>
  <c r="M933" i="12"/>
  <c r="N933" i="12" s="1"/>
  <c r="M871" i="12"/>
  <c r="N871" i="12" s="1"/>
  <c r="M848" i="12"/>
  <c r="N848" i="12" s="1"/>
  <c r="M891" i="12"/>
  <c r="N891" i="12" s="1"/>
  <c r="M993" i="12"/>
  <c r="N993" i="12" s="1"/>
  <c r="M837" i="12"/>
  <c r="N837" i="12" s="1"/>
  <c r="M874" i="12"/>
  <c r="N874" i="12" s="1"/>
  <c r="M977" i="12"/>
  <c r="N977" i="12" s="1"/>
  <c r="M928" i="12"/>
  <c r="N928" i="12" s="1"/>
  <c r="M1024" i="12"/>
  <c r="N1024" i="12" s="1"/>
  <c r="M915" i="12"/>
  <c r="N915" i="12" s="1"/>
  <c r="M896" i="12"/>
  <c r="N896" i="12" s="1"/>
  <c r="M890" i="12"/>
  <c r="N890" i="12" s="1"/>
  <c r="M868" i="12"/>
  <c r="N868" i="12" s="1"/>
  <c r="M971" i="12"/>
  <c r="N971" i="12" s="1"/>
  <c r="M845" i="12"/>
  <c r="N845" i="12" s="1"/>
  <c r="M864" i="12"/>
  <c r="N864" i="12" s="1"/>
  <c r="M859" i="12"/>
  <c r="N859" i="12" s="1"/>
  <c r="M970" i="12"/>
  <c r="N970" i="12" s="1"/>
  <c r="M840" i="12"/>
  <c r="N840" i="12" s="1"/>
  <c r="M1047" i="12"/>
  <c r="N1047" i="12" s="1"/>
  <c r="M853" i="12"/>
  <c r="N853" i="12" s="1"/>
  <c r="M1002" i="12"/>
  <c r="N1002" i="12" s="1"/>
  <c r="M1067" i="12"/>
  <c r="N1067" i="12" s="1"/>
  <c r="M1076" i="12"/>
  <c r="N1076" i="12" s="1"/>
  <c r="M1079" i="12"/>
  <c r="N1079" i="12" s="1"/>
  <c r="M1080" i="12"/>
  <c r="N1080" i="12" s="1"/>
  <c r="M1072" i="12"/>
  <c r="N1072" i="12" s="1"/>
  <c r="M1073" i="12"/>
  <c r="N1073" i="12" s="1"/>
  <c r="M1064" i="12"/>
  <c r="N1064" i="12" s="1"/>
  <c r="M1058" i="12"/>
  <c r="N1058" i="12" s="1"/>
  <c r="M1057" i="12"/>
  <c r="N1057" i="12" s="1"/>
  <c r="M1063" i="12"/>
  <c r="N1063" i="12" s="1"/>
  <c r="M1049" i="12"/>
  <c r="N1049" i="12" s="1"/>
  <c r="M1060" i="12"/>
  <c r="N1060" i="12" s="1"/>
  <c r="M1051" i="12"/>
  <c r="N1051" i="12" s="1"/>
  <c r="M1061" i="12"/>
  <c r="N1061" i="12" s="1"/>
  <c r="M1059" i="12"/>
  <c r="N1059" i="12" s="1"/>
  <c r="M1033" i="12"/>
  <c r="N1033" i="12" s="1"/>
  <c r="M1041" i="12"/>
  <c r="N1041" i="12" s="1"/>
  <c r="M1035" i="12"/>
  <c r="N1035" i="12" s="1"/>
  <c r="M1031" i="12"/>
  <c r="N1031" i="12" s="1"/>
  <c r="M1042" i="12"/>
  <c r="N1042" i="12" s="1"/>
  <c r="M1044" i="12"/>
  <c r="N1044" i="12" s="1"/>
  <c r="M1043" i="12"/>
  <c r="N1043" i="12" s="1"/>
  <c r="M1040" i="12"/>
  <c r="N1040" i="12" s="1"/>
  <c r="M1028" i="12"/>
  <c r="N1028" i="12" s="1"/>
  <c r="M1015" i="12"/>
  <c r="N1015" i="12" s="1"/>
  <c r="M1012" i="12"/>
  <c r="N1012" i="12" s="1"/>
  <c r="M1017" i="12"/>
  <c r="N1017" i="12" s="1"/>
  <c r="M1016" i="12"/>
  <c r="N1016" i="12" s="1"/>
  <c r="M1013" i="12"/>
  <c r="N1013" i="12" s="1"/>
  <c r="M1025" i="12"/>
  <c r="N1025" i="12" s="1"/>
  <c r="M1019" i="12"/>
  <c r="N1019" i="12" s="1"/>
  <c r="M997" i="12"/>
  <c r="N997" i="12" s="1"/>
  <c r="M1003" i="12"/>
  <c r="N1003" i="12" s="1"/>
  <c r="M999" i="12"/>
  <c r="N999" i="12" s="1"/>
  <c r="M1001" i="12"/>
  <c r="N1001" i="12" s="1"/>
  <c r="M1000" i="12"/>
  <c r="N1000" i="12" s="1"/>
  <c r="M1009" i="12"/>
  <c r="N1009" i="12" s="1"/>
  <c r="M996" i="12"/>
  <c r="N996" i="12" s="1"/>
  <c r="M992" i="12"/>
  <c r="N992" i="12" s="1"/>
  <c r="M985" i="12"/>
  <c r="N985" i="12" s="1"/>
  <c r="M989" i="12"/>
  <c r="N989" i="12" s="1"/>
  <c r="M987" i="12"/>
  <c r="N987" i="12" s="1"/>
  <c r="M983" i="12"/>
  <c r="N983" i="12" s="1"/>
  <c r="M976" i="12"/>
  <c r="N976" i="12" s="1"/>
  <c r="M984" i="12"/>
  <c r="N984" i="12" s="1"/>
  <c r="M965" i="12"/>
  <c r="N965" i="12" s="1"/>
  <c r="M961" i="12"/>
  <c r="N961" i="12" s="1"/>
  <c r="M968" i="12"/>
  <c r="N968" i="12" s="1"/>
  <c r="M967" i="12"/>
  <c r="N967" i="12" s="1"/>
  <c r="M964" i="12"/>
  <c r="N964" i="12" s="1"/>
  <c r="M946" i="12"/>
  <c r="N946" i="12" s="1"/>
  <c r="M938" i="12"/>
  <c r="N938" i="12" s="1"/>
  <c r="M944" i="12"/>
  <c r="N944" i="12" s="1"/>
  <c r="M945" i="12"/>
  <c r="N945" i="12" s="1"/>
  <c r="M949" i="12"/>
  <c r="N949" i="12" s="1"/>
  <c r="M954" i="12"/>
  <c r="N954" i="12" s="1"/>
  <c r="M955" i="12"/>
  <c r="N955" i="12" s="1"/>
  <c r="M947" i="12"/>
  <c r="N947" i="12" s="1"/>
  <c r="M922" i="12"/>
  <c r="N922" i="12" s="1"/>
  <c r="M935" i="12"/>
  <c r="N935" i="12" s="1"/>
  <c r="M923" i="12"/>
  <c r="N923" i="12" s="1"/>
  <c r="M921" i="12"/>
  <c r="N921" i="12" s="1"/>
  <c r="M931" i="12"/>
  <c r="N931" i="12" s="1"/>
  <c r="M907" i="12"/>
  <c r="N907" i="12" s="1"/>
  <c r="M906" i="12"/>
  <c r="N906" i="12" s="1"/>
  <c r="M917" i="12"/>
  <c r="N917" i="12" s="1"/>
  <c r="M919" i="12"/>
  <c r="N919" i="12" s="1"/>
  <c r="M914" i="12"/>
  <c r="N914" i="12" s="1"/>
  <c r="M913" i="12"/>
  <c r="N913" i="12" s="1"/>
  <c r="M916" i="12"/>
  <c r="N916" i="12" s="1"/>
  <c r="M903" i="12"/>
  <c r="N903" i="12" s="1"/>
  <c r="M911" i="12"/>
  <c r="N911" i="12" s="1"/>
  <c r="M885" i="12"/>
  <c r="N885" i="12" s="1"/>
  <c r="M901" i="12"/>
  <c r="N901" i="12" s="1"/>
  <c r="M897" i="12"/>
  <c r="N897" i="12" s="1"/>
  <c r="M887" i="12"/>
  <c r="N887" i="12" s="1"/>
  <c r="M898" i="12"/>
  <c r="N898" i="12" s="1"/>
  <c r="M882" i="12"/>
  <c r="N882" i="12" s="1"/>
  <c r="M877" i="12"/>
  <c r="N877" i="12" s="1"/>
  <c r="M880" i="12"/>
  <c r="N880" i="12" s="1"/>
  <c r="M875" i="12"/>
  <c r="N875" i="12" s="1"/>
  <c r="M881" i="12"/>
  <c r="N881" i="12" s="1"/>
  <c r="M869" i="12"/>
  <c r="N869" i="12" s="1"/>
  <c r="M866" i="12"/>
  <c r="N866" i="12" s="1"/>
  <c r="M849" i="12"/>
  <c r="N849" i="12" s="1"/>
  <c r="M865" i="12"/>
  <c r="N865" i="12" s="1"/>
  <c r="M855" i="12"/>
  <c r="N855" i="12" s="1"/>
  <c r="M858" i="12"/>
  <c r="N858" i="12" s="1"/>
  <c r="M1065" i="12"/>
  <c r="N1065" i="12" s="1"/>
  <c r="M1045" i="12"/>
  <c r="N1045" i="12" s="1"/>
  <c r="M978" i="12"/>
  <c r="N978" i="12" s="1"/>
  <c r="M1048" i="12"/>
  <c r="N1048" i="12" s="1"/>
  <c r="M995" i="12"/>
  <c r="N995" i="12" s="1"/>
  <c r="M1077" i="12"/>
  <c r="N1077" i="12" s="1"/>
  <c r="M1034" i="12"/>
  <c r="N1034" i="12" s="1"/>
  <c r="M986" i="12"/>
  <c r="N986" i="12" s="1"/>
  <c r="M1081" i="12"/>
  <c r="N1081" i="12" s="1"/>
  <c r="M1075" i="12"/>
  <c r="N1075" i="12" s="1"/>
  <c r="M1029" i="12"/>
  <c r="N1029" i="12" s="1"/>
  <c r="M979" i="12"/>
  <c r="N979" i="12" s="1"/>
  <c r="M1032" i="12"/>
  <c r="N1032" i="12" s="1"/>
  <c r="M1011" i="12"/>
  <c r="N1011" i="12" s="1"/>
  <c r="M1056" i="12"/>
  <c r="N1056" i="12" s="1"/>
  <c r="M1027" i="12"/>
  <c r="N1027" i="12" s="1"/>
  <c r="M1018" i="12"/>
  <c r="N1018" i="12" s="1"/>
  <c r="M1050" i="12"/>
  <c r="N1050" i="12" s="1"/>
  <c r="M980" i="12"/>
  <c r="N980" i="12" s="1"/>
  <c r="M969" i="12"/>
  <c r="N969" i="12" s="1"/>
  <c r="M952" i="12"/>
  <c r="N952" i="12" s="1"/>
  <c r="M900" i="12"/>
  <c r="N900" i="12" s="1"/>
  <c r="M884" i="12"/>
  <c r="N884" i="12" s="1"/>
  <c r="M953" i="12"/>
  <c r="N953" i="12" s="1"/>
  <c r="M920" i="12"/>
  <c r="N920" i="12" s="1"/>
  <c r="M852" i="12"/>
  <c r="N852" i="12" s="1"/>
  <c r="M962" i="12"/>
  <c r="N962" i="12" s="1"/>
  <c r="M929" i="12"/>
  <c r="N929" i="12" s="1"/>
  <c r="M904" i="12"/>
  <c r="N904" i="12" s="1"/>
  <c r="M888" i="12"/>
  <c r="N888" i="12" s="1"/>
  <c r="M872" i="12"/>
  <c r="N872" i="12" s="1"/>
  <c r="M932" i="12"/>
  <c r="N932" i="12" s="1"/>
  <c r="M857" i="12"/>
  <c r="N857" i="12" s="1"/>
  <c r="M850" i="12"/>
  <c r="N850" i="12" s="1"/>
  <c r="M936" i="12"/>
  <c r="N936" i="12" s="1"/>
  <c r="M930" i="12"/>
  <c r="N930" i="12" s="1"/>
  <c r="M912" i="12"/>
  <c r="N912" i="12" s="1"/>
  <c r="M905" i="12"/>
  <c r="N905" i="12" s="1"/>
  <c r="M899" i="12"/>
  <c r="N899" i="12" s="1"/>
  <c r="M889" i="12"/>
  <c r="N889" i="12" s="1"/>
  <c r="M883" i="12"/>
  <c r="N883" i="12" s="1"/>
  <c r="M873" i="12"/>
  <c r="N873" i="12" s="1"/>
  <c r="M867" i="12"/>
  <c r="N867" i="12" s="1"/>
  <c r="M963" i="12"/>
  <c r="N963" i="12" s="1"/>
  <c r="M951" i="12"/>
  <c r="N951" i="12" s="1"/>
  <c r="M851" i="12"/>
  <c r="N851" i="12" s="1"/>
  <c r="M937" i="12"/>
  <c r="N937" i="12" s="1"/>
  <c r="M856" i="12"/>
  <c r="N856" i="12" s="1"/>
  <c r="M948" i="12"/>
  <c r="N948" i="12" s="1"/>
  <c r="M924" i="12"/>
  <c r="N924" i="12" s="1"/>
  <c r="M830" i="12"/>
  <c r="N830" i="12" s="1"/>
  <c r="M847" i="12"/>
  <c r="N847" i="12" s="1"/>
  <c r="M846" i="12"/>
  <c r="N846" i="12" s="1"/>
  <c r="M843" i="12"/>
  <c r="N843" i="12" s="1"/>
  <c r="M839" i="12"/>
  <c r="N839" i="12" s="1"/>
  <c r="M836" i="12"/>
  <c r="N836" i="12" s="1"/>
  <c r="M831" i="12"/>
  <c r="N831" i="12" s="1"/>
  <c r="M841" i="12"/>
  <c r="N841" i="12" s="1"/>
  <c r="M844" i="12"/>
  <c r="N844" i="12" s="1"/>
  <c r="M807" i="12"/>
  <c r="N807" i="12" s="1"/>
  <c r="M763" i="12"/>
  <c r="N763" i="12" s="1"/>
  <c r="M822" i="12"/>
  <c r="N822" i="12" s="1"/>
  <c r="M797" i="12"/>
  <c r="N797" i="12" s="1"/>
  <c r="M767" i="12"/>
  <c r="N767" i="12" s="1"/>
  <c r="M771" i="12"/>
  <c r="N771" i="12" s="1"/>
  <c r="M795" i="12"/>
  <c r="N795" i="12" s="1"/>
  <c r="M782" i="12"/>
  <c r="N782" i="12" s="1"/>
  <c r="M809" i="12"/>
  <c r="N809" i="12" s="1"/>
  <c r="M811" i="12"/>
  <c r="N811" i="12" s="1"/>
  <c r="M785" i="12"/>
  <c r="N785" i="12" s="1"/>
  <c r="M803" i="12"/>
  <c r="N803" i="12" s="1"/>
  <c r="M779" i="12"/>
  <c r="N779" i="12" s="1"/>
  <c r="M799" i="12"/>
  <c r="N799" i="12" s="1"/>
  <c r="M829" i="12"/>
  <c r="N829" i="12" s="1"/>
  <c r="M827" i="12"/>
  <c r="N827" i="12" s="1"/>
  <c r="M775" i="12"/>
  <c r="N775" i="12" s="1"/>
  <c r="M762" i="12"/>
  <c r="N762" i="12" s="1"/>
  <c r="M794" i="12"/>
  <c r="N794" i="12" s="1"/>
  <c r="M788" i="12"/>
  <c r="N788" i="12" s="1"/>
  <c r="M766" i="12"/>
  <c r="N766" i="12" s="1"/>
  <c r="M683" i="12"/>
  <c r="N683" i="12" s="1"/>
  <c r="M825" i="12"/>
  <c r="N825" i="12" s="1"/>
  <c r="M772" i="12"/>
  <c r="N772" i="12" s="1"/>
  <c r="M823" i="12"/>
  <c r="N823" i="12" s="1"/>
  <c r="M687" i="12"/>
  <c r="N687" i="12" s="1"/>
  <c r="M756" i="12"/>
  <c r="N756" i="12" s="1"/>
  <c r="M806" i="12"/>
  <c r="N806" i="12" s="1"/>
  <c r="M773" i="12"/>
  <c r="N773" i="12" s="1"/>
  <c r="M819" i="12"/>
  <c r="N819" i="12" s="1"/>
  <c r="M781" i="12"/>
  <c r="N781" i="12" s="1"/>
  <c r="M801" i="12"/>
  <c r="N801" i="12" s="1"/>
  <c r="M798" i="12"/>
  <c r="N798" i="12" s="1"/>
  <c r="M818" i="12"/>
  <c r="N818" i="12" s="1"/>
  <c r="M728" i="12"/>
  <c r="N728" i="12" s="1"/>
  <c r="M791" i="12"/>
  <c r="N791" i="12" s="1"/>
  <c r="M787" i="12"/>
  <c r="N787" i="12" s="1"/>
  <c r="M757" i="12"/>
  <c r="N757" i="12" s="1"/>
  <c r="M708" i="12"/>
  <c r="N708" i="12" s="1"/>
  <c r="M814" i="12"/>
  <c r="N814" i="12" s="1"/>
  <c r="M764" i="12"/>
  <c r="N764" i="12" s="1"/>
  <c r="M810" i="12"/>
  <c r="N810" i="12" s="1"/>
  <c r="M786" i="12"/>
  <c r="N786" i="12" s="1"/>
  <c r="M743" i="12"/>
  <c r="N743" i="12" s="1"/>
  <c r="M696" i="12"/>
  <c r="N696" i="12" s="1"/>
  <c r="M770" i="12"/>
  <c r="N770" i="12" s="1"/>
  <c r="M802" i="12"/>
  <c r="N802" i="12" s="1"/>
  <c r="M826" i="12"/>
  <c r="N826" i="12" s="1"/>
  <c r="M793" i="12"/>
  <c r="N793" i="12" s="1"/>
  <c r="M769" i="12"/>
  <c r="N769" i="12" s="1"/>
  <c r="M778" i="12"/>
  <c r="N778" i="12" s="1"/>
  <c r="M813" i="12"/>
  <c r="N813" i="12" s="1"/>
  <c r="M817" i="12"/>
  <c r="N817" i="12" s="1"/>
  <c r="M765" i="12"/>
  <c r="N765" i="12" s="1"/>
  <c r="M815" i="12"/>
  <c r="N815" i="12" s="1"/>
  <c r="M783" i="12"/>
  <c r="N783" i="12" s="1"/>
  <c r="M742" i="12"/>
  <c r="N742" i="12" s="1"/>
  <c r="M740" i="12"/>
  <c r="N740" i="12" s="1"/>
  <c r="M719" i="12"/>
  <c r="N719" i="12" s="1"/>
  <c r="M709" i="12"/>
  <c r="N709" i="12" s="1"/>
  <c r="M704" i="12"/>
  <c r="N704" i="12" s="1"/>
  <c r="M680" i="12"/>
  <c r="N680" i="12" s="1"/>
  <c r="M736" i="12"/>
  <c r="N736" i="12" s="1"/>
  <c r="M725" i="12"/>
  <c r="N725" i="12" s="1"/>
  <c r="M726" i="12"/>
  <c r="N726" i="12" s="1"/>
  <c r="M711" i="12"/>
  <c r="N711" i="12" s="1"/>
  <c r="M707" i="12"/>
  <c r="N707" i="12" s="1"/>
  <c r="M694" i="12"/>
  <c r="N694" i="12" s="1"/>
  <c r="M692" i="12"/>
  <c r="N692" i="12" s="1"/>
  <c r="M699" i="12"/>
  <c r="N699" i="12" s="1"/>
  <c r="M677" i="12"/>
  <c r="N677" i="12" s="1"/>
  <c r="M679" i="12"/>
  <c r="N679" i="12" s="1"/>
  <c r="M610" i="12"/>
  <c r="N610" i="12" s="1"/>
  <c r="M597" i="12"/>
  <c r="N597" i="12" s="1"/>
  <c r="M603" i="12"/>
  <c r="N603" i="12" s="1"/>
  <c r="M632" i="12"/>
  <c r="N632" i="12" s="1"/>
  <c r="M614" i="12"/>
  <c r="N614" i="12" s="1"/>
  <c r="M588" i="12"/>
  <c r="N588" i="12" s="1"/>
  <c r="M587" i="12"/>
  <c r="N587" i="12" s="1"/>
  <c r="M645" i="12"/>
  <c r="N645" i="12" s="1"/>
  <c r="M619" i="12"/>
  <c r="N619" i="12" s="1"/>
  <c r="M583" i="12"/>
  <c r="N583" i="12" s="1"/>
  <c r="M581" i="12"/>
  <c r="N581" i="12" s="1"/>
  <c r="M631" i="12"/>
  <c r="N631" i="12" s="1"/>
  <c r="M615" i="12"/>
  <c r="N615" i="12" s="1"/>
  <c r="M629" i="12"/>
  <c r="N629" i="12" s="1"/>
  <c r="M646" i="12"/>
  <c r="N646" i="12" s="1"/>
  <c r="M311" i="12"/>
  <c r="N311" i="12" s="1"/>
  <c r="M598" i="12"/>
  <c r="N598" i="12" s="1"/>
  <c r="M635" i="12"/>
  <c r="N635" i="12" s="1"/>
  <c r="M663" i="12"/>
  <c r="N663" i="12" s="1"/>
  <c r="M660" i="12"/>
  <c r="N660" i="12" s="1"/>
  <c r="M651" i="12"/>
  <c r="N651" i="12" s="1"/>
  <c r="M662" i="12"/>
  <c r="N662" i="12" s="1"/>
  <c r="M656" i="12"/>
  <c r="N656" i="12" s="1"/>
  <c r="M667" i="12"/>
  <c r="N667" i="12" s="1"/>
  <c r="M639" i="12"/>
  <c r="N639" i="12" s="1"/>
  <c r="M648" i="12"/>
  <c r="N648" i="12" s="1"/>
  <c r="M600" i="12"/>
  <c r="N600" i="12" s="1"/>
  <c r="M608" i="12"/>
  <c r="N608" i="12" s="1"/>
  <c r="H4" i="4"/>
  <c r="M347" i="12"/>
  <c r="N347" i="12" s="1"/>
  <c r="M383" i="12"/>
  <c r="N383" i="12" s="1"/>
  <c r="M182" i="12"/>
  <c r="N182" i="12" s="1"/>
  <c r="M368" i="12"/>
  <c r="N368" i="12" s="1"/>
  <c r="M250" i="12"/>
  <c r="N250" i="12" s="1"/>
  <c r="M240" i="12"/>
  <c r="N240" i="12" s="1"/>
  <c r="M192" i="12"/>
  <c r="N192" i="12" s="1"/>
  <c r="M154" i="12"/>
  <c r="N154" i="12" s="1"/>
  <c r="M299" i="12"/>
  <c r="N299" i="12" s="1"/>
  <c r="M196" i="12"/>
  <c r="N196" i="12" s="1"/>
  <c r="M315" i="12"/>
  <c r="N315" i="12" s="1"/>
  <c r="M228" i="12"/>
  <c r="N228" i="12" s="1"/>
  <c r="M367" i="12"/>
  <c r="N367" i="12" s="1"/>
  <c r="M267" i="12"/>
  <c r="N267" i="12" s="1"/>
  <c r="M128" i="12"/>
  <c r="N128" i="12" s="1"/>
  <c r="M404" i="12"/>
  <c r="N404" i="12" s="1"/>
  <c r="M343" i="12"/>
  <c r="N343" i="12" s="1"/>
  <c r="M224" i="12"/>
  <c r="N224" i="12" s="1"/>
  <c r="M219" i="12"/>
  <c r="N219" i="12" s="1"/>
  <c r="M358" i="12"/>
  <c r="N358" i="12" s="1"/>
  <c r="M303" i="12"/>
  <c r="N303" i="12" s="1"/>
  <c r="M423" i="12"/>
  <c r="N423" i="12" s="1"/>
  <c r="M82" i="12"/>
  <c r="N82" i="12" s="1"/>
  <c r="M275" i="12"/>
  <c r="N275" i="12" s="1"/>
  <c r="M291" i="12"/>
  <c r="N291" i="12" s="1"/>
  <c r="M331" i="12"/>
  <c r="N331" i="12" s="1"/>
  <c r="M279" i="12"/>
  <c r="N279" i="12" s="1"/>
  <c r="M384" i="12"/>
  <c r="N384" i="12" s="1"/>
  <c r="M198" i="12"/>
  <c r="N198" i="12" s="1"/>
  <c r="M535" i="12"/>
  <c r="N535" i="12" s="1"/>
  <c r="M166" i="12"/>
  <c r="N166" i="12" s="1"/>
  <c r="M138" i="12"/>
  <c r="N138" i="12" s="1"/>
  <c r="M234" i="12"/>
  <c r="N234" i="12" s="1"/>
  <c r="M188" i="12"/>
  <c r="N188" i="12" s="1"/>
  <c r="M407" i="12"/>
  <c r="N407" i="12" s="1"/>
  <c r="M236" i="12"/>
  <c r="N236" i="12" s="1"/>
  <c r="M392" i="12"/>
  <c r="N392" i="12" s="1"/>
  <c r="M342" i="12"/>
  <c r="N342" i="12" s="1"/>
  <c r="M335" i="12"/>
  <c r="N335" i="12" s="1"/>
  <c r="M415" i="12"/>
  <c r="N415" i="12" s="1"/>
  <c r="M175" i="12"/>
  <c r="N175" i="12" s="1"/>
  <c r="M123" i="12"/>
  <c r="N123" i="12" s="1"/>
  <c r="M339" i="12"/>
  <c r="N339" i="12" s="1"/>
  <c r="M276" i="12"/>
  <c r="N276" i="12" s="1"/>
  <c r="M119" i="12"/>
  <c r="N119" i="12" s="1"/>
  <c r="M391" i="12"/>
  <c r="N391" i="12" s="1"/>
  <c r="M235" i="12"/>
  <c r="N235" i="12" s="1"/>
  <c r="M227" i="12"/>
  <c r="N227" i="12" s="1"/>
  <c r="M202" i="12"/>
  <c r="N202" i="12" s="1"/>
  <c r="M555" i="12"/>
  <c r="N555" i="12" s="1"/>
  <c r="M486" i="12"/>
  <c r="N486" i="12" s="1"/>
  <c r="M431" i="12"/>
  <c r="N431" i="12" s="1"/>
  <c r="M155" i="12"/>
  <c r="N155" i="12" s="1"/>
  <c r="M259" i="12"/>
  <c r="N259" i="12" s="1"/>
  <c r="M255" i="12"/>
  <c r="N255" i="12" s="1"/>
  <c r="M191" i="12"/>
  <c r="N191" i="12" s="1"/>
  <c r="M176" i="12"/>
  <c r="N176" i="12" s="1"/>
  <c r="M576" i="12"/>
  <c r="N576" i="12" s="1"/>
  <c r="M122" i="12"/>
  <c r="N122" i="12" s="1"/>
  <c r="M108" i="12"/>
  <c r="N108" i="12" s="1"/>
  <c r="M424" i="12"/>
  <c r="N424" i="12" s="1"/>
  <c r="M340" i="12"/>
  <c r="N340" i="12" s="1"/>
  <c r="M363" i="12"/>
  <c r="N363" i="12" s="1"/>
  <c r="M266" i="12"/>
  <c r="N266" i="12" s="1"/>
  <c r="M118" i="12"/>
  <c r="N118" i="12" s="1"/>
  <c r="M287" i="12"/>
  <c r="N287" i="12" s="1"/>
  <c r="M247" i="12"/>
  <c r="N247" i="12" s="1"/>
  <c r="M538" i="12"/>
  <c r="N538" i="12" s="1"/>
  <c r="M520" i="12"/>
  <c r="N520" i="12" s="1"/>
  <c r="M499" i="12"/>
  <c r="N499" i="12" s="1"/>
  <c r="M356" i="12"/>
  <c r="N356" i="12" s="1"/>
  <c r="M373" i="12"/>
  <c r="N373" i="12" s="1"/>
  <c r="M531" i="12"/>
  <c r="N531" i="12" s="1"/>
  <c r="M456" i="12"/>
  <c r="N456" i="12" s="1"/>
  <c r="M107" i="12"/>
  <c r="N107" i="12" s="1"/>
  <c r="M507" i="12"/>
  <c r="N507" i="12" s="1"/>
  <c r="M167" i="12"/>
  <c r="N167" i="12" s="1"/>
  <c r="M426" i="12"/>
  <c r="N426" i="12" s="1"/>
  <c r="M106" i="12"/>
  <c r="N106" i="12" s="1"/>
  <c r="M281" i="12"/>
  <c r="N281" i="12" s="1"/>
  <c r="M455" i="12"/>
  <c r="N455" i="12" s="1"/>
  <c r="M506" i="12"/>
  <c r="N506" i="12" s="1"/>
  <c r="M6" i="12"/>
  <c r="N6" i="12" s="1"/>
  <c r="M204" i="12"/>
  <c r="N204" i="12" s="1"/>
  <c r="M67" i="12"/>
  <c r="N67" i="12" s="1"/>
  <c r="M102" i="12"/>
  <c r="N102" i="12" s="1"/>
  <c r="M159" i="12"/>
  <c r="N159" i="12" s="1"/>
  <c r="M313" i="12"/>
  <c r="N313" i="12" s="1"/>
  <c r="M116" i="12"/>
  <c r="N116" i="12" s="1"/>
  <c r="M463" i="12"/>
  <c r="N463" i="12" s="1"/>
  <c r="M351" i="12"/>
  <c r="N351" i="12" s="1"/>
  <c r="M146" i="12"/>
  <c r="N146" i="12" s="1"/>
  <c r="M47" i="12"/>
  <c r="N47" i="12" s="1"/>
  <c r="M98" i="12"/>
  <c r="N98" i="12" s="1"/>
  <c r="M199" i="12"/>
  <c r="N199" i="12" s="1"/>
  <c r="M293" i="12"/>
  <c r="N293" i="12" s="1"/>
  <c r="M320" i="12"/>
  <c r="N320" i="12" s="1"/>
  <c r="M171" i="12"/>
  <c r="N171" i="12" s="1"/>
  <c r="M147" i="12"/>
  <c r="N147" i="12" s="1"/>
  <c r="M410" i="12"/>
  <c r="N410" i="12" s="1"/>
  <c r="M399" i="12"/>
  <c r="N399" i="12" s="1"/>
  <c r="M284" i="12"/>
  <c r="N284" i="12" s="1"/>
  <c r="M251" i="12"/>
  <c r="N251" i="12" s="1"/>
  <c r="M435" i="12"/>
  <c r="N435" i="12" s="1"/>
  <c r="M135" i="12"/>
  <c r="N135" i="12" s="1"/>
  <c r="M103" i="12"/>
  <c r="N103" i="12" s="1"/>
  <c r="M439" i="12"/>
  <c r="N439" i="12" s="1"/>
  <c r="M432" i="12"/>
  <c r="N432" i="12" s="1"/>
  <c r="M324" i="12"/>
  <c r="N324" i="12" s="1"/>
  <c r="M256" i="12"/>
  <c r="N256" i="12" s="1"/>
  <c r="M218" i="12"/>
  <c r="N218" i="12" s="1"/>
  <c r="M355" i="12"/>
  <c r="N355" i="12" s="1"/>
  <c r="M239" i="12"/>
  <c r="N239" i="12" s="1"/>
  <c r="M160" i="12"/>
  <c r="N160" i="12" s="1"/>
  <c r="M566" i="12"/>
  <c r="N566" i="12" s="1"/>
  <c r="M329" i="12"/>
  <c r="N329" i="12" s="1"/>
  <c r="M422" i="12"/>
  <c r="N422" i="12" s="1"/>
  <c r="M280" i="12"/>
  <c r="N280" i="12" s="1"/>
  <c r="M100" i="12"/>
  <c r="N100" i="12" s="1"/>
  <c r="M151" i="12"/>
  <c r="N151" i="12" s="1"/>
  <c r="M419" i="12"/>
  <c r="N419" i="12" s="1"/>
  <c r="M211" i="12"/>
  <c r="N211" i="12" s="1"/>
  <c r="M571" i="12"/>
  <c r="N571" i="12" s="1"/>
  <c r="M515" i="12"/>
  <c r="N515" i="12" s="1"/>
  <c r="M518" i="12"/>
  <c r="N518" i="12" s="1"/>
  <c r="M504" i="12"/>
  <c r="N504" i="12" s="1"/>
  <c r="M471" i="12"/>
  <c r="N471" i="12" s="1"/>
  <c r="M552" i="12"/>
  <c r="N552" i="12" s="1"/>
  <c r="M534" i="12"/>
  <c r="N534" i="12" s="1"/>
  <c r="M511" i="12"/>
  <c r="N511" i="12" s="1"/>
  <c r="M503" i="12"/>
  <c r="N503" i="12" s="1"/>
  <c r="M487" i="12"/>
  <c r="N487" i="12" s="1"/>
  <c r="M568" i="12"/>
  <c r="N568" i="12" s="1"/>
  <c r="M551" i="12"/>
  <c r="N551" i="12" s="1"/>
  <c r="M474" i="12"/>
  <c r="N474" i="12" s="1"/>
  <c r="M489" i="12"/>
  <c r="N489" i="12" s="1"/>
  <c r="M521" i="12"/>
  <c r="N521" i="12" s="1"/>
  <c r="M549" i="12"/>
  <c r="N549" i="12" s="1"/>
  <c r="M528" i="12"/>
  <c r="N528" i="12" s="1"/>
  <c r="M472" i="12"/>
  <c r="N472" i="12" s="1"/>
  <c r="M483" i="12"/>
  <c r="N483" i="12" s="1"/>
  <c r="M467" i="12"/>
  <c r="N467" i="12" s="1"/>
  <c r="M457" i="12"/>
  <c r="N457" i="12" s="1"/>
  <c r="M442" i="12"/>
  <c r="N442" i="12" s="1"/>
  <c r="M451" i="12"/>
  <c r="N451" i="12" s="1"/>
  <c r="M447" i="12"/>
  <c r="N447" i="12" s="1"/>
  <c r="M403" i="12"/>
  <c r="N403" i="12" s="1"/>
  <c r="M387" i="12"/>
  <c r="N387" i="12" s="1"/>
  <c r="M377" i="12"/>
  <c r="N377" i="12" s="1"/>
  <c r="M378" i="12"/>
  <c r="N378" i="12" s="1"/>
  <c r="M352" i="12"/>
  <c r="N352" i="12" s="1"/>
  <c r="M345" i="12"/>
  <c r="N345" i="12" s="1"/>
  <c r="M309" i="12"/>
  <c r="N309" i="12" s="1"/>
  <c r="M308" i="12"/>
  <c r="N308" i="12" s="1"/>
  <c r="M243" i="12"/>
  <c r="N243" i="12" s="1"/>
  <c r="M230" i="12"/>
  <c r="N230" i="12" s="1"/>
  <c r="M223" i="12"/>
  <c r="N223" i="12" s="1"/>
  <c r="M215" i="12"/>
  <c r="N215" i="12" s="1"/>
  <c r="M203" i="12"/>
  <c r="N203" i="12" s="1"/>
  <c r="M214" i="12"/>
  <c r="N214" i="12" s="1"/>
  <c r="M216" i="12"/>
  <c r="N216" i="12" s="1"/>
  <c r="M212" i="12"/>
  <c r="N212" i="12" s="1"/>
  <c r="M183" i="12"/>
  <c r="N183" i="12" s="1"/>
  <c r="M179" i="12"/>
  <c r="N179" i="12" s="1"/>
  <c r="M172" i="12"/>
  <c r="N172" i="12" s="1"/>
  <c r="M164" i="12"/>
  <c r="N164" i="12" s="1"/>
  <c r="M163" i="12"/>
  <c r="N163" i="12" s="1"/>
  <c r="M132" i="12"/>
  <c r="N132" i="12" s="1"/>
  <c r="M143" i="12"/>
  <c r="N143" i="12" s="1"/>
  <c r="M140" i="12"/>
  <c r="N140" i="12" s="1"/>
  <c r="M134" i="12"/>
  <c r="N134" i="12" s="1"/>
  <c r="M130" i="12"/>
  <c r="N130" i="12" s="1"/>
  <c r="M139" i="12"/>
  <c r="N139" i="12" s="1"/>
  <c r="M362" i="12"/>
  <c r="N362" i="12" s="1"/>
  <c r="M330" i="12"/>
  <c r="N330" i="12" s="1"/>
  <c r="M441" i="12"/>
  <c r="N441" i="12" s="1"/>
  <c r="M393" i="12"/>
  <c r="N393" i="12" s="1"/>
  <c r="M263" i="12"/>
  <c r="N263" i="12" s="1"/>
  <c r="M307" i="12"/>
  <c r="N307" i="12" s="1"/>
  <c r="M408" i="12"/>
  <c r="N408" i="12" s="1"/>
  <c r="M252" i="12"/>
  <c r="N252" i="12" s="1"/>
  <c r="M200" i="12"/>
  <c r="N200" i="12" s="1"/>
  <c r="M260" i="12"/>
  <c r="N260" i="12" s="1"/>
  <c r="M323" i="12"/>
  <c r="N323" i="12" s="1"/>
  <c r="M346" i="12"/>
  <c r="N346" i="12" s="1"/>
  <c r="M319" i="12"/>
  <c r="N319" i="12" s="1"/>
  <c r="M292" i="12"/>
  <c r="N292" i="12" s="1"/>
  <c r="M187" i="12"/>
  <c r="N187" i="12" s="1"/>
  <c r="M244" i="12"/>
  <c r="N244" i="12" s="1"/>
  <c r="M231" i="12"/>
  <c r="N231" i="12" s="1"/>
  <c r="M371" i="12"/>
  <c r="N371" i="12" s="1"/>
  <c r="M268" i="12"/>
  <c r="N268" i="12" s="1"/>
  <c r="M297" i="12"/>
  <c r="N297" i="12" s="1"/>
  <c r="M283" i="12"/>
  <c r="N283" i="12" s="1"/>
  <c r="M195" i="12"/>
  <c r="N195" i="12" s="1"/>
  <c r="M220" i="12"/>
  <c r="N220" i="12" s="1"/>
  <c r="M271" i="12"/>
  <c r="N271" i="12" s="1"/>
  <c r="M150" i="12"/>
  <c r="N150" i="12" s="1"/>
  <c r="M162" i="12"/>
  <c r="N162" i="12" s="1"/>
  <c r="M156" i="12"/>
  <c r="N156" i="12" s="1"/>
  <c r="M148" i="12"/>
  <c r="N148" i="12" s="1"/>
  <c r="M144" i="12"/>
  <c r="N144" i="12" s="1"/>
  <c r="M180" i="12"/>
  <c r="N180" i="12" s="1"/>
  <c r="M127" i="12"/>
  <c r="N127" i="12" s="1"/>
  <c r="M124" i="12"/>
  <c r="N124" i="12" s="1"/>
  <c r="M96" i="12"/>
  <c r="N96" i="12" s="1"/>
  <c r="M79" i="12"/>
  <c r="N79" i="12" s="1"/>
  <c r="M99" i="12"/>
  <c r="N99" i="12" s="1"/>
  <c r="M65" i="12"/>
  <c r="N65" i="12" s="1"/>
  <c r="M66" i="12"/>
  <c r="N66" i="12" s="1"/>
  <c r="M48" i="12"/>
  <c r="N48" i="12" s="1"/>
  <c r="M20" i="12"/>
  <c r="N20" i="12" s="1"/>
  <c r="M50" i="12"/>
  <c r="N50" i="12" s="1"/>
  <c r="M70" i="12"/>
  <c r="N70" i="12" s="1"/>
  <c r="M68" i="12"/>
  <c r="N68" i="12" s="1"/>
  <c r="M28" i="12"/>
  <c r="N28" i="12" s="1"/>
  <c r="M54" i="12"/>
  <c r="N54" i="12" s="1"/>
  <c r="M18" i="12"/>
  <c r="N18" i="12" s="1"/>
  <c r="M16" i="12"/>
  <c r="N16" i="12" s="1"/>
  <c r="M84" i="12"/>
  <c r="N84" i="12" s="1"/>
  <c r="M91" i="12"/>
  <c r="N91" i="12" s="1"/>
  <c r="M7" i="12"/>
  <c r="N7" i="12" s="1"/>
  <c r="M115" i="12"/>
  <c r="N115" i="12" s="1"/>
  <c r="M63" i="12"/>
  <c r="N63" i="12" s="1"/>
  <c r="M44" i="12"/>
  <c r="N44" i="12" s="1"/>
  <c r="M43" i="12"/>
  <c r="N43" i="12" s="1"/>
  <c r="M88" i="12"/>
  <c r="N88" i="12" s="1"/>
  <c r="M76" i="12"/>
  <c r="N76" i="12" s="1"/>
  <c r="M11" i="12"/>
  <c r="N11" i="12" s="1"/>
  <c r="M27" i="12"/>
  <c r="N27" i="12" s="1"/>
  <c r="M64" i="12"/>
  <c r="N64" i="12" s="1"/>
  <c r="M8" i="12"/>
  <c r="N8" i="12" s="1"/>
  <c r="M75" i="12"/>
  <c r="N75" i="12" s="1"/>
  <c r="M111" i="12"/>
  <c r="N111" i="12" s="1"/>
  <c r="M40" i="12"/>
  <c r="N40" i="12" s="1"/>
  <c r="M72" i="12"/>
  <c r="N72" i="12" s="1"/>
  <c r="M19" i="12"/>
  <c r="N19" i="12" s="1"/>
  <c r="M22" i="12"/>
  <c r="N22" i="12" s="1"/>
  <c r="M38" i="12"/>
  <c r="N38" i="12" s="1"/>
  <c r="M24" i="12"/>
  <c r="N24" i="12" s="1"/>
  <c r="M23" i="12"/>
  <c r="N23" i="12" s="1"/>
  <c r="M4" i="12"/>
  <c r="N4" i="12" s="1"/>
  <c r="M56" i="12"/>
  <c r="N56" i="12" s="1"/>
  <c r="M35" i="12"/>
  <c r="N35" i="12" s="1"/>
  <c r="M52" i="12"/>
  <c r="N52" i="12" s="1"/>
  <c r="M87" i="12"/>
  <c r="N87" i="12" s="1"/>
  <c r="M3" i="12"/>
  <c r="N3" i="12" s="1"/>
  <c r="M36" i="12"/>
  <c r="N36" i="12" s="1"/>
  <c r="M71" i="12"/>
  <c r="N71" i="12" s="1"/>
  <c r="M51" i="12"/>
  <c r="N51" i="12" s="1"/>
  <c r="M34" i="12"/>
  <c r="N34" i="12" s="1"/>
  <c r="M83" i="12"/>
  <c r="N83" i="12" s="1"/>
  <c r="M86" i="12"/>
  <c r="N86" i="12" s="1"/>
  <c r="M89" i="12"/>
  <c r="N89" i="12" s="1"/>
  <c r="M60" i="12"/>
  <c r="N60" i="12" s="1"/>
  <c r="M114" i="12"/>
  <c r="N114" i="12" s="1"/>
  <c r="M39" i="12"/>
  <c r="N39" i="12" s="1"/>
  <c r="M55" i="12"/>
  <c r="N55" i="12" s="1"/>
  <c r="M59" i="12"/>
  <c r="N59" i="12" s="1"/>
  <c r="M92" i="12"/>
  <c r="N92" i="12" s="1"/>
  <c r="M15" i="12"/>
  <c r="N15" i="12" s="1"/>
  <c r="M112" i="12"/>
  <c r="N112" i="12" s="1"/>
  <c r="M32" i="12"/>
  <c r="N32" i="12" s="1"/>
  <c r="M31" i="12"/>
  <c r="N31" i="12" s="1"/>
  <c r="M12" i="12"/>
  <c r="N12" i="12" s="1"/>
  <c r="M80" i="12"/>
  <c r="N80" i="12" s="1"/>
  <c r="P1213" i="12" l="1" a="1"/>
  <c r="P1213" i="12" s="1"/>
  <c r="M1214" i="12"/>
  <c r="N1214" i="12" s="1"/>
  <c r="M1208" i="12"/>
  <c r="N1208" i="12" s="1"/>
  <c r="M1210" i="12"/>
  <c r="N1210" i="12" s="1"/>
  <c r="M1215" i="12"/>
  <c r="N1215" i="12" s="1"/>
  <c r="M1212" i="12"/>
  <c r="N1212" i="12" s="1"/>
  <c r="M1209" i="12"/>
  <c r="N1209" i="12" s="1"/>
  <c r="M1211" i="12"/>
  <c r="N1211" i="12" s="1"/>
  <c r="M1218" i="12"/>
  <c r="N1218" i="12" s="1"/>
  <c r="M1223" i="12"/>
  <c r="N1223" i="12" s="1"/>
  <c r="M1220" i="12"/>
  <c r="N1220" i="12" s="1"/>
  <c r="M1225" i="12"/>
  <c r="N1225" i="12" s="1"/>
  <c r="M1217" i="12"/>
  <c r="N1217" i="12" s="1"/>
  <c r="M1222" i="12"/>
  <c r="N1222" i="12" s="1"/>
  <c r="M1219" i="12"/>
  <c r="N1219" i="12" s="1"/>
  <c r="M1224" i="12"/>
  <c r="N1224" i="12" s="1"/>
  <c r="M1216" i="12"/>
  <c r="N1216" i="12" s="1"/>
  <c r="M1221" i="12"/>
  <c r="N1221" i="12" s="1"/>
  <c r="H60" i="4"/>
  <c r="H22" i="4"/>
  <c r="H13" i="4"/>
  <c r="H17" i="4"/>
  <c r="H63" i="4"/>
  <c r="H7" i="4"/>
  <c r="H40" i="4"/>
  <c r="H65" i="4"/>
  <c r="H41" i="4"/>
  <c r="H28" i="4"/>
  <c r="H2" i="4"/>
  <c r="H56" i="4"/>
  <c r="H31" i="4"/>
  <c r="H57" i="4"/>
  <c r="H21" i="4"/>
  <c r="H35" i="4"/>
  <c r="H34" i="4"/>
  <c r="H6" i="4"/>
  <c r="H15" i="4"/>
  <c r="H27" i="4"/>
  <c r="H23" i="4"/>
  <c r="H37" i="4"/>
  <c r="H69" i="4"/>
  <c r="H43" i="4"/>
  <c r="H12" i="4"/>
  <c r="H20" i="4"/>
  <c r="H29" i="4"/>
  <c r="H25" i="4"/>
  <c r="H54" i="4"/>
  <c r="H42" i="4"/>
  <c r="H39" i="4"/>
  <c r="H62" i="4"/>
  <c r="H11" i="4"/>
  <c r="H36" i="4"/>
  <c r="H8" i="4"/>
  <c r="H59" i="4"/>
  <c r="H45" i="4"/>
  <c r="H18" i="4"/>
  <c r="H66" i="4"/>
  <c r="H44" i="4"/>
  <c r="H53" i="4"/>
  <c r="H68" i="4"/>
  <c r="H50" i="4"/>
  <c r="H70" i="4"/>
  <c r="H6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<sst xmlns="http://schemas.openxmlformats.org/spreadsheetml/2006/main" count="13744" uniqueCount="145">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</sst>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6" fillId="0" borderId="0"/>
    <xf numFmtId="0" fontId="15" fillId="0" borderId="0"/>
    <xf numFmtId="9" fontId="21" fillId="0" borderId="0" applyFont="0" applyFill="0" applyBorder="0" applyAlignment="0" applyProtection="0"/>
  </cellStyleXfs>
  <cellXfs count="111">
    <xf numFmtId="0" fontId="0" fillId="0" borderId="0" xfId="0"/>
    <xf numFmtId="0" fontId="17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16" fillId="0" borderId="0" xfId="1"/>
    <xf numFmtId="0" fontId="15" fillId="0" borderId="0" xfId="2"/>
    <xf numFmtId="14" fontId="15" fillId="0" borderId="0" xfId="2" applyNumberFormat="1"/>
    <xf numFmtId="1" fontId="0" fillId="0" borderId="0" xfId="0" applyNumberFormat="1" applyAlignment="1">
      <alignment horizontal="center"/>
    </xf>
    <xf numFmtId="14" fontId="16" fillId="0" borderId="0" xfId="1" applyNumberFormat="1"/>
    <xf numFmtId="0" fontId="14" fillId="0" borderId="0" xfId="1" applyFont="1"/>
    <xf numFmtId="0" fontId="14" fillId="0" borderId="0" xfId="0" applyFont="1"/>
    <xf numFmtId="14" fontId="14" fillId="0" borderId="0" xfId="0" applyNumberFormat="1" applyFont="1"/>
    <xf numFmtId="14" fontId="14" fillId="0" borderId="0" xfId="1" applyNumberFormat="1" applyFont="1"/>
    <xf numFmtId="0" fontId="13" fillId="0" borderId="0" xfId="0" applyFont="1"/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20" fillId="0" borderId="1" xfId="0" applyFont="1" applyBorder="1"/>
    <xf numFmtId="14" fontId="12" fillId="0" borderId="1" xfId="0" applyNumberFormat="1" applyFont="1" applyBorder="1"/>
    <xf numFmtId="0" fontId="12" fillId="0" borderId="1" xfId="0" applyFont="1" applyBorder="1"/>
    <xf numFmtId="14" fontId="12" fillId="2" borderId="1" xfId="0" applyNumberFormat="1" applyFont="1" applyFill="1" applyBorder="1"/>
    <xf numFmtId="0" fontId="12" fillId="2" borderId="1" xfId="0" applyFont="1" applyFill="1" applyBorder="1"/>
    <xf numFmtId="0" fontId="20" fillId="0" borderId="0" xfId="0" applyFont="1"/>
    <xf numFmtId="14" fontId="12" fillId="0" borderId="0" xfId="0" applyNumberFormat="1" applyFont="1"/>
    <xf numFmtId="2" fontId="12" fillId="0" borderId="0" xfId="0" applyNumberFormat="1" applyFont="1"/>
    <xf numFmtId="0" fontId="20" fillId="0" borderId="0" xfId="0" applyFont="1" applyAlignment="1">
      <alignment horizontal="left"/>
    </xf>
    <xf numFmtId="14" fontId="12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0" fillId="0" borderId="0" xfId="0" applyNumberFormat="1" applyFont="1" applyAlignment="1">
      <alignment horizontal="left"/>
    </xf>
    <xf numFmtId="14" fontId="20" fillId="0" borderId="0" xfId="0" applyNumberFormat="1" applyFont="1"/>
    <xf numFmtId="0" fontId="12" fillId="0" borderId="0" xfId="1" applyFont="1"/>
    <xf numFmtId="0" fontId="11" fillId="0" borderId="0" xfId="0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left"/>
    </xf>
    <xf numFmtId="2" fontId="11" fillId="0" borderId="0" xfId="0" applyNumberFormat="1" applyFont="1"/>
    <xf numFmtId="14" fontId="11" fillId="0" borderId="0" xfId="0" applyNumberFormat="1" applyFont="1"/>
    <xf numFmtId="14" fontId="11" fillId="0" borderId="1" xfId="0" applyNumberFormat="1" applyFont="1" applyBorder="1"/>
    <xf numFmtId="0" fontId="11" fillId="0" borderId="1" xfId="0" applyFont="1" applyBorder="1"/>
    <xf numFmtId="0" fontId="10" fillId="0" borderId="0" xfId="0" applyFont="1"/>
    <xf numFmtId="1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/>
    <xf numFmtId="14" fontId="10" fillId="0" borderId="0" xfId="0" applyNumberFormat="1" applyFont="1" applyAlignment="1">
      <alignment horizontal="left"/>
    </xf>
    <xf numFmtId="2" fontId="10" fillId="0" borderId="0" xfId="0" applyNumberFormat="1" applyFont="1"/>
    <xf numFmtId="14" fontId="10" fillId="0" borderId="0" xfId="0" applyNumberFormat="1" applyFont="1"/>
    <xf numFmtId="0" fontId="9" fillId="0" borderId="0" xfId="0" applyFont="1"/>
    <xf numFmtId="14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9" fillId="0" borderId="0" xfId="0" applyNumberFormat="1" applyFont="1" applyAlignment="1">
      <alignment horizontal="left"/>
    </xf>
    <xf numFmtId="2" fontId="9" fillId="0" borderId="0" xfId="0" applyNumberFormat="1" applyFont="1"/>
    <xf numFmtId="14" fontId="9" fillId="0" borderId="1" xfId="0" applyNumberFormat="1" applyFont="1" applyBorder="1"/>
    <xf numFmtId="0" fontId="9" fillId="0" borderId="1" xfId="0" applyFont="1" applyBorder="1"/>
    <xf numFmtId="14" fontId="9" fillId="0" borderId="0" xfId="0" applyNumberFormat="1" applyFont="1"/>
    <xf numFmtId="14" fontId="9" fillId="0" borderId="1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7" fillId="0" borderId="0" xfId="3" applyNumberFormat="1" applyFont="1" applyFill="1" applyAlignment="1">
      <alignment horizontal="center" vertical="center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4" fontId="6" fillId="0" borderId="1" xfId="0" applyNumberFormat="1" applyFont="1" applyBorder="1"/>
    <xf numFmtId="0" fontId="6" fillId="0" borderId="1" xfId="0" applyFont="1" applyBorder="1"/>
    <xf numFmtId="14" fontId="6" fillId="0" borderId="0" xfId="0" applyNumberFormat="1" applyFont="1" applyAlignment="1">
      <alignment horizontal="left"/>
    </xf>
    <xf numFmtId="2" fontId="6" fillId="0" borderId="0" xfId="0" applyNumberFormat="1" applyFont="1"/>
    <xf numFmtId="14" fontId="6" fillId="0" borderId="0" xfId="0" applyNumberFormat="1" applyFont="1"/>
    <xf numFmtId="0" fontId="6" fillId="0" borderId="0" xfId="0" applyFont="1" applyAlignment="1">
      <alignment horizontal="center" vertical="center"/>
    </xf>
    <xf numFmtId="10" fontId="6" fillId="0" borderId="0" xfId="3" applyNumberFormat="1" applyFont="1" applyFill="1" applyAlignment="1">
      <alignment horizontal="center" vertic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4" fontId="5" fillId="0" borderId="1" xfId="0" applyNumberFormat="1" applyFont="1" applyBorder="1"/>
    <xf numFmtId="0" fontId="5" fillId="0" borderId="1" xfId="0" applyFont="1" applyBorder="1"/>
    <xf numFmtId="14" fontId="5" fillId="0" borderId="0" xfId="0" applyNumberFormat="1" applyFont="1" applyAlignment="1">
      <alignment horizontal="left"/>
    </xf>
    <xf numFmtId="2" fontId="5" fillId="0" borderId="0" xfId="0" applyNumberFormat="1" applyFont="1"/>
    <xf numFmtId="0" fontId="5" fillId="0" borderId="0" xfId="0" applyFont="1" applyAlignment="1">
      <alignment horizontal="center" vertical="center"/>
    </xf>
    <xf numFmtId="10" fontId="5" fillId="0" borderId="0" xfId="3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4" fillId="0" borderId="0" xfId="1" applyFont="1"/>
    <xf numFmtId="0" fontId="3" fillId="0" borderId="0" xfId="1" applyFont="1"/>
    <xf numFmtId="0" fontId="2" fillId="0" borderId="0" xfId="1" applyFont="1"/>
    <xf numFmtId="0" fontId="1" fillId="0" borderId="0" xfId="0" applyFont="1"/>
    <xf numFmtId="0" fontId="1" fillId="0" borderId="0" xfId="0" applyFont="1" applyFill="1"/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14" fontId="12" fillId="0" borderId="0" xfId="0" applyNumberFormat="1" applyFont="1" applyBorder="1"/>
    <xf numFmtId="0" fontId="12" fillId="0" borderId="0" xfId="0" applyFont="1" applyBorder="1"/>
    <xf numFmtId="14" fontId="1" fillId="0" borderId="1" xfId="0" applyNumberFormat="1" applyFont="1" applyBorder="1"/>
    <xf numFmtId="0" fontId="1" fillId="0" borderId="1" xfId="0" applyFont="1" applyBorder="1"/>
    <xf numFmtId="14" fontId="12" fillId="2" borderId="2" xfId="0" applyNumberFormat="1" applyFont="1" applyFill="1" applyBorder="1"/>
    <xf numFmtId="14" fontId="12" fillId="2" borderId="3" xfId="0" applyNumberFormat="1" applyFont="1" applyFill="1" applyBorder="1"/>
    <xf numFmtId="0" fontId="12" fillId="2" borderId="2" xfId="0" applyFont="1" applyFill="1" applyBorder="1"/>
    <xf numFmtId="0" fontId="12" fillId="2" borderId="3" xfId="0" applyFont="1" applyFill="1" applyBorder="1"/>
    <xf numFmtId="14" fontId="1" fillId="0" borderId="0" xfId="0" applyNumberFormat="1" applyFont="1" applyFill="1" applyAlignment="1">
      <alignment horizontal="left"/>
    </xf>
    <xf numFmtId="2" fontId="1" fillId="0" borderId="0" xfId="0" applyNumberFormat="1" applyFont="1" applyFill="1"/>
    <xf numFmtId="0" fontId="5" fillId="0" borderId="0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0" fontId="1" fillId="0" borderId="0" xfId="3" applyNumberFormat="1" applyFont="1" applyFill="1" applyAlignment="1">
      <alignment horizontal="center" vertical="center"/>
    </xf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72" totalsRowShown="0" headerRowDxfId="210" dataDxfId="209">
  <autoFilter ref="A1:T72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8"/>
    <tableColumn id="2" xr3:uid="{924A199E-D707-4D3B-A6A9-9B90BAA6BC07}" name="Date" dataDxfId="207"/>
    <tableColumn id="3" xr3:uid="{7964E1D8-B8BD-470D-A69B-9BECCB8EB52F}" name="Score" dataDxfId="206"/>
    <tableColumn id="4" xr3:uid="{811DA4A0-DB06-4864-ACB4-C6E4646A25CA}" name="Over Par" dataDxfId="205"/>
    <tableColumn id="5" xr3:uid="{7B01B5D5-C86C-4948-A173-8E0C85C98047}" name="Played With" dataDxfId="204"/>
    <tableColumn id="6" xr3:uid="{DC79F350-2D22-4E57-ADF8-9268ADBA30F6}" name="Par" dataDxfId="203">
      <calculatedColumnFormula>C2-D2</calculatedColumnFormula>
    </tableColumn>
    <tableColumn id="7" xr3:uid="{8B66CDE4-9DC5-48C2-85A1-AEC4139E185F}" name="Course" dataDxfId="202"/>
    <tableColumn id="8" xr3:uid="{433BB3DE-448E-4D86-8EF9-709A07610928}" name="Tees" dataDxfId="201"/>
    <tableColumn id="9" xr3:uid="{ACBF3870-6BDC-4CE2-B3A2-F7B278BD979E}" name="Yardage" dataDxfId="200"/>
    <tableColumn id="10" xr3:uid="{E701C6F0-99B7-4400-922D-3D77D7EFF685}" name="Front 9" dataDxfId="199"/>
    <tableColumn id="11" xr3:uid="{9C8418C9-0B91-4B91-844D-2E0F7CCCA994}" name="Back 9" dataDxfId="198"/>
    <tableColumn id="12" xr3:uid="{3A7FAEBC-C940-49F5-8058-F5C2A78D5C7B}" name="Eagles" dataDxfId="197"/>
    <tableColumn id="13" xr3:uid="{DE496155-0119-4875-AED4-61EB6DF456C9}" name="Birdies" dataDxfId="196"/>
    <tableColumn id="14" xr3:uid="{80014657-1550-4789-B715-4FDDCB6D6E6D}" name="Pars" dataDxfId="195"/>
    <tableColumn id="15" xr3:uid="{1F6CADAD-3F02-41F4-AF88-FAE44E23E595}" name="Bogeys" dataDxfId="194"/>
    <tableColumn id="16" xr3:uid="{B7D82502-E0DA-4134-A127-4D9E67DC1A8C}" name="Double Bogeys" dataDxfId="193"/>
    <tableColumn id="17" xr3:uid="{468DDD79-ABBB-47F9-86B4-7A60A5E180D5}" name="Holes Played" dataDxfId="192">
      <calculatedColumnFormula>SUM(L2:P2)</calculatedColumnFormula>
    </tableColumn>
    <tableColumn id="18" xr3:uid="{0B1B0CFF-3439-438E-8D5B-DE0C4E2FDE30}" name="Putts" dataDxfId="191"/>
    <tableColumn id="19" xr3:uid="{9C0FEB19-A788-4290-A78F-C858A81D67C6}" name="Fairways" dataDxfId="190"/>
    <tableColumn id="20" xr3:uid="{242E4F5C-4361-496D-A6A1-6B3F1CF1045D}" name="Greens" dataDxfId="18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75:H77" totalsRowShown="0">
  <autoFilter ref="A75:H77" xr:uid="{524F964C-D69D-4A9F-ABCC-C4E89A26A236}"/>
  <tableColumns count="8">
    <tableColumn id="15" xr3:uid="{5ABD2A44-59ED-4138-AA5F-40BE64BDF9F1}" name="Golfer" dataDxfId="188"/>
    <tableColumn id="1" xr3:uid="{3EA34934-F9CA-4A80-8F92-0CED4C567BB1}" name="Date" dataDxfId="187"/>
    <tableColumn id="2" xr3:uid="{BA3A8205-8464-4CE4-B330-D390332EA22E}" name="Course" dataDxfId="186"/>
    <tableColumn id="3" xr3:uid="{A90F9A82-7E2B-497D-8BCA-E9291A4C9AFF}" name="Tees" dataDxfId="185"/>
    <tableColumn id="5" xr3:uid="{53E28435-E7F5-4B7C-A5E3-5C18220005EF}" name="Score"/>
    <tableColumn id="6" xr3:uid="{C58F8864-D678-477F-8E34-B85C2D9E7481}" name="Rating" dataDxfId="184">
      <calculatedColumnFormula array="1">INDEX(CourseRatings[Rating], MATCH(1, (CourseRatings[Course]=C76)*(CourseRatings[Tees]=D76), 0))</calculatedColumnFormula>
    </tableColumn>
    <tableColumn id="7" xr3:uid="{2AEF9861-04D6-40A2-9BE7-C34B8C9A1AB4}" name="Slope" dataDxfId="183">
      <calculatedColumnFormula array="1">INDEX(CourseRatings[Slope], MATCH(1, (CourseRatings[Course]=C76)*(CourseRatings[Tees]=D76), 0))</calculatedColumnFormula>
    </tableColumn>
    <tableColumn id="8" xr3:uid="{456F6749-ECDD-457D-90BC-E4EBE20F1858}" name="Differential">
      <calculatedColumnFormula>(E76-F76)*113/G76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70" totalsRowShown="0" headerRowDxfId="182" dataDxfId="181" tableBorderDxfId="180">
  <autoFilter ref="A1:H70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9"/>
    <tableColumn id="3" xr3:uid="{FB341F47-940E-4A46-A228-3D985B7E6A16}" name="Course" dataDxfId="178"/>
    <tableColumn id="4" xr3:uid="{70E221B6-1FCC-4F4A-8E1B-4A99E816CFFA}" name="Tees" dataDxfId="177"/>
    <tableColumn id="5" xr3:uid="{2F374D52-F178-43A5-975F-7F54D7E4C872}" name="Score" dataDxfId="176"/>
    <tableColumn id="6" xr3:uid="{9E31E636-EFED-4D67-8EB0-FC8E8776A850}" name="Rating" dataDxfId="175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4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3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70" totalsRowShown="0" headerRowDxfId="172" dataDxfId="171">
  <autoFilter ref="A1:AB70" xr:uid="{473EE5D9-3855-479B-A02B-268A408EB545}"/>
  <tableColumns count="28">
    <tableColumn id="1" xr3:uid="{FF70C13D-1B0D-492E-A673-59C8E560A9EC}" name="Golfer" dataDxfId="170"/>
    <tableColumn id="2" xr3:uid="{98BA1A91-3FA9-4334-8090-3721258FA78F}" name="Date" dataDxfId="169"/>
    <tableColumn id="3" xr3:uid="{41EA924C-0FB3-4E11-B4D1-555A1508D3D5}" name="Course" dataDxfId="168"/>
    <tableColumn id="4" xr3:uid="{ACBD08A4-D07D-41A8-B14C-19612DB63509}" name="Score" dataDxfId="167">
      <calculatedColumnFormula>SUM('Golf Log'!$E2:$V2)</calculatedColumnFormula>
    </tableColumn>
    <tableColumn id="5" xr3:uid="{61FA08C6-D9C1-4AA4-92BF-9F27E21A8549}" name="Hole 1" dataDxfId="166"/>
    <tableColumn id="6" xr3:uid="{3395DDC0-2DE7-469C-94D9-DC781BFBEE32}" name="Hole 2" dataDxfId="165"/>
    <tableColumn id="7" xr3:uid="{FD154801-CC52-4E58-8DF9-8A8CCD2EAEF6}" name="Hole 3" dataDxfId="164"/>
    <tableColumn id="8" xr3:uid="{959A9045-3139-4F25-B7FB-6EDC162E85A4}" name="Hole 4" dataDxfId="163"/>
    <tableColumn id="9" xr3:uid="{978D1B39-8D10-4617-A1B0-6D582BED5721}" name="Hole 5" dataDxfId="162"/>
    <tableColumn id="10" xr3:uid="{7BB821F9-08E2-46BE-A580-A5085C8F80DD}" name="Hole 6" dataDxfId="161"/>
    <tableColumn id="11" xr3:uid="{F843E908-F834-450B-8C86-208CCE1EF818}" name="Hole 7" dataDxfId="160"/>
    <tableColumn id="12" xr3:uid="{43B5FDFA-5A9A-4970-9D90-7D09C243344F}" name="Hole 8" dataDxfId="159"/>
    <tableColumn id="13" xr3:uid="{3A6A0A11-0B3A-4750-AEFF-4A95A35C03B7}" name="Hole 9" dataDxfId="158"/>
    <tableColumn id="14" xr3:uid="{2BF559A2-B271-4B72-A915-E6813F6C7C6E}" name="Hole 10" dataDxfId="157"/>
    <tableColumn id="15" xr3:uid="{33B19CB8-3FA5-43FC-8964-8114C2F767AE}" name="Hole 11" dataDxfId="156"/>
    <tableColumn id="16" xr3:uid="{138C1A3A-C83F-4A58-8AAF-6730615D4D4B}" name="Hole 12" dataDxfId="155"/>
    <tableColumn id="17" xr3:uid="{0813983B-DFF9-46FD-9F6E-18467B141FEF}" name="Hole 13" dataDxfId="154"/>
    <tableColumn id="18" xr3:uid="{2D22ECD5-A5A7-4815-A8C9-77642A711999}" name="Hole 14" dataDxfId="153"/>
    <tableColumn id="19" xr3:uid="{BBC0D6C7-575A-4E9C-AEF5-3E9D05BE96AE}" name="Hole 15" dataDxfId="152"/>
    <tableColumn id="20" xr3:uid="{80BA2932-BECE-4E2B-974A-3D88648D940A}" name="Hole 16" dataDxfId="151"/>
    <tableColumn id="21" xr3:uid="{AB88A514-224A-4969-8447-7AD623B80762}" name="Hole 17" dataDxfId="150"/>
    <tableColumn id="22" xr3:uid="{46BA0678-86FE-4805-B362-01ECE8253E82}" name="Hole 18" dataDxfId="149"/>
    <tableColumn id="23" xr3:uid="{09D107EC-AC59-49B4-AD52-70A65EEAA042}" name="Putts" dataDxfId="148"/>
    <tableColumn id="24" xr3:uid="{F0535BB3-C71A-424C-8685-4A3795A22CB3}" name="Fairways" dataDxfId="147"/>
    <tableColumn id="25" xr3:uid="{9298F3AC-3EA0-43BA-8086-5A664BB28525}" name="GIR" dataDxfId="146"/>
    <tableColumn id="26" xr3:uid="{926B6C60-FED3-4D70-8C34-5B76753AFE5B}" name="Par 3 Avg" dataDxfId="145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4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3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72:M74" totalsRowShown="0" headerRowDxfId="142" dataDxfId="141">
  <autoFilter ref="A72:M74" xr:uid="{EA1879C9-851D-42D9-8FF0-852A5087D2C5}"/>
  <tableColumns count="13">
    <tableColumn id="1" xr3:uid="{C351BEF2-90B5-44A7-B866-8CD09F7EBE18}" name="Golfer"/>
    <tableColumn id="2" xr3:uid="{554CF43E-C40B-4F5B-AE1E-939C82FDE329}" name="Date" dataDxfId="140"/>
    <tableColumn id="3" xr3:uid="{03D741A6-1B50-4423-952E-57D0D785C686}" name="Course" dataDxfId="139"/>
    <tableColumn id="4" xr3:uid="{06E25D5E-7FE7-47C7-9AF8-40B00704346A}" name="Score" dataDxfId="138">
      <calculatedColumnFormula>SUM('Golf Log'!$E73:$M73)</calculatedColumnFormula>
    </tableColumn>
    <tableColumn id="5" xr3:uid="{C5EB3E17-9B35-4D67-B26D-3354A2C2C9A2}" name="Hole 1" dataDxfId="137"/>
    <tableColumn id="6" xr3:uid="{79DEED49-EFE9-48EC-935F-B558E246BC95}" name="Hole 2" dataDxfId="136"/>
    <tableColumn id="7" xr3:uid="{3926BC82-3F80-42CD-87CE-C0BB7BE39B4B}" name="Hole 3" dataDxfId="135"/>
    <tableColumn id="8" xr3:uid="{04B47985-4EDE-4FDD-8702-58AF36BC1EEF}" name="Hole 4" dataDxfId="134"/>
    <tableColumn id="9" xr3:uid="{035A2182-AC3A-4504-8DB8-F228FD080449}" name="Hole 5" dataDxfId="133"/>
    <tableColumn id="10" xr3:uid="{97E90124-D1A3-4C9E-B0F5-0EBC6FAF2E76}" name="Hole 6" dataDxfId="132"/>
    <tableColumn id="11" xr3:uid="{A3617EEE-8E7C-48AC-A09F-EB56EF86DDA9}" name="Hole 7" dataDxfId="131"/>
    <tableColumn id="12" xr3:uid="{3F294CD0-B3F2-40CF-8DDF-C75FBCB0B085}" name="Hole 8" dataDxfId="130"/>
    <tableColumn id="13" xr3:uid="{43359816-B3A9-4464-B48A-52A410BB0A69}" name="Hole 9" dataDxfId="1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70" totalsRowShown="0" headerRowDxfId="128" dataDxfId="127">
  <autoFilter ref="A1:AB70" xr:uid="{DC05ADF7-93BD-4567-988E-8EC6F3A22827}"/>
  <tableColumns count="28">
    <tableColumn id="1" xr3:uid="{D138F121-8B55-4C33-A2F6-EF59ACA54084}" name="Golfer" dataDxfId="126"/>
    <tableColumn id="2" xr3:uid="{99731635-56B4-40FB-96F3-A7EDF4D21F06}" name="Date" dataDxfId="125"/>
    <tableColumn id="3" xr3:uid="{D8472164-7BD3-4DDD-B739-23C4CD8BB9F3}" name="Course" dataDxfId="124"/>
    <tableColumn id="4" xr3:uid="{7A7E8156-AA56-4EE4-AF8E-3AFF38660E68}" name="Putts" dataDxfId="123">
      <calculatedColumnFormula>SUM('Putt Log'!$E2:$V2)</calculatedColumnFormula>
    </tableColumn>
    <tableColumn id="5" xr3:uid="{80C84386-0971-411D-A246-34C33CBD1D57}" name="Hole 1" dataDxfId="122"/>
    <tableColumn id="6" xr3:uid="{670E8E08-CF69-417A-BC07-BB3BD866639D}" name="Hole 2" dataDxfId="121"/>
    <tableColumn id="7" xr3:uid="{684AFEDA-1F18-498C-8777-04C499DBFA85}" name="Hole 3" dataDxfId="120"/>
    <tableColumn id="8" xr3:uid="{C1B28706-AA4B-4876-89A9-B11279C71627}" name="Hole 4" dataDxfId="119"/>
    <tableColumn id="9" xr3:uid="{E04C47F7-361E-429B-82EC-DF81E4E73434}" name="Hole 5" dataDxfId="118"/>
    <tableColumn id="10" xr3:uid="{8EBE87F6-C941-461F-8DCD-B77CC9D8FBC5}" name="Hole 6" dataDxfId="117"/>
    <tableColumn id="11" xr3:uid="{112B4B85-B296-4433-B396-A666E0AC7D87}" name="Hole 7" dataDxfId="116"/>
    <tableColumn id="12" xr3:uid="{889FC6BA-3253-496F-8637-B387FD21BB05}" name="Hole 8" dataDxfId="115"/>
    <tableColumn id="13" xr3:uid="{DDFB3A04-2B97-43EC-98CB-F2A2C0C596D8}" name="Hole 9" dataDxfId="114"/>
    <tableColumn id="14" xr3:uid="{BE1DFBCF-E9D6-42F0-93A8-85B3B27EADA9}" name="Hole 10" dataDxfId="113"/>
    <tableColumn id="15" xr3:uid="{C773A9C9-820F-45BC-BD25-33974A23C9B4}" name="Hole 11" dataDxfId="112"/>
    <tableColumn id="16" xr3:uid="{7A7A490B-AA22-40CA-9C06-4BA498FAE208}" name="Hole 12" dataDxfId="111"/>
    <tableColumn id="17" xr3:uid="{D0EA4272-7DF6-4403-8D04-25E59A5DEA46}" name="Hole 13" dataDxfId="110"/>
    <tableColumn id="18" xr3:uid="{CE71EE54-07C7-406D-9CA5-5223D8A276F1}" name="Hole 14" dataDxfId="109"/>
    <tableColumn id="19" xr3:uid="{AB2F3668-D6CC-451E-84FC-52F42BD2A65C}" name="Hole 15" dataDxfId="108"/>
    <tableColumn id="20" xr3:uid="{93522917-C30E-4E5A-86FF-D03619D958EE}" name="Hole 16" dataDxfId="107"/>
    <tableColumn id="21" xr3:uid="{140834E5-FDEF-4829-8904-D4D1C5FAA2BA}" name="Hole 17" dataDxfId="106"/>
    <tableColumn id="22" xr3:uid="{0383F378-8075-41DC-83DB-8C5B0CF0804D}" name="Hole 18" dataDxfId="105"/>
    <tableColumn id="23" xr3:uid="{01C3EC4A-E42A-47FA-86FC-A3533E55080C}" name="Putts2" dataDxfId="104"/>
    <tableColumn id="24" xr3:uid="{A19DF869-C1A5-43D4-B436-0105B5A27247}" name="Fairways" dataDxfId="103"/>
    <tableColumn id="25" xr3:uid="{42A337CB-7501-4E46-A80F-4BD0DB8185E2}" name="GIR" dataDxfId="102"/>
    <tableColumn id="26" xr3:uid="{2C218232-CFC4-4AE8-BC65-269F4E1B1CA3}" name="Par 3 Avg" dataDxfId="101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100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9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75:M77" totalsRowShown="0" headerRowDxfId="98" dataDxfId="97">
  <autoFilter ref="A75:M77" xr:uid="{3706CBB1-DF02-4480-A43F-55D8CC379EE0}"/>
  <tableColumns count="13">
    <tableColumn id="1" xr3:uid="{D8342BAB-5EB2-4C3E-999E-873A56CD33CD}" name="Golfer" dataDxfId="96"/>
    <tableColumn id="2" xr3:uid="{D4B168B0-00C1-4ABF-B0AB-837E1804D526}" name="Date" dataDxfId="95"/>
    <tableColumn id="3" xr3:uid="{DD0E504B-33CC-4C58-84C1-1BC990256AC8}" name="Course" dataDxfId="94"/>
    <tableColumn id="4" xr3:uid="{0570B601-2A3F-40CE-B532-E977CAF48AF9}" name="Putts" dataDxfId="93">
      <calculatedColumnFormula>SUM('Putt Log'!$E76:$M76)</calculatedColumnFormula>
    </tableColumn>
    <tableColumn id="5" xr3:uid="{B6747DCC-737B-4615-8A24-5FAEA0F01964}" name="Hole 1" dataDxfId="92"/>
    <tableColumn id="6" xr3:uid="{A178C90D-92C0-4582-ABDD-10B899851A81}" name="Hole 2" dataDxfId="91"/>
    <tableColumn id="7" xr3:uid="{999D685F-0211-47BC-A552-3780BFE31F3D}" name="Hole 3" dataDxfId="90"/>
    <tableColumn id="8" xr3:uid="{D5FAAB71-23FD-4EA8-933C-9DE6976BE019}" name="Hole 4" dataDxfId="89"/>
    <tableColumn id="9" xr3:uid="{8250BEAB-919F-4DA7-A86F-B8C92C721AB5}" name="Hole 5" dataDxfId="88"/>
    <tableColumn id="10" xr3:uid="{9D781C80-516E-4C5A-B05A-2CC847F9902F}" name="Hole 6" dataDxfId="87"/>
    <tableColumn id="11" xr3:uid="{10E50607-4740-4DC1-BF56-4373B789E3EC}" name="Hole 7" dataDxfId="86"/>
    <tableColumn id="12" xr3:uid="{EBA9A435-DCDA-49FC-AFD3-FA1601597188}" name="Hole 8" dataDxfId="85"/>
    <tableColumn id="13" xr3:uid="{779402BE-FD2E-4E18-83A5-209CA458CB89}" name="Hole 9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70" totalsRowShown="0" headerRowDxfId="83" dataDxfId="82">
  <autoFilter ref="A1:W70" xr:uid="{D111B819-DA4D-415F-A633-3B40CB89A698}"/>
  <tableColumns count="23">
    <tableColumn id="1" xr3:uid="{17C7791B-8EB6-41CA-A322-E7D685BFF7B4}" name="Golfer" dataDxfId="81"/>
    <tableColumn id="2" xr3:uid="{DE1EEDAF-8305-42F3-870A-BDAEF5804ABD}" name="Date" dataDxfId="80"/>
    <tableColumn id="3" xr3:uid="{70BFC9A7-45A0-4B1C-B2AF-5F0573D6D4A5}" name="Course" dataDxfId="79"/>
    <tableColumn id="4" xr3:uid="{C03022FA-DE1F-4C12-8844-B6A1916FF5DC}" name="Fairways" dataDxfId="78">
      <calculatedColumnFormula>SUM('Fairway Log'!$E2:$V2)</calculatedColumnFormula>
    </tableColumn>
    <tableColumn id="5" xr3:uid="{521DEA03-5197-43AE-8E70-F09EB662D6D7}" name="Hole 1" dataDxfId="77"/>
    <tableColumn id="6" xr3:uid="{98C5C74B-5605-46D4-B017-534D39D1558B}" name="Hole 2" dataDxfId="76"/>
    <tableColumn id="7" xr3:uid="{FB13F568-1998-4FBB-89F2-37640BFF6321}" name="Hole 3" dataDxfId="75"/>
    <tableColumn id="8" xr3:uid="{632DFDB8-A553-4D80-9DDE-C78E8CDB9A93}" name="Hole 4" dataDxfId="74"/>
    <tableColumn id="9" xr3:uid="{5CDFBFA9-B9B1-4FF6-A780-9C93E6C2B54F}" name="Hole 5" dataDxfId="73"/>
    <tableColumn id="10" xr3:uid="{89EB8017-9D2F-455F-8545-410697967EB8}" name="Hole 6" dataDxfId="72"/>
    <tableColumn id="11" xr3:uid="{7AB225A3-9126-4DB8-9070-059EACAF75DA}" name="Hole 7" dataDxfId="71"/>
    <tableColumn id="12" xr3:uid="{659A2510-07A2-43F4-8655-2EBEF7C10BF7}" name="Hole 8" dataDxfId="70"/>
    <tableColumn id="13" xr3:uid="{CFDF6094-0677-44EE-AC11-94286E207907}" name="Hole 9" dataDxfId="69"/>
    <tableColumn id="14" xr3:uid="{A836FFF4-E5D3-4C67-8C1C-FD4EAFBB86BC}" name="Hole 10" dataDxfId="68"/>
    <tableColumn id="15" xr3:uid="{B2B4AEDC-0632-4196-8AD4-AAE0F414333C}" name="Hole 11" dataDxfId="67"/>
    <tableColumn id="16" xr3:uid="{B3140601-5FC4-4397-8B39-7EFCAF517421}" name="Hole 12" dataDxfId="66"/>
    <tableColumn id="17" xr3:uid="{1F6B235D-29FA-4976-B460-CD4DC862F907}" name="Hole 13" dataDxfId="65"/>
    <tableColumn id="18" xr3:uid="{C41475AB-5D2C-4E21-823F-7A1B8AECD9FE}" name="Hole 14" dataDxfId="64"/>
    <tableColumn id="19" xr3:uid="{74530B0C-486B-48FB-8413-6140D970B29B}" name="Hole 15" dataDxfId="63"/>
    <tableColumn id="20" xr3:uid="{9F0AE5C2-CB75-4BDE-8348-ED0A50EC7E1B}" name="Hole 16" dataDxfId="62"/>
    <tableColumn id="21" xr3:uid="{C2DB48D3-EEF0-42A6-B7C4-6648C26B43DD}" name="Hole 17" dataDxfId="61"/>
    <tableColumn id="22" xr3:uid="{2E69B9CC-9EDC-402B-8EA7-355A092BFFB9}" name="Hole 18" dataDxfId="60"/>
    <tableColumn id="23" xr3:uid="{5B8E67CD-58CE-438C-808B-6F212DAD77E3}" name="Fairway %" dataDxfId="59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75:M77" totalsRowShown="0" headerRowDxfId="58" dataDxfId="57">
  <autoFilter ref="A75:M77" xr:uid="{6EA21C6A-771A-4D00-BFAE-1056919B9B85}"/>
  <tableColumns count="13">
    <tableColumn id="1" xr3:uid="{1095F9B1-9C01-4E2A-A462-5806777BB83C}" name="Golfer" dataDxfId="56"/>
    <tableColumn id="2" xr3:uid="{44890D84-BA54-4B96-A3E5-F89F8D82E3F0}" name="Date" dataDxfId="55"/>
    <tableColumn id="3" xr3:uid="{F7E8CEF2-DEC8-4CDC-8F85-D33415393B0F}" name="Course" dataDxfId="54"/>
    <tableColumn id="4" xr3:uid="{8BF85B0A-E125-4684-992C-14C5C18E3522}" name="Fairways" dataDxfId="53">
      <calculatedColumnFormula>SUM('Fairway Log'!$E76:$M76)</calculatedColumnFormula>
    </tableColumn>
    <tableColumn id="5" xr3:uid="{B9130C97-8352-4A79-99D6-C554E379C50B}" name="Hole 1" dataDxfId="52"/>
    <tableColumn id="6" xr3:uid="{8FCC349E-A271-4E1F-8EBB-583B459C024A}" name="Hole 2" dataDxfId="51"/>
    <tableColumn id="7" xr3:uid="{341BAF45-5691-4BBD-8330-6ABB92BE4726}" name="Hole 3" dataDxfId="50"/>
    <tableColumn id="8" xr3:uid="{914A7F35-CA6D-4A5D-B1BA-D2CACB08C2F3}" name="Hole 4" dataDxfId="49"/>
    <tableColumn id="9" xr3:uid="{AAF83ACE-80FE-4178-A2F4-147AB18A99B1}" name="Hole 5" dataDxfId="48"/>
    <tableColumn id="10" xr3:uid="{35F41C09-346E-4E1F-8297-010ADA67AFE3}" name="Hole 6" dataDxfId="47"/>
    <tableColumn id="11" xr3:uid="{F2E40603-9F9E-4DEB-98E3-904E77F76DE4}" name="Hole 7" dataDxfId="46"/>
    <tableColumn id="12" xr3:uid="{32EF279F-E252-43F4-82D8-FFF4BBC3F986}" name="Hole 8" dataDxfId="45"/>
    <tableColumn id="13" xr3:uid="{3B335F8C-F580-4DB5-82EB-4ACDA0980556}" name="Hole 9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70" totalsRowShown="0" headerRowDxfId="43" dataDxfId="42">
  <autoFilter ref="A1:W70" xr:uid="{7A6B9910-42B0-4C87-9554-91532EE2AD11}"/>
  <tableColumns count="23">
    <tableColumn id="1" xr3:uid="{857E046C-435D-4E06-AFE8-1514D221186D}" name="Golfer" dataDxfId="41"/>
    <tableColumn id="2" xr3:uid="{1A7B3A59-6675-429F-8953-EC21549DB69D}" name="Date" dataDxfId="40"/>
    <tableColumn id="3" xr3:uid="{75AB5502-D41A-42A4-9F75-D073F32233F1}" name="Course" dataDxfId="39"/>
    <tableColumn id="4" xr3:uid="{0647B214-3A94-473F-9DCF-1D7F27808BE8}" name="GIR" dataDxfId="38">
      <calculatedColumnFormula>SUM('GIR Log'!$E2:$V2)</calculatedColumnFormula>
    </tableColumn>
    <tableColumn id="5" xr3:uid="{381DD492-6145-4145-868E-6E73AD4414F5}" name="Hole 1" dataDxfId="37"/>
    <tableColumn id="6" xr3:uid="{292DAAB7-2279-4D59-B2F5-C88D68B9DB12}" name="Hole 2" dataDxfId="36"/>
    <tableColumn id="7" xr3:uid="{F4FF8E60-A00C-4F81-80FD-C04BBACB7A4F}" name="Hole 3" dataDxfId="35"/>
    <tableColumn id="8" xr3:uid="{6B1D7C5A-2F9C-4DB1-A0BB-20BB6F61753A}" name="Hole 4" dataDxfId="34"/>
    <tableColumn id="9" xr3:uid="{DDC65F68-5B50-42D4-B279-9D651DA936B5}" name="Hole 5" dataDxfId="33"/>
    <tableColumn id="10" xr3:uid="{5E5B39C2-F443-4469-A609-D9A68AD7B9C4}" name="Hole 6" dataDxfId="32"/>
    <tableColumn id="11" xr3:uid="{EA578020-8754-4114-A149-37F92263A6A6}" name="Hole 7" dataDxfId="31"/>
    <tableColumn id="12" xr3:uid="{EED73624-2412-4656-9F2B-422457D1F92D}" name="Hole 8" dataDxfId="30"/>
    <tableColumn id="13" xr3:uid="{3160BABB-ADEA-42DA-91F6-FBE179CE6C44}" name="Hole 9" dataDxfId="29"/>
    <tableColumn id="14" xr3:uid="{58DA5E06-9E05-42E8-A439-61D569A2F8AC}" name="Hole 10" dataDxfId="28"/>
    <tableColumn id="15" xr3:uid="{4046EEF2-9967-495C-904A-973F33353D88}" name="Hole 11" dataDxfId="27"/>
    <tableColumn id="16" xr3:uid="{FCA3522C-C953-4249-A60B-E8E002774462}" name="Hole 12" dataDxfId="26"/>
    <tableColumn id="17" xr3:uid="{0B5599EC-B239-45FB-8A9C-8BA8238D8D27}" name="Hole 13" dataDxfId="25"/>
    <tableColumn id="18" xr3:uid="{1533E798-2D6D-4061-BDDE-90A4EADF3A00}" name="Hole 14" dataDxfId="24"/>
    <tableColumn id="19" xr3:uid="{04ABCDF0-7F71-4276-B691-E610555A7335}" name="Hole 15" dataDxfId="23"/>
    <tableColumn id="20" xr3:uid="{E8802433-922A-45A0-AA23-AEC518739BED}" name="Hole 16" dataDxfId="22"/>
    <tableColumn id="21" xr3:uid="{2C627A34-7FAE-4E80-9E82-984480E58276}" name="Hole 17" dataDxfId="21"/>
    <tableColumn id="22" xr3:uid="{F1D85FCE-345B-4269-A8B9-9FD26B97EE24}" name="Hole 18" dataDxfId="20"/>
    <tableColumn id="23" xr3:uid="{3686E4DD-1F49-466E-B6F5-9E114944993A}" name="GIR %" dataDxfId="19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75:M77" totalsRowShown="0" headerRowDxfId="18" dataDxfId="17">
  <autoFilter ref="A75:M77" xr:uid="{339E66CB-0026-4F95-90EF-2FECC99E368D}"/>
  <tableColumns count="13">
    <tableColumn id="1" xr3:uid="{C2DF6F29-731C-4178-9133-7C7DFFB82BEA}" name="Golfer" dataDxfId="16"/>
    <tableColumn id="2" xr3:uid="{B1AE89C7-6B02-437C-90B7-3F63E6C34122}" name="Date" dataDxfId="15"/>
    <tableColumn id="3" xr3:uid="{98ED7958-FABA-4161-804E-A92DAC1B6058}" name="Course" dataDxfId="14"/>
    <tableColumn id="4" xr3:uid="{F66E79D7-0EBD-4F76-A5FF-7AA76995C119}" name="GIR" dataDxfId="13">
      <calculatedColumnFormula>SUM('GIR Log'!$E76:$M76)</calculatedColumnFormula>
    </tableColumn>
    <tableColumn id="5" xr3:uid="{06D81CB9-46E0-4A81-8D6F-A236A2867C16}" name="Hole 1" dataDxfId="12"/>
    <tableColumn id="6" xr3:uid="{E0C1B16F-251E-4DF2-8BDA-77846E92B8BD}" name="Hole 2" dataDxfId="11"/>
    <tableColumn id="7" xr3:uid="{DF983045-F561-41A9-989C-A2F56FFD9D78}" name="Hole 3" dataDxfId="10"/>
    <tableColumn id="8" xr3:uid="{16AD8928-12DB-431E-BACC-DF9C2AF35981}" name="Hole 4" dataDxfId="9"/>
    <tableColumn id="9" xr3:uid="{A287F10E-E144-41A5-9621-06C69ABD30A9}" name="Hole 5" dataDxfId="8"/>
    <tableColumn id="10" xr3:uid="{B546A348-BB68-46C3-BCD5-A2BC1503156B}" name="Hole 6" dataDxfId="7"/>
    <tableColumn id="11" xr3:uid="{071A7E5E-BE4B-40E2-B910-AA9AA4AD8FE8}" name="Hole 7" dataDxfId="6"/>
    <tableColumn id="12" xr3:uid="{AB1C4C6A-6722-4D61-A993-6207CA2AFB3F}" name="Hole 8" dataDxfId="5"/>
    <tableColumn id="13" xr3:uid="{467A414D-5B72-46F1-96D8-5EFDBA7F9057}" name="Hole 9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4" totalsRowShown="0" headerRowDxfId="3">
  <autoFilter ref="A1:X24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2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4" totalsRowShown="0" headerRowDxfId="1">
  <autoFilter ref="A1:T24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4" totalsRowShown="0" headerRowDxfId="0">
  <autoFilter ref="A1:T24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72"/>
  <sheetViews>
    <sheetView topLeftCell="A61" workbookViewId="0">
      <selection activeCell="C72" sqref="C72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125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68" t="s">
        <v>126</v>
      </c>
      <c r="B2" s="69">
        <v>45941</v>
      </c>
      <c r="C2" s="70">
        <v>91</v>
      </c>
      <c r="D2" s="70">
        <v>19</v>
      </c>
      <c r="E2" s="68" t="s">
        <v>35</v>
      </c>
      <c r="F2" s="70">
        <f t="shared" ref="F2:F33" si="0">C2-D2</f>
        <v>72</v>
      </c>
      <c r="G2" s="68" t="s">
        <v>12</v>
      </c>
      <c r="H2" s="68" t="s">
        <v>36</v>
      </c>
      <c r="I2" s="70">
        <v>6030</v>
      </c>
      <c r="J2" s="70">
        <v>46</v>
      </c>
      <c r="K2" s="70">
        <v>45</v>
      </c>
      <c r="L2" s="70">
        <v>0</v>
      </c>
      <c r="M2" s="70">
        <v>1</v>
      </c>
      <c r="N2" s="70">
        <v>2</v>
      </c>
      <c r="O2" s="70">
        <v>9</v>
      </c>
      <c r="P2" s="70">
        <v>6</v>
      </c>
      <c r="Q2" s="70">
        <f t="shared" ref="Q2:Q33" si="1">SUM(L2:P2)</f>
        <v>18</v>
      </c>
      <c r="R2" s="70">
        <v>30</v>
      </c>
      <c r="S2" s="70">
        <v>3</v>
      </c>
      <c r="T2" s="70">
        <v>1</v>
      </c>
    </row>
    <row r="3" spans="1:20" x14ac:dyDescent="0.25">
      <c r="A3" s="68" t="s">
        <v>130</v>
      </c>
      <c r="B3" s="69">
        <v>45941</v>
      </c>
      <c r="C3" s="70">
        <v>91</v>
      </c>
      <c r="D3" s="70">
        <v>19</v>
      </c>
      <c r="E3" s="68" t="s">
        <v>126</v>
      </c>
      <c r="F3" s="70">
        <f t="shared" si="0"/>
        <v>72</v>
      </c>
      <c r="G3" s="68" t="s">
        <v>12</v>
      </c>
      <c r="H3" s="68" t="s">
        <v>36</v>
      </c>
      <c r="I3" s="70">
        <v>6030</v>
      </c>
      <c r="J3" s="70">
        <v>46</v>
      </c>
      <c r="K3" s="70">
        <v>45</v>
      </c>
      <c r="L3" s="70">
        <v>0</v>
      </c>
      <c r="M3" s="70">
        <v>0</v>
      </c>
      <c r="N3" s="70">
        <v>3</v>
      </c>
      <c r="O3" s="70">
        <v>10</v>
      </c>
      <c r="P3" s="70">
        <v>5</v>
      </c>
      <c r="Q3" s="70">
        <f t="shared" si="1"/>
        <v>18</v>
      </c>
      <c r="R3" s="70">
        <v>33</v>
      </c>
      <c r="S3" s="70">
        <v>7</v>
      </c>
      <c r="T3" s="70">
        <v>1</v>
      </c>
    </row>
    <row r="4" spans="1:20" x14ac:dyDescent="0.25">
      <c r="A4" s="20" t="s">
        <v>126</v>
      </c>
      <c r="B4" s="18">
        <v>45897</v>
      </c>
      <c r="C4" s="19">
        <v>89</v>
      </c>
      <c r="D4" s="19">
        <v>17</v>
      </c>
      <c r="E4" s="51" t="s">
        <v>130</v>
      </c>
      <c r="F4" s="19">
        <f t="shared" si="0"/>
        <v>72</v>
      </c>
      <c r="G4" s="20" t="s">
        <v>41</v>
      </c>
      <c r="H4" s="20" t="s">
        <v>34</v>
      </c>
      <c r="I4" s="19">
        <v>6504</v>
      </c>
      <c r="J4" s="19">
        <v>44</v>
      </c>
      <c r="K4" s="19">
        <v>45</v>
      </c>
      <c r="L4" s="19">
        <v>0</v>
      </c>
      <c r="M4" s="19">
        <v>0</v>
      </c>
      <c r="N4" s="19">
        <v>5</v>
      </c>
      <c r="O4" s="19">
        <v>9</v>
      </c>
      <c r="P4" s="19">
        <v>4</v>
      </c>
      <c r="Q4" s="19">
        <f t="shared" si="1"/>
        <v>18</v>
      </c>
      <c r="R4" s="19">
        <v>31</v>
      </c>
      <c r="S4" s="19">
        <v>3</v>
      </c>
      <c r="T4" s="19">
        <v>4</v>
      </c>
    </row>
    <row r="5" spans="1:20" x14ac:dyDescent="0.25">
      <c r="A5" s="51" t="s">
        <v>130</v>
      </c>
      <c r="B5" s="52">
        <v>45897</v>
      </c>
      <c r="C5" s="53">
        <v>90</v>
      </c>
      <c r="D5" s="53">
        <v>18</v>
      </c>
      <c r="E5" s="51" t="s">
        <v>126</v>
      </c>
      <c r="F5" s="53">
        <f t="shared" si="0"/>
        <v>72</v>
      </c>
      <c r="G5" s="51" t="s">
        <v>41</v>
      </c>
      <c r="H5" s="51" t="s">
        <v>34</v>
      </c>
      <c r="I5" s="53">
        <v>6504</v>
      </c>
      <c r="J5" s="53">
        <v>43</v>
      </c>
      <c r="K5" s="53">
        <v>47</v>
      </c>
      <c r="L5" s="53">
        <v>0</v>
      </c>
      <c r="M5" s="53">
        <v>0</v>
      </c>
      <c r="N5" s="53">
        <v>3</v>
      </c>
      <c r="O5" s="53">
        <v>12</v>
      </c>
      <c r="P5" s="53">
        <v>3</v>
      </c>
      <c r="Q5" s="53">
        <f t="shared" si="1"/>
        <v>18</v>
      </c>
      <c r="R5" s="53">
        <v>32</v>
      </c>
      <c r="S5" s="53">
        <v>5</v>
      </c>
      <c r="T5" s="53">
        <v>0</v>
      </c>
    </row>
    <row r="6" spans="1:20" x14ac:dyDescent="0.25">
      <c r="A6" s="20" t="s">
        <v>126</v>
      </c>
      <c r="B6" s="18">
        <v>45894</v>
      </c>
      <c r="C6" s="19">
        <v>95</v>
      </c>
      <c r="D6" s="19">
        <v>24</v>
      </c>
      <c r="E6" s="51" t="s">
        <v>127</v>
      </c>
      <c r="F6" s="19">
        <f t="shared" si="0"/>
        <v>71</v>
      </c>
      <c r="G6" s="20" t="s">
        <v>11</v>
      </c>
      <c r="H6" s="20" t="s">
        <v>34</v>
      </c>
      <c r="I6" s="19">
        <v>6311</v>
      </c>
      <c r="J6" s="19">
        <v>45</v>
      </c>
      <c r="K6" s="19">
        <v>40</v>
      </c>
      <c r="L6" s="19">
        <v>0</v>
      </c>
      <c r="M6" s="19">
        <v>0</v>
      </c>
      <c r="N6" s="19">
        <v>2</v>
      </c>
      <c r="O6" s="19">
        <v>8</v>
      </c>
      <c r="P6" s="19">
        <v>8</v>
      </c>
      <c r="Q6" s="19">
        <f t="shared" si="1"/>
        <v>18</v>
      </c>
      <c r="R6" s="19">
        <v>38</v>
      </c>
      <c r="S6" s="19">
        <v>6</v>
      </c>
      <c r="T6" s="19">
        <v>1</v>
      </c>
    </row>
    <row r="7" spans="1:20" x14ac:dyDescent="0.25">
      <c r="A7" s="20" t="s">
        <v>127</v>
      </c>
      <c r="B7" s="18">
        <v>45894</v>
      </c>
      <c r="C7" s="19">
        <v>112</v>
      </c>
      <c r="D7" s="19">
        <v>41</v>
      </c>
      <c r="E7" s="20" t="s">
        <v>126</v>
      </c>
      <c r="F7" s="19">
        <f t="shared" si="0"/>
        <v>71</v>
      </c>
      <c r="G7" s="20" t="s">
        <v>11</v>
      </c>
      <c r="H7" s="20" t="s">
        <v>34</v>
      </c>
      <c r="I7" s="19">
        <v>6311</v>
      </c>
      <c r="J7" s="19">
        <v>58</v>
      </c>
      <c r="K7" s="19">
        <v>54</v>
      </c>
      <c r="L7" s="19">
        <v>0</v>
      </c>
      <c r="M7" s="19">
        <v>0</v>
      </c>
      <c r="N7" s="19">
        <v>0</v>
      </c>
      <c r="O7" s="19">
        <v>6</v>
      </c>
      <c r="P7" s="19">
        <v>12</v>
      </c>
      <c r="Q7" s="19">
        <f t="shared" si="1"/>
        <v>18</v>
      </c>
      <c r="R7" s="19">
        <v>42</v>
      </c>
      <c r="S7" s="19">
        <v>3</v>
      </c>
      <c r="T7" s="19">
        <v>3</v>
      </c>
    </row>
    <row r="8" spans="1:20" x14ac:dyDescent="0.25">
      <c r="A8" s="20" t="s">
        <v>126</v>
      </c>
      <c r="B8" s="18">
        <v>45892</v>
      </c>
      <c r="C8" s="19">
        <v>85</v>
      </c>
      <c r="D8" s="19">
        <v>13</v>
      </c>
      <c r="E8" s="51" t="s">
        <v>130</v>
      </c>
      <c r="F8" s="19">
        <f t="shared" si="0"/>
        <v>72</v>
      </c>
      <c r="G8" s="20" t="s">
        <v>41</v>
      </c>
      <c r="H8" s="20" t="s">
        <v>34</v>
      </c>
      <c r="I8" s="19">
        <v>6504</v>
      </c>
      <c r="J8" s="19">
        <v>45</v>
      </c>
      <c r="K8" s="19">
        <v>40</v>
      </c>
      <c r="L8" s="19">
        <v>0</v>
      </c>
      <c r="M8" s="19">
        <v>0</v>
      </c>
      <c r="N8" s="19">
        <v>7</v>
      </c>
      <c r="O8" s="19">
        <v>9</v>
      </c>
      <c r="P8" s="19">
        <v>2</v>
      </c>
      <c r="Q8" s="19">
        <f t="shared" si="1"/>
        <v>18</v>
      </c>
      <c r="R8" s="19">
        <v>32</v>
      </c>
      <c r="S8" s="19">
        <v>6</v>
      </c>
      <c r="T8" s="19">
        <v>5</v>
      </c>
    </row>
    <row r="9" spans="1:20" x14ac:dyDescent="0.25">
      <c r="A9" s="51" t="s">
        <v>130</v>
      </c>
      <c r="B9" s="52">
        <v>45892</v>
      </c>
      <c r="C9" s="53">
        <v>90</v>
      </c>
      <c r="D9" s="53">
        <v>18</v>
      </c>
      <c r="E9" s="51" t="s">
        <v>126</v>
      </c>
      <c r="F9" s="53">
        <f t="shared" si="0"/>
        <v>72</v>
      </c>
      <c r="G9" s="51" t="s">
        <v>41</v>
      </c>
      <c r="H9" s="51" t="s">
        <v>34</v>
      </c>
      <c r="I9" s="53">
        <v>6504</v>
      </c>
      <c r="J9" s="53">
        <v>44</v>
      </c>
      <c r="K9" s="53">
        <v>46</v>
      </c>
      <c r="L9" s="53">
        <v>0</v>
      </c>
      <c r="M9" s="53">
        <v>0</v>
      </c>
      <c r="N9" s="53">
        <v>6</v>
      </c>
      <c r="O9" s="53">
        <v>7</v>
      </c>
      <c r="P9" s="53">
        <v>5</v>
      </c>
      <c r="Q9" s="53">
        <f t="shared" si="1"/>
        <v>18</v>
      </c>
      <c r="R9" s="53">
        <v>38</v>
      </c>
      <c r="S9" s="53">
        <v>8</v>
      </c>
      <c r="T9" s="53">
        <v>6</v>
      </c>
    </row>
    <row r="10" spans="1:20" x14ac:dyDescent="0.25">
      <c r="A10" s="20" t="s">
        <v>126</v>
      </c>
      <c r="B10" s="18">
        <v>45886</v>
      </c>
      <c r="C10" s="19">
        <v>83</v>
      </c>
      <c r="D10" s="19">
        <v>11</v>
      </c>
      <c r="E10" s="51" t="s">
        <v>130</v>
      </c>
      <c r="F10" s="19">
        <f t="shared" si="0"/>
        <v>72</v>
      </c>
      <c r="G10" s="20" t="s">
        <v>41</v>
      </c>
      <c r="H10" s="20" t="s">
        <v>34</v>
      </c>
      <c r="I10" s="19">
        <v>6504</v>
      </c>
      <c r="J10" s="19">
        <v>42</v>
      </c>
      <c r="K10" s="19">
        <v>41</v>
      </c>
      <c r="L10" s="19">
        <v>0</v>
      </c>
      <c r="M10" s="19">
        <v>0</v>
      </c>
      <c r="N10" s="19">
        <v>10</v>
      </c>
      <c r="O10" s="19">
        <v>5</v>
      </c>
      <c r="P10" s="19">
        <v>3</v>
      </c>
      <c r="Q10" s="19">
        <f t="shared" si="1"/>
        <v>18</v>
      </c>
      <c r="R10" s="19">
        <v>30</v>
      </c>
      <c r="S10" s="19">
        <v>11</v>
      </c>
      <c r="T10" s="19">
        <v>4</v>
      </c>
    </row>
    <row r="11" spans="1:20" x14ac:dyDescent="0.25">
      <c r="A11" s="51" t="s">
        <v>130</v>
      </c>
      <c r="B11" s="52">
        <v>45886</v>
      </c>
      <c r="C11" s="53">
        <v>89</v>
      </c>
      <c r="D11" s="53">
        <v>17</v>
      </c>
      <c r="E11" s="51" t="s">
        <v>126</v>
      </c>
      <c r="F11" s="53">
        <f t="shared" si="0"/>
        <v>72</v>
      </c>
      <c r="G11" s="51" t="s">
        <v>41</v>
      </c>
      <c r="H11" s="51" t="s">
        <v>34</v>
      </c>
      <c r="I11" s="53">
        <v>6504</v>
      </c>
      <c r="J11" s="53">
        <v>45</v>
      </c>
      <c r="K11" s="53">
        <v>44</v>
      </c>
      <c r="L11" s="53">
        <v>0</v>
      </c>
      <c r="M11" s="53">
        <v>0</v>
      </c>
      <c r="N11" s="53">
        <v>7</v>
      </c>
      <c r="O11" s="53">
        <v>6</v>
      </c>
      <c r="P11" s="53">
        <v>5</v>
      </c>
      <c r="Q11" s="53">
        <f t="shared" si="1"/>
        <v>18</v>
      </c>
      <c r="R11" s="53">
        <v>39</v>
      </c>
      <c r="S11" s="53">
        <v>8</v>
      </c>
      <c r="T11" s="53">
        <v>8</v>
      </c>
    </row>
    <row r="12" spans="1:20" x14ac:dyDescent="0.25">
      <c r="A12" s="20" t="s">
        <v>126</v>
      </c>
      <c r="B12" s="18">
        <v>45868</v>
      </c>
      <c r="C12" s="19">
        <v>81</v>
      </c>
      <c r="D12" s="19">
        <v>11</v>
      </c>
      <c r="E12" s="20" t="s">
        <v>33</v>
      </c>
      <c r="F12" s="19">
        <f t="shared" si="0"/>
        <v>70</v>
      </c>
      <c r="G12" s="20" t="s">
        <v>10</v>
      </c>
      <c r="H12" s="20" t="s">
        <v>34</v>
      </c>
      <c r="I12" s="19">
        <v>6921</v>
      </c>
      <c r="J12" s="19">
        <v>40</v>
      </c>
      <c r="K12" s="19">
        <v>41</v>
      </c>
      <c r="L12" s="19">
        <v>0</v>
      </c>
      <c r="M12" s="19">
        <v>1</v>
      </c>
      <c r="N12" s="19">
        <v>8</v>
      </c>
      <c r="O12" s="19">
        <v>6</v>
      </c>
      <c r="P12" s="19">
        <v>3</v>
      </c>
      <c r="Q12" s="19">
        <f t="shared" si="1"/>
        <v>18</v>
      </c>
      <c r="R12" s="19">
        <v>29</v>
      </c>
      <c r="S12" s="19">
        <v>7</v>
      </c>
      <c r="T12" s="19">
        <v>4</v>
      </c>
    </row>
    <row r="13" spans="1:20" x14ac:dyDescent="0.25">
      <c r="A13" s="20" t="s">
        <v>126</v>
      </c>
      <c r="B13" s="18">
        <v>45857</v>
      </c>
      <c r="C13" s="19">
        <v>75</v>
      </c>
      <c r="D13" s="19">
        <v>4</v>
      </c>
      <c r="E13" s="51" t="s">
        <v>130</v>
      </c>
      <c r="F13" s="19">
        <f t="shared" si="0"/>
        <v>71</v>
      </c>
      <c r="G13" s="20" t="s">
        <v>3</v>
      </c>
      <c r="H13" s="20" t="s">
        <v>36</v>
      </c>
      <c r="I13" s="19">
        <v>6064</v>
      </c>
      <c r="J13" s="19">
        <v>38</v>
      </c>
      <c r="K13" s="19">
        <v>37</v>
      </c>
      <c r="L13" s="19">
        <v>0</v>
      </c>
      <c r="M13" s="19">
        <v>1</v>
      </c>
      <c r="N13" s="19">
        <v>12</v>
      </c>
      <c r="O13" s="19">
        <v>5</v>
      </c>
      <c r="P13" s="19">
        <v>0</v>
      </c>
      <c r="Q13" s="19">
        <f t="shared" si="1"/>
        <v>18</v>
      </c>
      <c r="R13" s="19">
        <v>33</v>
      </c>
      <c r="S13" s="19">
        <v>8</v>
      </c>
      <c r="T13" s="19">
        <v>11</v>
      </c>
    </row>
    <row r="14" spans="1:20" x14ac:dyDescent="0.25">
      <c r="A14" t="s">
        <v>130</v>
      </c>
      <c r="B14" s="52">
        <v>45857</v>
      </c>
      <c r="C14" s="53">
        <v>84</v>
      </c>
      <c r="D14" s="53">
        <v>13</v>
      </c>
      <c r="E14" s="51" t="s">
        <v>126</v>
      </c>
      <c r="F14" s="53">
        <f t="shared" si="0"/>
        <v>71</v>
      </c>
      <c r="G14" s="51" t="s">
        <v>3</v>
      </c>
      <c r="H14" s="51" t="s">
        <v>36</v>
      </c>
      <c r="I14" s="19">
        <v>6124</v>
      </c>
      <c r="J14" s="53">
        <v>43</v>
      </c>
      <c r="K14" s="53" t="s">
        <v>134</v>
      </c>
      <c r="L14" s="53">
        <v>0</v>
      </c>
      <c r="M14" s="53">
        <v>1</v>
      </c>
      <c r="N14" s="53">
        <v>8</v>
      </c>
      <c r="O14" s="53">
        <v>6</v>
      </c>
      <c r="P14" s="53">
        <v>3</v>
      </c>
      <c r="Q14" s="53">
        <f t="shared" si="1"/>
        <v>18</v>
      </c>
      <c r="R14" s="53">
        <v>35</v>
      </c>
      <c r="S14" s="53">
        <v>6</v>
      </c>
      <c r="T14" s="53">
        <v>8</v>
      </c>
    </row>
    <row r="15" spans="1:20" x14ac:dyDescent="0.25">
      <c r="A15" s="35" t="s">
        <v>127</v>
      </c>
      <c r="B15" s="36">
        <v>45853</v>
      </c>
      <c r="C15" s="37">
        <v>109</v>
      </c>
      <c r="D15" s="37">
        <v>38</v>
      </c>
      <c r="E15" s="35"/>
      <c r="F15" s="37">
        <f t="shared" si="0"/>
        <v>71</v>
      </c>
      <c r="G15" s="35" t="s">
        <v>128</v>
      </c>
      <c r="H15" s="35" t="s">
        <v>36</v>
      </c>
      <c r="I15" s="37">
        <v>6348</v>
      </c>
      <c r="J15" s="37">
        <v>57</v>
      </c>
      <c r="K15" s="37">
        <v>52</v>
      </c>
      <c r="L15" s="37">
        <v>0</v>
      </c>
      <c r="M15" s="37">
        <v>0</v>
      </c>
      <c r="N15" s="37">
        <v>1</v>
      </c>
      <c r="O15" s="37">
        <v>5</v>
      </c>
      <c r="P15" s="37">
        <v>12</v>
      </c>
      <c r="Q15" s="37">
        <f t="shared" si="1"/>
        <v>18</v>
      </c>
      <c r="R15" s="37">
        <v>45</v>
      </c>
      <c r="S15" s="37">
        <v>0</v>
      </c>
      <c r="T15" s="37">
        <v>2</v>
      </c>
    </row>
    <row r="16" spans="1:20" x14ac:dyDescent="0.25">
      <c r="A16" s="20" t="s">
        <v>126</v>
      </c>
      <c r="B16" s="18">
        <v>45844</v>
      </c>
      <c r="C16" s="19">
        <v>79</v>
      </c>
      <c r="D16" s="19">
        <v>8</v>
      </c>
      <c r="E16" s="51" t="s">
        <v>130</v>
      </c>
      <c r="F16" s="19">
        <f t="shared" si="0"/>
        <v>71</v>
      </c>
      <c r="G16" s="20" t="s">
        <v>3</v>
      </c>
      <c r="H16" s="20" t="s">
        <v>36</v>
      </c>
      <c r="I16" s="19">
        <v>6064</v>
      </c>
      <c r="J16" s="19">
        <v>39</v>
      </c>
      <c r="K16" s="19">
        <v>40</v>
      </c>
      <c r="L16" s="19">
        <v>0</v>
      </c>
      <c r="M16" s="19">
        <v>0</v>
      </c>
      <c r="N16" s="19">
        <v>11</v>
      </c>
      <c r="O16" s="19">
        <v>6</v>
      </c>
      <c r="P16" s="19">
        <v>1</v>
      </c>
      <c r="Q16" s="19">
        <f t="shared" si="1"/>
        <v>18</v>
      </c>
      <c r="R16" s="19">
        <v>32</v>
      </c>
      <c r="S16" s="19">
        <v>7</v>
      </c>
      <c r="T16" s="19">
        <v>8</v>
      </c>
    </row>
    <row r="17" spans="1:20" x14ac:dyDescent="0.25">
      <c r="A17" t="s">
        <v>130</v>
      </c>
      <c r="B17" s="52">
        <v>45844</v>
      </c>
      <c r="C17" s="53">
        <v>86</v>
      </c>
      <c r="D17" s="53">
        <v>15</v>
      </c>
      <c r="E17" s="51" t="s">
        <v>126</v>
      </c>
      <c r="F17" s="53">
        <f t="shared" si="0"/>
        <v>71</v>
      </c>
      <c r="G17" s="51" t="s">
        <v>3</v>
      </c>
      <c r="H17" s="51" t="s">
        <v>36</v>
      </c>
      <c r="I17" s="53">
        <v>6124</v>
      </c>
      <c r="J17" s="53">
        <v>44</v>
      </c>
      <c r="K17" s="53">
        <v>42</v>
      </c>
      <c r="L17" s="53">
        <v>0</v>
      </c>
      <c r="M17" s="53">
        <v>0</v>
      </c>
      <c r="N17" s="53">
        <v>6</v>
      </c>
      <c r="O17" s="53">
        <v>9</v>
      </c>
      <c r="P17" s="53">
        <v>3</v>
      </c>
      <c r="Q17" s="53">
        <f t="shared" si="1"/>
        <v>18</v>
      </c>
      <c r="R17" s="53">
        <v>31</v>
      </c>
      <c r="S17" s="53">
        <v>6</v>
      </c>
      <c r="T17" s="53">
        <v>3</v>
      </c>
    </row>
    <row r="18" spans="1:20" x14ac:dyDescent="0.25">
      <c r="A18" s="20" t="s">
        <v>126</v>
      </c>
      <c r="B18" s="18">
        <v>45831</v>
      </c>
      <c r="C18" s="19">
        <v>78</v>
      </c>
      <c r="D18" s="19">
        <v>6</v>
      </c>
      <c r="E18" s="20" t="s">
        <v>33</v>
      </c>
      <c r="F18" s="19">
        <f t="shared" si="0"/>
        <v>72</v>
      </c>
      <c r="G18" s="20" t="s">
        <v>5</v>
      </c>
      <c r="H18" s="20" t="s">
        <v>34</v>
      </c>
      <c r="I18" s="19">
        <v>6666</v>
      </c>
      <c r="J18" s="19">
        <v>41</v>
      </c>
      <c r="K18" s="19">
        <v>37</v>
      </c>
      <c r="L18" s="19">
        <v>0</v>
      </c>
      <c r="M18" s="19">
        <v>2</v>
      </c>
      <c r="N18" s="19">
        <v>9</v>
      </c>
      <c r="O18" s="19">
        <v>6</v>
      </c>
      <c r="P18" s="19">
        <v>1</v>
      </c>
      <c r="Q18" s="19">
        <f t="shared" si="1"/>
        <v>18</v>
      </c>
      <c r="R18" s="19">
        <v>32</v>
      </c>
      <c r="S18" s="19">
        <v>8</v>
      </c>
      <c r="T18" s="19">
        <v>8</v>
      </c>
    </row>
    <row r="19" spans="1:20" x14ac:dyDescent="0.25">
      <c r="A19" s="20" t="s">
        <v>126</v>
      </c>
      <c r="B19" s="18">
        <v>45829</v>
      </c>
      <c r="C19" s="19">
        <v>76</v>
      </c>
      <c r="D19" s="19">
        <v>4</v>
      </c>
      <c r="E19" s="51" t="s">
        <v>130</v>
      </c>
      <c r="F19" s="19">
        <f t="shared" si="0"/>
        <v>72</v>
      </c>
      <c r="G19" s="20" t="s">
        <v>6</v>
      </c>
      <c r="H19" s="20" t="s">
        <v>36</v>
      </c>
      <c r="I19" s="19">
        <v>5835</v>
      </c>
      <c r="J19" s="19">
        <v>40</v>
      </c>
      <c r="K19" s="19">
        <v>36</v>
      </c>
      <c r="L19" s="19">
        <v>0</v>
      </c>
      <c r="M19" s="19">
        <v>2</v>
      </c>
      <c r="N19" s="19">
        <v>10</v>
      </c>
      <c r="O19" s="19">
        <v>6</v>
      </c>
      <c r="P19" s="19">
        <v>0</v>
      </c>
      <c r="Q19" s="19">
        <f t="shared" si="1"/>
        <v>18</v>
      </c>
      <c r="R19" s="19">
        <v>28</v>
      </c>
      <c r="S19" s="19">
        <v>9</v>
      </c>
      <c r="T19" s="19">
        <v>7</v>
      </c>
    </row>
    <row r="20" spans="1:20" x14ac:dyDescent="0.25">
      <c r="A20" s="51" t="s">
        <v>130</v>
      </c>
      <c r="B20" s="52">
        <v>45829</v>
      </c>
      <c r="C20" s="53">
        <v>83</v>
      </c>
      <c r="D20" s="53">
        <v>11</v>
      </c>
      <c r="E20" s="51" t="s">
        <v>126</v>
      </c>
      <c r="F20" s="53">
        <f t="shared" si="0"/>
        <v>72</v>
      </c>
      <c r="G20" s="51" t="s">
        <v>6</v>
      </c>
      <c r="H20" s="51" t="s">
        <v>36</v>
      </c>
      <c r="I20" s="53">
        <v>5835</v>
      </c>
      <c r="J20" s="53">
        <v>45</v>
      </c>
      <c r="K20" s="53">
        <v>38</v>
      </c>
      <c r="L20" s="53">
        <v>0</v>
      </c>
      <c r="M20" s="53">
        <v>0</v>
      </c>
      <c r="N20" s="53">
        <v>8</v>
      </c>
      <c r="O20" s="53">
        <v>8</v>
      </c>
      <c r="P20" s="53">
        <v>2</v>
      </c>
      <c r="Q20" s="53">
        <f t="shared" si="1"/>
        <v>18</v>
      </c>
      <c r="R20" s="53">
        <v>34</v>
      </c>
      <c r="S20" s="53">
        <v>1</v>
      </c>
      <c r="T20" s="53">
        <v>6</v>
      </c>
    </row>
    <row r="21" spans="1:20" x14ac:dyDescent="0.25">
      <c r="A21" s="35" t="s">
        <v>127</v>
      </c>
      <c r="B21" s="36">
        <v>45765</v>
      </c>
      <c r="C21" s="37">
        <v>111</v>
      </c>
      <c r="D21" s="37">
        <v>40</v>
      </c>
      <c r="E21" s="35"/>
      <c r="F21" s="37">
        <f t="shared" si="0"/>
        <v>71</v>
      </c>
      <c r="G21" s="35" t="s">
        <v>129</v>
      </c>
      <c r="H21" s="35" t="s">
        <v>36</v>
      </c>
      <c r="I21" s="37">
        <v>6229</v>
      </c>
      <c r="J21" s="37">
        <v>58</v>
      </c>
      <c r="K21" s="37">
        <v>53</v>
      </c>
      <c r="L21" s="37">
        <v>0</v>
      </c>
      <c r="M21" s="37">
        <v>0</v>
      </c>
      <c r="N21" s="37">
        <v>2</v>
      </c>
      <c r="O21" s="37">
        <v>1</v>
      </c>
      <c r="P21" s="37">
        <v>15</v>
      </c>
      <c r="Q21" s="37">
        <f t="shared" si="1"/>
        <v>18</v>
      </c>
      <c r="R21" s="37">
        <v>42</v>
      </c>
      <c r="S21" s="37">
        <v>5</v>
      </c>
      <c r="T21" s="37">
        <v>2</v>
      </c>
    </row>
    <row r="22" spans="1:20" x14ac:dyDescent="0.25">
      <c r="A22" s="20" t="s">
        <v>126</v>
      </c>
      <c r="B22" s="18">
        <v>45735</v>
      </c>
      <c r="C22" s="19">
        <v>76</v>
      </c>
      <c r="D22" s="19">
        <v>5</v>
      </c>
      <c r="E22" s="20" t="s">
        <v>33</v>
      </c>
      <c r="F22" s="19">
        <f t="shared" si="0"/>
        <v>71</v>
      </c>
      <c r="G22" s="20" t="s">
        <v>3</v>
      </c>
      <c r="H22" s="20" t="s">
        <v>36</v>
      </c>
      <c r="I22" s="19">
        <v>6124</v>
      </c>
      <c r="J22" s="19">
        <v>40</v>
      </c>
      <c r="K22" s="19">
        <v>36</v>
      </c>
      <c r="L22" s="19">
        <v>0</v>
      </c>
      <c r="M22" s="19">
        <v>1</v>
      </c>
      <c r="N22" s="19">
        <v>12</v>
      </c>
      <c r="O22" s="19">
        <v>4</v>
      </c>
      <c r="P22" s="19">
        <v>1</v>
      </c>
      <c r="Q22" s="19">
        <f t="shared" si="1"/>
        <v>18</v>
      </c>
      <c r="R22" s="19">
        <v>31</v>
      </c>
      <c r="S22" s="19">
        <v>7</v>
      </c>
      <c r="T22" s="19">
        <v>10</v>
      </c>
    </row>
    <row r="23" spans="1:20" x14ac:dyDescent="0.25">
      <c r="A23" s="20" t="s">
        <v>126</v>
      </c>
      <c r="B23" s="18">
        <v>45655</v>
      </c>
      <c r="C23" s="19">
        <v>85</v>
      </c>
      <c r="D23" s="19">
        <v>13</v>
      </c>
      <c r="E23" s="51" t="s">
        <v>130</v>
      </c>
      <c r="F23" s="19">
        <f t="shared" si="0"/>
        <v>72</v>
      </c>
      <c r="G23" s="20" t="s">
        <v>4</v>
      </c>
      <c r="H23" s="20" t="s">
        <v>34</v>
      </c>
      <c r="I23" s="19">
        <v>6407</v>
      </c>
      <c r="J23" s="19">
        <v>42</v>
      </c>
      <c r="K23" s="19">
        <v>43</v>
      </c>
      <c r="L23" s="19">
        <v>0</v>
      </c>
      <c r="M23" s="19">
        <v>0</v>
      </c>
      <c r="N23" s="19">
        <v>8</v>
      </c>
      <c r="O23" s="19">
        <v>7</v>
      </c>
      <c r="P23" s="19">
        <v>3</v>
      </c>
      <c r="Q23" s="19">
        <f t="shared" si="1"/>
        <v>18</v>
      </c>
      <c r="R23" s="19">
        <v>34</v>
      </c>
      <c r="S23" s="19">
        <v>11</v>
      </c>
      <c r="T23" s="19">
        <v>6</v>
      </c>
    </row>
    <row r="24" spans="1:20" x14ac:dyDescent="0.25">
      <c r="A24" s="51" t="s">
        <v>130</v>
      </c>
      <c r="B24" s="18">
        <v>45655</v>
      </c>
      <c r="C24" s="19">
        <v>91</v>
      </c>
      <c r="D24" s="19">
        <v>19</v>
      </c>
      <c r="E24" s="51" t="s">
        <v>126</v>
      </c>
      <c r="F24" s="19">
        <f t="shared" si="0"/>
        <v>72</v>
      </c>
      <c r="G24" s="20" t="s">
        <v>4</v>
      </c>
      <c r="H24" s="20" t="s">
        <v>34</v>
      </c>
      <c r="I24" s="19">
        <v>6407</v>
      </c>
      <c r="J24" s="19">
        <v>41</v>
      </c>
      <c r="K24" s="19">
        <v>50</v>
      </c>
      <c r="L24" s="19">
        <v>0</v>
      </c>
      <c r="M24" s="19">
        <v>0</v>
      </c>
      <c r="N24" s="19">
        <v>4</v>
      </c>
      <c r="O24" s="19">
        <v>9</v>
      </c>
      <c r="P24" s="19">
        <v>5</v>
      </c>
      <c r="Q24" s="19">
        <f t="shared" si="1"/>
        <v>18</v>
      </c>
      <c r="R24" s="19">
        <v>34</v>
      </c>
      <c r="S24" s="19">
        <v>11</v>
      </c>
      <c r="T24" s="19">
        <v>6</v>
      </c>
    </row>
    <row r="25" spans="1:20" x14ac:dyDescent="0.25">
      <c r="A25" s="20" t="s">
        <v>126</v>
      </c>
      <c r="B25" s="18">
        <v>45653</v>
      </c>
      <c r="C25" s="19">
        <v>80</v>
      </c>
      <c r="D25" s="19">
        <v>8</v>
      </c>
      <c r="E25" s="51" t="s">
        <v>130</v>
      </c>
      <c r="F25" s="19">
        <f t="shared" si="0"/>
        <v>72</v>
      </c>
      <c r="G25" s="20" t="s">
        <v>2</v>
      </c>
      <c r="H25" s="20" t="s">
        <v>34</v>
      </c>
      <c r="I25" s="19">
        <v>6653</v>
      </c>
      <c r="J25" s="19">
        <v>40</v>
      </c>
      <c r="K25" s="19">
        <v>40</v>
      </c>
      <c r="L25" s="19">
        <v>0</v>
      </c>
      <c r="M25" s="19">
        <v>0</v>
      </c>
      <c r="N25" s="19">
        <v>10</v>
      </c>
      <c r="O25" s="19">
        <v>8</v>
      </c>
      <c r="P25" s="19">
        <v>0</v>
      </c>
      <c r="Q25" s="19">
        <f t="shared" si="1"/>
        <v>18</v>
      </c>
      <c r="R25" s="19"/>
      <c r="S25" s="19"/>
      <c r="T25" s="19"/>
    </row>
    <row r="26" spans="1:20" x14ac:dyDescent="0.25">
      <c r="A26" t="s">
        <v>130</v>
      </c>
      <c r="B26" s="52">
        <v>45653</v>
      </c>
      <c r="C26" s="53">
        <v>92</v>
      </c>
      <c r="D26" s="53">
        <v>20</v>
      </c>
      <c r="E26" s="51" t="s">
        <v>126</v>
      </c>
      <c r="F26" s="53">
        <f t="shared" si="0"/>
        <v>72</v>
      </c>
      <c r="G26" s="51" t="s">
        <v>2</v>
      </c>
      <c r="H26" s="51" t="s">
        <v>34</v>
      </c>
      <c r="I26" s="53">
        <v>6653</v>
      </c>
      <c r="J26" s="53">
        <v>46</v>
      </c>
      <c r="K26" s="53">
        <v>46</v>
      </c>
      <c r="L26" s="53">
        <v>0</v>
      </c>
      <c r="M26" s="53">
        <v>0</v>
      </c>
      <c r="N26" s="53">
        <v>2</v>
      </c>
      <c r="O26" s="53">
        <v>12</v>
      </c>
      <c r="P26" s="53">
        <v>4</v>
      </c>
      <c r="Q26" s="53">
        <f t="shared" si="1"/>
        <v>18</v>
      </c>
      <c r="R26" s="53">
        <v>36</v>
      </c>
      <c r="S26" s="53">
        <v>3</v>
      </c>
      <c r="T26" s="53">
        <v>2</v>
      </c>
    </row>
    <row r="27" spans="1:20" x14ac:dyDescent="0.25">
      <c r="A27" s="20" t="s">
        <v>126</v>
      </c>
      <c r="B27" s="18">
        <v>45649</v>
      </c>
      <c r="C27" s="19">
        <v>88</v>
      </c>
      <c r="D27" s="19">
        <v>17</v>
      </c>
      <c r="E27" s="51" t="s">
        <v>130</v>
      </c>
      <c r="F27" s="19">
        <f t="shared" si="0"/>
        <v>71</v>
      </c>
      <c r="G27" s="20" t="s">
        <v>14</v>
      </c>
      <c r="H27" s="20" t="s">
        <v>40</v>
      </c>
      <c r="I27" s="19">
        <v>5839</v>
      </c>
      <c r="J27" s="19">
        <v>47</v>
      </c>
      <c r="K27" s="19">
        <v>41</v>
      </c>
      <c r="L27" s="19">
        <v>0</v>
      </c>
      <c r="M27" s="19">
        <v>0</v>
      </c>
      <c r="N27" s="19">
        <v>3</v>
      </c>
      <c r="O27" s="19">
        <v>13</v>
      </c>
      <c r="P27" s="19">
        <v>2</v>
      </c>
      <c r="Q27" s="19">
        <f t="shared" si="1"/>
        <v>18</v>
      </c>
      <c r="R27" s="19">
        <v>35</v>
      </c>
      <c r="S27" s="19">
        <v>5</v>
      </c>
      <c r="T27" s="19">
        <v>1</v>
      </c>
    </row>
    <row r="28" spans="1:20" x14ac:dyDescent="0.25">
      <c r="A28" t="s">
        <v>130</v>
      </c>
      <c r="B28" s="52">
        <v>45649</v>
      </c>
      <c r="C28" s="53">
        <v>91</v>
      </c>
      <c r="D28" s="53">
        <v>20</v>
      </c>
      <c r="E28" s="51" t="s">
        <v>126</v>
      </c>
      <c r="F28" s="53">
        <f t="shared" si="0"/>
        <v>71</v>
      </c>
      <c r="G28" s="51" t="s">
        <v>14</v>
      </c>
      <c r="H28" s="20" t="s">
        <v>40</v>
      </c>
      <c r="I28" s="19">
        <v>5839</v>
      </c>
      <c r="J28" s="53">
        <v>47</v>
      </c>
      <c r="K28" s="53">
        <v>44</v>
      </c>
      <c r="L28" s="53">
        <v>0</v>
      </c>
      <c r="M28" s="53">
        <v>0</v>
      </c>
      <c r="N28" s="53">
        <v>2</v>
      </c>
      <c r="O28" s="53">
        <v>12</v>
      </c>
      <c r="P28" s="53">
        <v>4</v>
      </c>
      <c r="Q28" s="53">
        <f t="shared" si="1"/>
        <v>18</v>
      </c>
      <c r="R28" s="53">
        <v>37</v>
      </c>
      <c r="S28" s="53">
        <v>3</v>
      </c>
      <c r="T28" s="53">
        <v>3</v>
      </c>
    </row>
    <row r="29" spans="1:20" x14ac:dyDescent="0.25">
      <c r="A29" s="20" t="s">
        <v>126</v>
      </c>
      <c r="B29" s="18">
        <v>45580</v>
      </c>
      <c r="C29" s="19">
        <v>83</v>
      </c>
      <c r="D29" s="19">
        <v>11</v>
      </c>
      <c r="E29" s="51" t="s">
        <v>133</v>
      </c>
      <c r="F29" s="19">
        <f t="shared" si="0"/>
        <v>72</v>
      </c>
      <c r="G29" s="20" t="s">
        <v>7</v>
      </c>
      <c r="H29" s="20" t="s">
        <v>36</v>
      </c>
      <c r="I29" s="19">
        <v>6409</v>
      </c>
      <c r="J29" s="19">
        <v>39</v>
      </c>
      <c r="K29" s="19">
        <v>44</v>
      </c>
      <c r="L29" s="19">
        <v>0</v>
      </c>
      <c r="M29" s="19">
        <v>2</v>
      </c>
      <c r="N29" s="19">
        <v>8</v>
      </c>
      <c r="O29" s="19">
        <v>3</v>
      </c>
      <c r="P29" s="19">
        <v>5</v>
      </c>
      <c r="Q29" s="19">
        <f t="shared" si="1"/>
        <v>18</v>
      </c>
      <c r="R29" s="19">
        <v>28</v>
      </c>
      <c r="S29" s="19">
        <v>5</v>
      </c>
      <c r="T29" s="19">
        <v>4</v>
      </c>
    </row>
    <row r="30" spans="1:20" x14ac:dyDescent="0.25">
      <c r="A30" s="20" t="s">
        <v>126</v>
      </c>
      <c r="B30" s="18">
        <v>45570</v>
      </c>
      <c r="C30" s="19">
        <v>79</v>
      </c>
      <c r="D30" s="19">
        <v>8</v>
      </c>
      <c r="E30" s="51" t="s">
        <v>130</v>
      </c>
      <c r="F30" s="19">
        <f t="shared" si="0"/>
        <v>71</v>
      </c>
      <c r="G30" s="20" t="s">
        <v>3</v>
      </c>
      <c r="H30" s="20" t="s">
        <v>36</v>
      </c>
      <c r="I30" s="19">
        <v>6124</v>
      </c>
      <c r="J30" s="19">
        <v>38</v>
      </c>
      <c r="K30" s="19">
        <v>41</v>
      </c>
      <c r="L30" s="19">
        <v>0</v>
      </c>
      <c r="M30" s="19">
        <v>1</v>
      </c>
      <c r="N30" s="19">
        <v>9</v>
      </c>
      <c r="O30" s="19">
        <v>7</v>
      </c>
      <c r="P30" s="19">
        <v>1</v>
      </c>
      <c r="Q30" s="19">
        <f t="shared" si="1"/>
        <v>18</v>
      </c>
      <c r="R30" s="19">
        <v>29</v>
      </c>
      <c r="S30" s="19">
        <v>5</v>
      </c>
      <c r="T30" s="19">
        <v>5</v>
      </c>
    </row>
    <row r="31" spans="1:20" x14ac:dyDescent="0.25">
      <c r="A31" t="s">
        <v>130</v>
      </c>
      <c r="B31" s="52">
        <v>45570</v>
      </c>
      <c r="C31" s="53">
        <v>87</v>
      </c>
      <c r="D31" s="53">
        <v>16</v>
      </c>
      <c r="E31" s="51" t="s">
        <v>126</v>
      </c>
      <c r="F31" s="53">
        <f t="shared" si="0"/>
        <v>71</v>
      </c>
      <c r="G31" s="51" t="s">
        <v>3</v>
      </c>
      <c r="H31" s="51" t="s">
        <v>36</v>
      </c>
      <c r="I31" s="53">
        <v>6064</v>
      </c>
      <c r="J31" s="53">
        <v>44</v>
      </c>
      <c r="K31" s="53">
        <v>43</v>
      </c>
      <c r="L31" s="53">
        <v>0</v>
      </c>
      <c r="M31" s="53">
        <v>0</v>
      </c>
      <c r="N31" s="53">
        <v>5</v>
      </c>
      <c r="O31" s="53">
        <v>10</v>
      </c>
      <c r="P31" s="53">
        <v>3</v>
      </c>
      <c r="Q31" s="53">
        <f t="shared" si="1"/>
        <v>18</v>
      </c>
      <c r="R31" s="53">
        <v>38</v>
      </c>
      <c r="S31" s="53">
        <v>2</v>
      </c>
      <c r="T31" s="53">
        <v>6</v>
      </c>
    </row>
    <row r="32" spans="1:20" x14ac:dyDescent="0.25">
      <c r="A32" s="20" t="s">
        <v>126</v>
      </c>
      <c r="B32" s="18">
        <v>45535</v>
      </c>
      <c r="C32" s="19">
        <v>87</v>
      </c>
      <c r="D32" s="19">
        <v>16</v>
      </c>
      <c r="E32" s="51" t="s">
        <v>130</v>
      </c>
      <c r="F32" s="19">
        <f t="shared" si="0"/>
        <v>71</v>
      </c>
      <c r="G32" s="20" t="s">
        <v>9</v>
      </c>
      <c r="H32" s="20" t="s">
        <v>36</v>
      </c>
      <c r="I32" s="19">
        <v>6055</v>
      </c>
      <c r="J32" s="19">
        <v>45</v>
      </c>
      <c r="K32" s="19">
        <v>42</v>
      </c>
      <c r="L32" s="19">
        <v>0</v>
      </c>
      <c r="M32" s="19">
        <v>0</v>
      </c>
      <c r="N32" s="19">
        <v>4</v>
      </c>
      <c r="O32" s="19">
        <v>12</v>
      </c>
      <c r="P32" s="19">
        <v>2</v>
      </c>
      <c r="Q32" s="19">
        <f t="shared" si="1"/>
        <v>18</v>
      </c>
      <c r="R32" s="19">
        <v>32</v>
      </c>
      <c r="S32" s="19">
        <v>6</v>
      </c>
      <c r="T32" s="19">
        <v>3</v>
      </c>
    </row>
    <row r="33" spans="1:20" x14ac:dyDescent="0.25">
      <c r="A33" t="s">
        <v>130</v>
      </c>
      <c r="B33" s="52">
        <v>45535</v>
      </c>
      <c r="C33" s="53">
        <v>87</v>
      </c>
      <c r="D33" s="53">
        <v>16</v>
      </c>
      <c r="E33" s="51" t="s">
        <v>126</v>
      </c>
      <c r="F33" s="53">
        <f t="shared" si="0"/>
        <v>71</v>
      </c>
      <c r="G33" s="51" t="s">
        <v>9</v>
      </c>
      <c r="H33" s="51" t="s">
        <v>36</v>
      </c>
      <c r="I33" s="53">
        <v>6022</v>
      </c>
      <c r="J33" s="53">
        <v>44</v>
      </c>
      <c r="K33" s="53">
        <v>43</v>
      </c>
      <c r="L33" s="53">
        <v>0</v>
      </c>
      <c r="M33" s="53">
        <v>0</v>
      </c>
      <c r="N33" s="53">
        <v>3</v>
      </c>
      <c r="O33" s="53">
        <v>14</v>
      </c>
      <c r="P33" s="53">
        <v>1</v>
      </c>
      <c r="Q33" s="53">
        <f t="shared" si="1"/>
        <v>18</v>
      </c>
      <c r="R33" s="53">
        <v>36</v>
      </c>
      <c r="S33" s="53">
        <v>4</v>
      </c>
      <c r="T33" s="53">
        <v>3</v>
      </c>
    </row>
    <row r="34" spans="1:20" x14ac:dyDescent="0.25">
      <c r="A34" s="43" t="s">
        <v>127</v>
      </c>
      <c r="B34" s="44">
        <v>45520</v>
      </c>
      <c r="C34" s="45">
        <v>98</v>
      </c>
      <c r="D34" s="45">
        <v>27</v>
      </c>
      <c r="E34" s="43"/>
      <c r="F34" s="45">
        <f t="shared" ref="F34:F65" si="2">C34-D34</f>
        <v>71</v>
      </c>
      <c r="G34" s="20" t="s">
        <v>8</v>
      </c>
      <c r="H34" s="43" t="s">
        <v>36</v>
      </c>
      <c r="I34" s="45">
        <v>6549</v>
      </c>
      <c r="J34" s="45">
        <v>46</v>
      </c>
      <c r="K34" s="45">
        <v>52</v>
      </c>
      <c r="L34" s="45">
        <v>0</v>
      </c>
      <c r="M34" s="45">
        <v>0</v>
      </c>
      <c r="N34" s="45">
        <v>3</v>
      </c>
      <c r="O34" s="45">
        <v>8</v>
      </c>
      <c r="P34" s="45">
        <v>7</v>
      </c>
      <c r="Q34" s="45">
        <f t="shared" ref="Q34:Q65" si="3">SUM(L34:P34)</f>
        <v>18</v>
      </c>
      <c r="R34" s="45">
        <v>36</v>
      </c>
      <c r="S34" s="45">
        <v>7</v>
      </c>
      <c r="T34" s="45">
        <v>4</v>
      </c>
    </row>
    <row r="35" spans="1:20" x14ac:dyDescent="0.25">
      <c r="A35" s="20" t="s">
        <v>126</v>
      </c>
      <c r="B35" s="18">
        <v>45514</v>
      </c>
      <c r="C35" s="19">
        <v>85</v>
      </c>
      <c r="D35" s="19">
        <v>13</v>
      </c>
      <c r="E35" s="51" t="s">
        <v>130</v>
      </c>
      <c r="F35" s="19">
        <f t="shared" si="2"/>
        <v>72</v>
      </c>
      <c r="G35" s="20" t="s">
        <v>6</v>
      </c>
      <c r="H35" s="20" t="s">
        <v>34</v>
      </c>
      <c r="I35" s="19">
        <v>6173</v>
      </c>
      <c r="J35" s="19">
        <v>45</v>
      </c>
      <c r="K35" s="19">
        <v>40</v>
      </c>
      <c r="L35" s="19">
        <v>0</v>
      </c>
      <c r="M35" s="19">
        <v>0</v>
      </c>
      <c r="N35" s="19">
        <v>7</v>
      </c>
      <c r="O35" s="19">
        <v>9</v>
      </c>
      <c r="P35" s="19">
        <v>2</v>
      </c>
      <c r="Q35" s="19">
        <f t="shared" si="3"/>
        <v>18</v>
      </c>
      <c r="R35" s="19">
        <v>31</v>
      </c>
      <c r="S35" s="19">
        <v>6</v>
      </c>
      <c r="T35" s="19">
        <v>4</v>
      </c>
    </row>
    <row r="36" spans="1:20" x14ac:dyDescent="0.25">
      <c r="A36" s="51" t="s">
        <v>130</v>
      </c>
      <c r="B36" s="52">
        <v>45514</v>
      </c>
      <c r="C36" s="53">
        <v>90</v>
      </c>
      <c r="D36" s="53">
        <v>18</v>
      </c>
      <c r="E36" s="51" t="s">
        <v>126</v>
      </c>
      <c r="F36" s="53">
        <f t="shared" si="2"/>
        <v>72</v>
      </c>
      <c r="G36" s="51" t="s">
        <v>6</v>
      </c>
      <c r="H36" s="51" t="s">
        <v>34</v>
      </c>
      <c r="I36" s="53">
        <v>6173</v>
      </c>
      <c r="J36" s="53">
        <v>44</v>
      </c>
      <c r="K36" s="53">
        <v>46</v>
      </c>
      <c r="L36" s="53">
        <v>0</v>
      </c>
      <c r="M36" s="53">
        <v>0</v>
      </c>
      <c r="N36" s="53">
        <v>4</v>
      </c>
      <c r="O36" s="53">
        <v>10</v>
      </c>
      <c r="P36" s="53">
        <v>4</v>
      </c>
      <c r="Q36" s="53">
        <f t="shared" si="3"/>
        <v>18</v>
      </c>
      <c r="R36" s="53">
        <v>28</v>
      </c>
      <c r="S36" s="53">
        <v>4</v>
      </c>
      <c r="T36" s="53">
        <v>1</v>
      </c>
    </row>
    <row r="37" spans="1:20" x14ac:dyDescent="0.25">
      <c r="A37" s="20" t="s">
        <v>126</v>
      </c>
      <c r="B37" s="18">
        <v>45502</v>
      </c>
      <c r="C37" s="19">
        <v>83</v>
      </c>
      <c r="D37" s="19">
        <v>12</v>
      </c>
      <c r="E37" s="20" t="s">
        <v>33</v>
      </c>
      <c r="F37" s="19">
        <f t="shared" si="2"/>
        <v>71</v>
      </c>
      <c r="G37" s="20" t="s">
        <v>3</v>
      </c>
      <c r="H37" s="20" t="s">
        <v>34</v>
      </c>
      <c r="I37" s="19">
        <v>6378</v>
      </c>
      <c r="J37" s="19">
        <v>41</v>
      </c>
      <c r="K37" s="19">
        <v>42</v>
      </c>
      <c r="L37" s="19">
        <v>0</v>
      </c>
      <c r="M37" s="19">
        <v>0</v>
      </c>
      <c r="N37" s="19">
        <v>8</v>
      </c>
      <c r="O37" s="19">
        <v>8</v>
      </c>
      <c r="P37" s="19">
        <v>2</v>
      </c>
      <c r="Q37" s="19">
        <f t="shared" si="3"/>
        <v>18</v>
      </c>
      <c r="R37" s="19">
        <v>29</v>
      </c>
      <c r="S37" s="19">
        <v>6</v>
      </c>
      <c r="T37" s="19">
        <v>4</v>
      </c>
    </row>
    <row r="38" spans="1:20" x14ac:dyDescent="0.25">
      <c r="A38" s="20" t="s">
        <v>126</v>
      </c>
      <c r="B38" s="18">
        <v>45496</v>
      </c>
      <c r="C38" s="19">
        <v>79</v>
      </c>
      <c r="D38" s="19">
        <v>7</v>
      </c>
      <c r="E38" s="20" t="s">
        <v>39</v>
      </c>
      <c r="F38" s="19">
        <f t="shared" si="2"/>
        <v>72</v>
      </c>
      <c r="G38" s="20" t="s">
        <v>6</v>
      </c>
      <c r="H38" s="20" t="s">
        <v>34</v>
      </c>
      <c r="I38" s="19">
        <v>6173</v>
      </c>
      <c r="J38" s="19">
        <v>40</v>
      </c>
      <c r="K38" s="19">
        <v>39</v>
      </c>
      <c r="L38" s="19">
        <v>1</v>
      </c>
      <c r="M38" s="19">
        <v>2</v>
      </c>
      <c r="N38" s="19">
        <v>4</v>
      </c>
      <c r="O38" s="19">
        <v>11</v>
      </c>
      <c r="P38" s="19">
        <v>0</v>
      </c>
      <c r="Q38" s="19">
        <f t="shared" si="3"/>
        <v>18</v>
      </c>
      <c r="R38" s="19">
        <v>27</v>
      </c>
      <c r="S38" s="19">
        <v>9</v>
      </c>
      <c r="T38" s="19">
        <v>3</v>
      </c>
    </row>
    <row r="39" spans="1:20" x14ac:dyDescent="0.25">
      <c r="A39" s="20" t="s">
        <v>126</v>
      </c>
      <c r="B39" s="18">
        <v>45492</v>
      </c>
      <c r="C39" s="19">
        <v>83</v>
      </c>
      <c r="D39" s="19">
        <v>11</v>
      </c>
      <c r="E39" s="51" t="s">
        <v>127</v>
      </c>
      <c r="F39" s="19">
        <f t="shared" si="2"/>
        <v>72</v>
      </c>
      <c r="G39" s="20" t="s">
        <v>6</v>
      </c>
      <c r="H39" s="20" t="s">
        <v>34</v>
      </c>
      <c r="I39" s="19">
        <v>6173</v>
      </c>
      <c r="J39" s="19">
        <v>42</v>
      </c>
      <c r="K39" s="19">
        <v>41</v>
      </c>
      <c r="L39" s="19">
        <v>0</v>
      </c>
      <c r="M39" s="19">
        <v>1</v>
      </c>
      <c r="N39" s="19">
        <v>9</v>
      </c>
      <c r="O39" s="19">
        <v>4</v>
      </c>
      <c r="P39" s="19">
        <v>4</v>
      </c>
      <c r="Q39" s="19">
        <f t="shared" si="3"/>
        <v>18</v>
      </c>
      <c r="R39" s="19">
        <v>27</v>
      </c>
      <c r="S39" s="19">
        <v>8</v>
      </c>
      <c r="T39" s="19">
        <v>5</v>
      </c>
    </row>
    <row r="40" spans="1:20" x14ac:dyDescent="0.25">
      <c r="A40" s="43" t="s">
        <v>127</v>
      </c>
      <c r="B40" s="44">
        <v>45492</v>
      </c>
      <c r="C40" s="45">
        <v>104</v>
      </c>
      <c r="D40" s="45">
        <v>32</v>
      </c>
      <c r="E40" s="43" t="s">
        <v>126</v>
      </c>
      <c r="F40" s="45">
        <f t="shared" si="2"/>
        <v>72</v>
      </c>
      <c r="G40" s="43" t="s">
        <v>6</v>
      </c>
      <c r="H40" s="43" t="s">
        <v>34</v>
      </c>
      <c r="I40" s="45">
        <v>6173</v>
      </c>
      <c r="J40" s="45">
        <v>57</v>
      </c>
      <c r="K40" s="45">
        <v>47</v>
      </c>
      <c r="L40" s="45">
        <v>0</v>
      </c>
      <c r="M40" s="45">
        <v>1</v>
      </c>
      <c r="N40" s="45">
        <v>0</v>
      </c>
      <c r="O40" s="45">
        <v>6</v>
      </c>
      <c r="P40" s="45">
        <v>11</v>
      </c>
      <c r="Q40" s="45">
        <f t="shared" si="3"/>
        <v>18</v>
      </c>
      <c r="R40" s="45">
        <v>34</v>
      </c>
      <c r="S40" s="45">
        <v>7</v>
      </c>
      <c r="T40" s="45">
        <v>1</v>
      </c>
    </row>
    <row r="41" spans="1:20" x14ac:dyDescent="0.25">
      <c r="A41" s="20" t="s">
        <v>126</v>
      </c>
      <c r="B41" s="18">
        <v>45487</v>
      </c>
      <c r="C41" s="19">
        <v>78</v>
      </c>
      <c r="D41" s="19">
        <v>7</v>
      </c>
      <c r="E41" s="51" t="s">
        <v>130</v>
      </c>
      <c r="F41" s="19">
        <f t="shared" si="2"/>
        <v>71</v>
      </c>
      <c r="G41" s="20" t="s">
        <v>3</v>
      </c>
      <c r="H41" s="20" t="s">
        <v>34</v>
      </c>
      <c r="I41" s="19">
        <v>6378</v>
      </c>
      <c r="J41" s="19">
        <v>39</v>
      </c>
      <c r="K41" s="19">
        <v>39</v>
      </c>
      <c r="L41" s="19">
        <v>0</v>
      </c>
      <c r="M41" s="19">
        <v>1</v>
      </c>
      <c r="N41" s="19">
        <v>9</v>
      </c>
      <c r="O41" s="19">
        <v>8</v>
      </c>
      <c r="P41" s="19">
        <v>0</v>
      </c>
      <c r="Q41" s="19">
        <f t="shared" si="3"/>
        <v>18</v>
      </c>
      <c r="R41" s="19">
        <v>29</v>
      </c>
      <c r="S41" s="19">
        <v>3</v>
      </c>
      <c r="T41" s="19">
        <v>6</v>
      </c>
    </row>
    <row r="42" spans="1:20" x14ac:dyDescent="0.25">
      <c r="A42" t="s">
        <v>130</v>
      </c>
      <c r="B42" s="52">
        <v>45487</v>
      </c>
      <c r="C42" s="53">
        <v>89</v>
      </c>
      <c r="D42" s="53">
        <v>18</v>
      </c>
      <c r="E42" s="51" t="s">
        <v>126</v>
      </c>
      <c r="F42" s="53">
        <f t="shared" si="2"/>
        <v>71</v>
      </c>
      <c r="G42" s="51" t="s">
        <v>3</v>
      </c>
      <c r="H42" s="51" t="s">
        <v>34</v>
      </c>
      <c r="I42" s="53">
        <v>6376</v>
      </c>
      <c r="J42" s="53">
        <v>46</v>
      </c>
      <c r="K42" s="53">
        <v>43</v>
      </c>
      <c r="L42" s="53">
        <v>0</v>
      </c>
      <c r="M42" s="53">
        <v>0</v>
      </c>
      <c r="N42" s="53">
        <v>3</v>
      </c>
      <c r="O42" s="53">
        <v>12</v>
      </c>
      <c r="P42" s="53">
        <v>3</v>
      </c>
      <c r="Q42" s="53">
        <f t="shared" si="3"/>
        <v>18</v>
      </c>
      <c r="R42" s="53">
        <v>34</v>
      </c>
      <c r="S42" s="53">
        <v>2</v>
      </c>
      <c r="T42" s="53">
        <v>2</v>
      </c>
    </row>
    <row r="43" spans="1:20" x14ac:dyDescent="0.25">
      <c r="A43" s="20" t="s">
        <v>126</v>
      </c>
      <c r="B43" s="18">
        <v>45480</v>
      </c>
      <c r="C43" s="19">
        <v>80</v>
      </c>
      <c r="D43" s="19">
        <v>10</v>
      </c>
      <c r="E43" s="20" t="s">
        <v>33</v>
      </c>
      <c r="F43" s="19">
        <f t="shared" si="2"/>
        <v>70</v>
      </c>
      <c r="G43" s="20" t="s">
        <v>10</v>
      </c>
      <c r="H43" s="20" t="s">
        <v>34</v>
      </c>
      <c r="I43" s="19">
        <v>7092</v>
      </c>
      <c r="J43" s="19">
        <v>42</v>
      </c>
      <c r="K43" s="19">
        <v>38</v>
      </c>
      <c r="L43" s="19">
        <v>0</v>
      </c>
      <c r="M43" s="19">
        <v>0</v>
      </c>
      <c r="N43" s="19">
        <v>8</v>
      </c>
      <c r="O43" s="19">
        <v>10</v>
      </c>
      <c r="P43" s="19">
        <v>0</v>
      </c>
      <c r="Q43" s="19">
        <f t="shared" si="3"/>
        <v>18</v>
      </c>
      <c r="R43" s="19">
        <v>30</v>
      </c>
      <c r="S43" s="19">
        <v>8</v>
      </c>
      <c r="T43" s="19">
        <v>2</v>
      </c>
    </row>
    <row r="44" spans="1:20" x14ac:dyDescent="0.25">
      <c r="A44" s="20" t="s">
        <v>126</v>
      </c>
      <c r="B44" s="18">
        <v>45475</v>
      </c>
      <c r="C44" s="19">
        <v>77</v>
      </c>
      <c r="D44" s="19">
        <v>5</v>
      </c>
      <c r="E44" s="20" t="s">
        <v>33</v>
      </c>
      <c r="F44" s="19">
        <f t="shared" si="2"/>
        <v>72</v>
      </c>
      <c r="G44" s="20" t="s">
        <v>5</v>
      </c>
      <c r="H44" s="20" t="s">
        <v>34</v>
      </c>
      <c r="I44" s="19">
        <v>6638</v>
      </c>
      <c r="J44" s="19">
        <v>37</v>
      </c>
      <c r="K44" s="19">
        <v>40</v>
      </c>
      <c r="L44" s="19">
        <v>0</v>
      </c>
      <c r="M44" s="19">
        <v>2</v>
      </c>
      <c r="N44" s="19">
        <v>9</v>
      </c>
      <c r="O44" s="19">
        <v>7</v>
      </c>
      <c r="P44" s="19">
        <v>0</v>
      </c>
      <c r="Q44" s="19">
        <f t="shared" si="3"/>
        <v>18</v>
      </c>
      <c r="R44" s="19">
        <v>29</v>
      </c>
      <c r="S44" s="19">
        <v>8</v>
      </c>
      <c r="T44" s="19">
        <v>8</v>
      </c>
    </row>
    <row r="45" spans="1:20" x14ac:dyDescent="0.25">
      <c r="A45" s="20" t="s">
        <v>126</v>
      </c>
      <c r="B45" s="18">
        <v>45467</v>
      </c>
      <c r="C45" s="19">
        <v>80</v>
      </c>
      <c r="D45" s="19">
        <v>8</v>
      </c>
      <c r="E45" s="20" t="s">
        <v>33</v>
      </c>
      <c r="F45" s="19">
        <f t="shared" si="2"/>
        <v>72</v>
      </c>
      <c r="G45" s="20" t="s">
        <v>5</v>
      </c>
      <c r="H45" s="20" t="s">
        <v>36</v>
      </c>
      <c r="I45" s="19">
        <v>6638</v>
      </c>
      <c r="J45" s="19">
        <v>42</v>
      </c>
      <c r="K45" s="19">
        <v>38</v>
      </c>
      <c r="L45" s="19">
        <v>0</v>
      </c>
      <c r="M45" s="19">
        <v>0</v>
      </c>
      <c r="N45" s="19">
        <v>11</v>
      </c>
      <c r="O45" s="19">
        <v>6</v>
      </c>
      <c r="P45" s="19">
        <v>1</v>
      </c>
      <c r="Q45" s="19">
        <f t="shared" si="3"/>
        <v>18</v>
      </c>
      <c r="R45" s="19">
        <v>33</v>
      </c>
      <c r="S45" s="19">
        <v>6</v>
      </c>
      <c r="T45" s="19">
        <v>9</v>
      </c>
    </row>
    <row r="46" spans="1:20" x14ac:dyDescent="0.25">
      <c r="A46" s="20" t="s">
        <v>126</v>
      </c>
      <c r="B46" s="18">
        <v>45466</v>
      </c>
      <c r="C46" s="19">
        <v>81</v>
      </c>
      <c r="D46" s="19">
        <v>11</v>
      </c>
      <c r="E46" s="20" t="s">
        <v>33</v>
      </c>
      <c r="F46" s="19">
        <f t="shared" si="2"/>
        <v>70</v>
      </c>
      <c r="G46" s="20" t="s">
        <v>10</v>
      </c>
      <c r="H46" s="20" t="s">
        <v>36</v>
      </c>
      <c r="I46" s="19">
        <v>6555</v>
      </c>
      <c r="J46" s="19">
        <v>42</v>
      </c>
      <c r="K46" s="19">
        <v>39</v>
      </c>
      <c r="L46" s="19">
        <v>0</v>
      </c>
      <c r="M46" s="19">
        <v>0</v>
      </c>
      <c r="N46" s="19">
        <v>8</v>
      </c>
      <c r="O46" s="19">
        <v>9</v>
      </c>
      <c r="P46" s="19">
        <v>1</v>
      </c>
      <c r="Q46" s="19">
        <f t="shared" si="3"/>
        <v>18</v>
      </c>
      <c r="R46" s="19">
        <v>30</v>
      </c>
      <c r="S46" s="19">
        <v>7</v>
      </c>
      <c r="T46" s="19">
        <v>4</v>
      </c>
    </row>
    <row r="47" spans="1:20" x14ac:dyDescent="0.25">
      <c r="A47" s="20" t="s">
        <v>126</v>
      </c>
      <c r="B47" s="18">
        <v>45465</v>
      </c>
      <c r="C47" s="19">
        <v>99</v>
      </c>
      <c r="D47" s="19">
        <v>27</v>
      </c>
      <c r="E47" s="51" t="s">
        <v>130</v>
      </c>
      <c r="F47" s="19">
        <f t="shared" si="2"/>
        <v>72</v>
      </c>
      <c r="G47" s="20" t="s">
        <v>12</v>
      </c>
      <c r="H47" s="51" t="s">
        <v>34</v>
      </c>
      <c r="I47" s="19">
        <v>6686</v>
      </c>
      <c r="J47" s="19">
        <v>48</v>
      </c>
      <c r="K47" s="19">
        <v>51</v>
      </c>
      <c r="L47" s="19">
        <v>0</v>
      </c>
      <c r="M47" s="19">
        <v>0</v>
      </c>
      <c r="N47" s="19">
        <v>3</v>
      </c>
      <c r="O47" s="19">
        <v>7</v>
      </c>
      <c r="P47" s="19">
        <v>8</v>
      </c>
      <c r="Q47" s="19">
        <f t="shared" si="3"/>
        <v>18</v>
      </c>
      <c r="R47" s="19">
        <v>33</v>
      </c>
      <c r="S47" s="19">
        <v>3</v>
      </c>
      <c r="T47" s="19">
        <v>2</v>
      </c>
    </row>
    <row r="48" spans="1:20" x14ac:dyDescent="0.25">
      <c r="A48" t="s">
        <v>130</v>
      </c>
      <c r="B48" s="52">
        <v>45465</v>
      </c>
      <c r="C48" s="53">
        <v>99</v>
      </c>
      <c r="D48" s="53">
        <v>27</v>
      </c>
      <c r="E48" s="51" t="s">
        <v>126</v>
      </c>
      <c r="F48" s="53">
        <f t="shared" si="2"/>
        <v>72</v>
      </c>
      <c r="G48" s="20" t="s">
        <v>12</v>
      </c>
      <c r="H48" s="51" t="s">
        <v>34</v>
      </c>
      <c r="I48" s="19">
        <v>6686</v>
      </c>
      <c r="J48" s="53">
        <v>48</v>
      </c>
      <c r="K48" s="53">
        <v>51</v>
      </c>
      <c r="L48" s="53">
        <v>0</v>
      </c>
      <c r="M48" s="53">
        <v>0</v>
      </c>
      <c r="N48" s="53">
        <v>1</v>
      </c>
      <c r="O48" s="53">
        <v>9</v>
      </c>
      <c r="P48" s="53">
        <v>8</v>
      </c>
      <c r="Q48" s="53">
        <f t="shared" si="3"/>
        <v>18</v>
      </c>
      <c r="R48" s="53">
        <v>34</v>
      </c>
      <c r="S48" s="53">
        <v>0</v>
      </c>
      <c r="T48" s="53">
        <v>1</v>
      </c>
    </row>
    <row r="49" spans="1:20" x14ac:dyDescent="0.25">
      <c r="A49" s="20" t="s">
        <v>126</v>
      </c>
      <c r="B49" s="18">
        <v>45457</v>
      </c>
      <c r="C49" s="19">
        <v>44</v>
      </c>
      <c r="D49" s="19">
        <v>8</v>
      </c>
      <c r="E49" s="20" t="s">
        <v>37</v>
      </c>
      <c r="F49" s="19">
        <f t="shared" si="2"/>
        <v>36</v>
      </c>
      <c r="G49" s="20" t="s">
        <v>38</v>
      </c>
      <c r="H49" s="20" t="s">
        <v>34</v>
      </c>
      <c r="I49" s="19">
        <v>2896</v>
      </c>
      <c r="J49" s="19">
        <v>44</v>
      </c>
      <c r="K49" s="19"/>
      <c r="L49" s="19">
        <v>0</v>
      </c>
      <c r="M49" s="19">
        <v>0</v>
      </c>
      <c r="N49" s="19">
        <v>2</v>
      </c>
      <c r="O49" s="19">
        <v>6</v>
      </c>
      <c r="P49" s="19">
        <v>1</v>
      </c>
      <c r="Q49" s="19">
        <f t="shared" si="3"/>
        <v>9</v>
      </c>
      <c r="R49" s="19">
        <v>16</v>
      </c>
      <c r="S49" s="19">
        <v>5</v>
      </c>
      <c r="T49" s="19">
        <v>1</v>
      </c>
    </row>
    <row r="50" spans="1:20" x14ac:dyDescent="0.25">
      <c r="A50" s="20" t="s">
        <v>126</v>
      </c>
      <c r="B50" s="18">
        <v>45454</v>
      </c>
      <c r="C50" s="19">
        <v>47</v>
      </c>
      <c r="D50" s="19">
        <v>11</v>
      </c>
      <c r="E50" s="78" t="s">
        <v>130</v>
      </c>
      <c r="F50" s="19">
        <f t="shared" si="2"/>
        <v>36</v>
      </c>
      <c r="G50" s="20" t="s">
        <v>5</v>
      </c>
      <c r="H50" s="20" t="s">
        <v>34</v>
      </c>
      <c r="I50" s="19">
        <v>6638</v>
      </c>
      <c r="J50" s="19">
        <v>47</v>
      </c>
      <c r="K50" s="19"/>
      <c r="L50" s="19">
        <v>0</v>
      </c>
      <c r="M50" s="19">
        <v>0</v>
      </c>
      <c r="N50" s="19">
        <v>0</v>
      </c>
      <c r="O50" s="19">
        <v>7</v>
      </c>
      <c r="P50" s="19">
        <v>2</v>
      </c>
      <c r="Q50" s="19">
        <f t="shared" si="3"/>
        <v>9</v>
      </c>
      <c r="R50" s="19">
        <v>14</v>
      </c>
      <c r="S50" s="19">
        <v>1</v>
      </c>
      <c r="T50" s="19">
        <v>0</v>
      </c>
    </row>
    <row r="51" spans="1:20" x14ac:dyDescent="0.25">
      <c r="A51" s="20" t="s">
        <v>126</v>
      </c>
      <c r="B51" s="18">
        <v>45453</v>
      </c>
      <c r="C51" s="19">
        <v>95</v>
      </c>
      <c r="D51" s="19">
        <v>24</v>
      </c>
      <c r="E51" s="51" t="s">
        <v>127</v>
      </c>
      <c r="F51" s="19">
        <f t="shared" si="2"/>
        <v>71</v>
      </c>
      <c r="G51" s="20" t="s">
        <v>11</v>
      </c>
      <c r="H51" s="20" t="s">
        <v>34</v>
      </c>
      <c r="I51" s="19">
        <v>6311</v>
      </c>
      <c r="J51" s="19">
        <v>49</v>
      </c>
      <c r="K51" s="19">
        <v>46</v>
      </c>
      <c r="L51" s="19">
        <v>0</v>
      </c>
      <c r="M51" s="19">
        <v>0</v>
      </c>
      <c r="N51" s="19">
        <v>3</v>
      </c>
      <c r="O51" s="19">
        <v>7</v>
      </c>
      <c r="P51" s="19">
        <v>8</v>
      </c>
      <c r="Q51" s="19">
        <f t="shared" si="3"/>
        <v>18</v>
      </c>
      <c r="R51" s="19">
        <v>35</v>
      </c>
      <c r="S51" s="19">
        <v>5</v>
      </c>
      <c r="T51" s="19">
        <v>3</v>
      </c>
    </row>
    <row r="52" spans="1:20" x14ac:dyDescent="0.25">
      <c r="A52" s="43" t="s">
        <v>127</v>
      </c>
      <c r="B52" s="44">
        <v>45453</v>
      </c>
      <c r="C52" s="45">
        <v>109</v>
      </c>
      <c r="D52" s="45">
        <v>38</v>
      </c>
      <c r="E52" s="43" t="s">
        <v>126</v>
      </c>
      <c r="F52" s="45">
        <f t="shared" si="2"/>
        <v>71</v>
      </c>
      <c r="G52" s="43" t="s">
        <v>11</v>
      </c>
      <c r="H52" s="43" t="s">
        <v>34</v>
      </c>
      <c r="I52" s="45">
        <v>6311</v>
      </c>
      <c r="J52" s="45">
        <v>54</v>
      </c>
      <c r="K52" s="45">
        <v>55</v>
      </c>
      <c r="L52" s="45">
        <v>0</v>
      </c>
      <c r="M52" s="45">
        <v>0</v>
      </c>
      <c r="N52" s="45">
        <v>0</v>
      </c>
      <c r="O52" s="45">
        <v>6</v>
      </c>
      <c r="P52" s="45">
        <v>12</v>
      </c>
      <c r="Q52" s="45">
        <f t="shared" si="3"/>
        <v>18</v>
      </c>
      <c r="R52" s="45">
        <v>35</v>
      </c>
      <c r="S52" s="45">
        <v>0</v>
      </c>
      <c r="T52" s="45">
        <v>1</v>
      </c>
    </row>
    <row r="53" spans="1:20" x14ac:dyDescent="0.25">
      <c r="A53" s="20" t="s">
        <v>126</v>
      </c>
      <c r="B53" s="18">
        <v>45443</v>
      </c>
      <c r="C53" s="19">
        <v>88</v>
      </c>
      <c r="D53" s="19">
        <v>17</v>
      </c>
      <c r="E53" s="20" t="s">
        <v>33</v>
      </c>
      <c r="F53" s="19">
        <f t="shared" si="2"/>
        <v>71</v>
      </c>
      <c r="G53" s="20" t="s">
        <v>3</v>
      </c>
      <c r="H53" s="20" t="s">
        <v>34</v>
      </c>
      <c r="I53" s="19">
        <v>6378</v>
      </c>
      <c r="J53" s="19">
        <v>49</v>
      </c>
      <c r="K53" s="19">
        <v>39</v>
      </c>
      <c r="L53" s="19">
        <v>0</v>
      </c>
      <c r="M53" s="19">
        <v>1</v>
      </c>
      <c r="N53" s="19">
        <v>4</v>
      </c>
      <c r="O53" s="19">
        <v>9</v>
      </c>
      <c r="P53" s="19">
        <v>4</v>
      </c>
      <c r="Q53" s="19">
        <f t="shared" si="3"/>
        <v>18</v>
      </c>
      <c r="R53" s="19">
        <v>35</v>
      </c>
      <c r="S53" s="19">
        <v>4</v>
      </c>
      <c r="T53" s="19">
        <v>6</v>
      </c>
    </row>
    <row r="54" spans="1:20" x14ac:dyDescent="0.25">
      <c r="A54" s="20" t="s">
        <v>126</v>
      </c>
      <c r="B54" s="18">
        <v>45440</v>
      </c>
      <c r="C54" s="19">
        <v>88</v>
      </c>
      <c r="D54" s="19">
        <v>17</v>
      </c>
      <c r="E54" s="20" t="s">
        <v>33</v>
      </c>
      <c r="F54" s="19">
        <f t="shared" si="2"/>
        <v>71</v>
      </c>
      <c r="G54" s="20" t="s">
        <v>9</v>
      </c>
      <c r="H54" s="20" t="s">
        <v>34</v>
      </c>
      <c r="I54" s="19">
        <v>6288</v>
      </c>
      <c r="J54" s="19">
        <v>45</v>
      </c>
      <c r="K54" s="19">
        <v>43</v>
      </c>
      <c r="L54" s="19">
        <v>0</v>
      </c>
      <c r="M54" s="19">
        <v>0</v>
      </c>
      <c r="N54" s="19">
        <v>6</v>
      </c>
      <c r="O54" s="19">
        <v>7</v>
      </c>
      <c r="P54" s="19">
        <v>5</v>
      </c>
      <c r="Q54" s="19">
        <f t="shared" si="3"/>
        <v>18</v>
      </c>
      <c r="R54" s="19">
        <v>33</v>
      </c>
      <c r="S54" s="19">
        <v>8</v>
      </c>
      <c r="T54" s="19">
        <v>2</v>
      </c>
    </row>
    <row r="55" spans="1:20" x14ac:dyDescent="0.25">
      <c r="A55" s="20" t="s">
        <v>126</v>
      </c>
      <c r="B55" s="18">
        <v>45434</v>
      </c>
      <c r="C55" s="19">
        <v>89</v>
      </c>
      <c r="D55" s="19">
        <v>18</v>
      </c>
      <c r="E55" s="20" t="s">
        <v>33</v>
      </c>
      <c r="F55" s="19">
        <f t="shared" si="2"/>
        <v>71</v>
      </c>
      <c r="G55" s="20" t="s">
        <v>9</v>
      </c>
      <c r="H55" s="20" t="s">
        <v>34</v>
      </c>
      <c r="I55" s="19">
        <v>6288</v>
      </c>
      <c r="J55" s="19">
        <v>48</v>
      </c>
      <c r="K55" s="19">
        <v>41</v>
      </c>
      <c r="L55" s="19">
        <v>0</v>
      </c>
      <c r="M55" s="19">
        <v>0</v>
      </c>
      <c r="N55" s="19">
        <v>5</v>
      </c>
      <c r="O55" s="19">
        <v>9</v>
      </c>
      <c r="P55" s="19">
        <v>4</v>
      </c>
      <c r="Q55" s="19">
        <f t="shared" si="3"/>
        <v>18</v>
      </c>
      <c r="R55" s="19">
        <v>38</v>
      </c>
      <c r="S55" s="19">
        <v>3</v>
      </c>
      <c r="T55" s="19">
        <v>6</v>
      </c>
    </row>
    <row r="56" spans="1:20" x14ac:dyDescent="0.25">
      <c r="A56" s="20" t="s">
        <v>126</v>
      </c>
      <c r="B56" s="18">
        <v>45172</v>
      </c>
      <c r="C56" s="19">
        <v>87</v>
      </c>
      <c r="D56" s="19">
        <v>16</v>
      </c>
      <c r="E56" s="51" t="s">
        <v>130</v>
      </c>
      <c r="F56" s="19">
        <f t="shared" si="2"/>
        <v>71</v>
      </c>
      <c r="G56" s="20" t="s">
        <v>3</v>
      </c>
      <c r="H56" s="20" t="s">
        <v>34</v>
      </c>
      <c r="I56" s="19">
        <v>6378</v>
      </c>
      <c r="J56" s="19">
        <v>46</v>
      </c>
      <c r="K56" s="19">
        <v>41</v>
      </c>
      <c r="L56" s="19">
        <v>0</v>
      </c>
      <c r="M56" s="19">
        <v>1</v>
      </c>
      <c r="N56" s="19">
        <v>3</v>
      </c>
      <c r="O56" s="19">
        <v>11</v>
      </c>
      <c r="P56" s="19">
        <v>3</v>
      </c>
      <c r="Q56" s="19">
        <f t="shared" si="3"/>
        <v>18</v>
      </c>
      <c r="R56" s="19">
        <v>37</v>
      </c>
      <c r="S56" s="19">
        <v>8</v>
      </c>
      <c r="T56" s="19">
        <v>6</v>
      </c>
    </row>
    <row r="57" spans="1:20" x14ac:dyDescent="0.25">
      <c r="A57" s="51" t="s">
        <v>130</v>
      </c>
      <c r="B57" s="18">
        <v>45172</v>
      </c>
      <c r="C57" s="19">
        <v>82</v>
      </c>
      <c r="D57" s="19">
        <v>11</v>
      </c>
      <c r="E57" s="51" t="s">
        <v>126</v>
      </c>
      <c r="F57" s="19">
        <f t="shared" si="2"/>
        <v>71</v>
      </c>
      <c r="G57" s="20" t="s">
        <v>3</v>
      </c>
      <c r="H57" s="20" t="s">
        <v>34</v>
      </c>
      <c r="I57" s="19">
        <v>6378</v>
      </c>
      <c r="J57" s="53">
        <v>43</v>
      </c>
      <c r="K57" s="53">
        <v>39</v>
      </c>
      <c r="L57" s="53">
        <v>0</v>
      </c>
      <c r="M57" s="53">
        <v>1</v>
      </c>
      <c r="N57" s="53">
        <v>7</v>
      </c>
      <c r="O57" s="53">
        <v>8</v>
      </c>
      <c r="P57" s="53">
        <v>2</v>
      </c>
      <c r="Q57" s="53">
        <f t="shared" si="3"/>
        <v>18</v>
      </c>
      <c r="R57" s="53">
        <v>32</v>
      </c>
      <c r="S57" s="53">
        <v>5</v>
      </c>
      <c r="T57" s="53">
        <v>5</v>
      </c>
    </row>
    <row r="58" spans="1:20" x14ac:dyDescent="0.25">
      <c r="A58" s="20" t="s">
        <v>126</v>
      </c>
      <c r="B58" s="18">
        <v>45156</v>
      </c>
      <c r="C58" s="19">
        <v>91</v>
      </c>
      <c r="D58" s="19">
        <v>20</v>
      </c>
      <c r="E58" s="51" t="s">
        <v>132</v>
      </c>
      <c r="F58" s="19">
        <f t="shared" si="2"/>
        <v>71</v>
      </c>
      <c r="G58" s="20" t="s">
        <v>8</v>
      </c>
      <c r="H58" s="51" t="s">
        <v>36</v>
      </c>
      <c r="I58" s="19">
        <v>7025</v>
      </c>
      <c r="J58" s="19">
        <v>46</v>
      </c>
      <c r="K58" s="19">
        <v>45</v>
      </c>
      <c r="L58" s="19">
        <v>0</v>
      </c>
      <c r="M58" s="19">
        <v>0</v>
      </c>
      <c r="N58" s="19">
        <v>5</v>
      </c>
      <c r="O58" s="19">
        <v>8</v>
      </c>
      <c r="P58" s="19">
        <v>5</v>
      </c>
      <c r="Q58" s="19">
        <f t="shared" si="3"/>
        <v>18</v>
      </c>
      <c r="R58" s="19">
        <v>35</v>
      </c>
      <c r="S58" s="19">
        <v>6</v>
      </c>
      <c r="T58" s="19">
        <v>4</v>
      </c>
    </row>
    <row r="59" spans="1:20" x14ac:dyDescent="0.25">
      <c r="A59" s="51" t="s">
        <v>130</v>
      </c>
      <c r="B59" s="52">
        <v>45156</v>
      </c>
      <c r="C59" s="53">
        <v>89</v>
      </c>
      <c r="D59" s="53">
        <v>18</v>
      </c>
      <c r="E59" s="51" t="s">
        <v>131</v>
      </c>
      <c r="F59" s="53">
        <f t="shared" si="2"/>
        <v>71</v>
      </c>
      <c r="G59" s="51" t="s">
        <v>8</v>
      </c>
      <c r="H59" s="51" t="s">
        <v>36</v>
      </c>
      <c r="I59" s="53">
        <v>7025</v>
      </c>
      <c r="J59" s="53">
        <v>43</v>
      </c>
      <c r="K59" s="53">
        <v>46</v>
      </c>
      <c r="L59" s="53">
        <v>0</v>
      </c>
      <c r="M59" s="53">
        <v>0</v>
      </c>
      <c r="N59" s="53">
        <v>4</v>
      </c>
      <c r="O59" s="53">
        <v>10</v>
      </c>
      <c r="P59" s="53">
        <v>4</v>
      </c>
      <c r="Q59" s="53">
        <f t="shared" si="3"/>
        <v>18</v>
      </c>
      <c r="R59" s="53">
        <v>31</v>
      </c>
      <c r="S59" s="53"/>
      <c r="T59" s="53"/>
    </row>
    <row r="60" spans="1:20" x14ac:dyDescent="0.25">
      <c r="A60" s="20" t="s">
        <v>126</v>
      </c>
      <c r="B60" s="18">
        <v>45144</v>
      </c>
      <c r="C60" s="19">
        <v>99</v>
      </c>
      <c r="D60" s="19">
        <v>28</v>
      </c>
      <c r="E60" s="20" t="s">
        <v>33</v>
      </c>
      <c r="F60" s="19">
        <f t="shared" si="2"/>
        <v>71</v>
      </c>
      <c r="G60" s="20" t="s">
        <v>16</v>
      </c>
      <c r="H60" s="20" t="s">
        <v>36</v>
      </c>
      <c r="I60" s="19">
        <v>6707</v>
      </c>
      <c r="J60" s="19">
        <v>52</v>
      </c>
      <c r="K60" s="19">
        <v>47</v>
      </c>
      <c r="L60" s="19">
        <v>0</v>
      </c>
      <c r="M60" s="19">
        <v>0</v>
      </c>
      <c r="N60" s="19">
        <v>1</v>
      </c>
      <c r="O60" s="19">
        <v>9</v>
      </c>
      <c r="P60" s="19">
        <v>8</v>
      </c>
      <c r="Q60" s="19">
        <f t="shared" si="3"/>
        <v>18</v>
      </c>
      <c r="R60" s="19">
        <v>32</v>
      </c>
      <c r="S60" s="19">
        <v>8</v>
      </c>
      <c r="T60" s="19">
        <v>1</v>
      </c>
    </row>
    <row r="61" spans="1:20" x14ac:dyDescent="0.25">
      <c r="A61" s="20" t="s">
        <v>126</v>
      </c>
      <c r="B61" s="18">
        <v>45143</v>
      </c>
      <c r="C61" s="19">
        <v>88</v>
      </c>
      <c r="D61" s="19">
        <v>17</v>
      </c>
      <c r="E61" s="51" t="s">
        <v>130</v>
      </c>
      <c r="F61" s="19">
        <f t="shared" si="2"/>
        <v>71</v>
      </c>
      <c r="G61" s="20" t="s">
        <v>9</v>
      </c>
      <c r="H61" s="20" t="s">
        <v>34</v>
      </c>
      <c r="I61" s="19">
        <v>6288</v>
      </c>
      <c r="J61" s="19">
        <v>47</v>
      </c>
      <c r="K61" s="19">
        <v>41</v>
      </c>
      <c r="L61" s="19">
        <v>0</v>
      </c>
      <c r="M61" s="19">
        <v>0</v>
      </c>
      <c r="N61" s="19">
        <v>4</v>
      </c>
      <c r="O61" s="19">
        <v>11</v>
      </c>
      <c r="P61" s="19">
        <v>3</v>
      </c>
      <c r="Q61" s="19">
        <f t="shared" si="3"/>
        <v>18</v>
      </c>
      <c r="R61" s="19">
        <v>39</v>
      </c>
      <c r="S61" s="19">
        <v>6</v>
      </c>
      <c r="T61" s="19">
        <v>5</v>
      </c>
    </row>
    <row r="62" spans="1:20" x14ac:dyDescent="0.25">
      <c r="A62" s="20" t="s">
        <v>126</v>
      </c>
      <c r="B62" s="18">
        <v>45137</v>
      </c>
      <c r="C62" s="19">
        <v>87</v>
      </c>
      <c r="D62" s="19">
        <v>16</v>
      </c>
      <c r="E62" s="20" t="s">
        <v>33</v>
      </c>
      <c r="F62" s="19">
        <f t="shared" si="2"/>
        <v>71</v>
      </c>
      <c r="G62" s="20" t="s">
        <v>9</v>
      </c>
      <c r="H62" s="20" t="s">
        <v>34</v>
      </c>
      <c r="I62" s="19">
        <v>6288</v>
      </c>
      <c r="J62" s="19">
        <v>44</v>
      </c>
      <c r="K62" s="19">
        <v>43</v>
      </c>
      <c r="L62" s="19">
        <v>0</v>
      </c>
      <c r="M62" s="19">
        <v>2</v>
      </c>
      <c r="N62" s="19">
        <v>3</v>
      </c>
      <c r="O62" s="19">
        <v>8</v>
      </c>
      <c r="P62" s="19">
        <v>5</v>
      </c>
      <c r="Q62" s="19">
        <f t="shared" si="3"/>
        <v>18</v>
      </c>
      <c r="R62" s="19">
        <v>34</v>
      </c>
      <c r="S62" s="19">
        <v>4</v>
      </c>
      <c r="T62" s="19">
        <v>4</v>
      </c>
    </row>
    <row r="63" spans="1:20" x14ac:dyDescent="0.25">
      <c r="A63" s="20" t="s">
        <v>126</v>
      </c>
      <c r="B63" s="18">
        <v>45136</v>
      </c>
      <c r="C63" s="19">
        <v>90</v>
      </c>
      <c r="D63" s="19">
        <v>18</v>
      </c>
      <c r="E63" s="51" t="s">
        <v>130</v>
      </c>
      <c r="F63" s="19">
        <f t="shared" si="2"/>
        <v>72</v>
      </c>
      <c r="G63" s="20" t="s">
        <v>5</v>
      </c>
      <c r="H63" s="20" t="s">
        <v>34</v>
      </c>
      <c r="I63" s="19">
        <v>6638</v>
      </c>
      <c r="J63" s="19">
        <v>45</v>
      </c>
      <c r="K63" s="19">
        <v>45</v>
      </c>
      <c r="L63" s="19">
        <v>0</v>
      </c>
      <c r="M63" s="19">
        <v>1</v>
      </c>
      <c r="N63" s="19">
        <v>3</v>
      </c>
      <c r="O63" s="19">
        <v>9</v>
      </c>
      <c r="P63" s="19">
        <v>5</v>
      </c>
      <c r="Q63" s="19">
        <f t="shared" si="3"/>
        <v>18</v>
      </c>
      <c r="R63" s="19">
        <v>31</v>
      </c>
      <c r="S63" s="19">
        <v>7</v>
      </c>
      <c r="T63" s="19">
        <v>3</v>
      </c>
    </row>
    <row r="64" spans="1:20" x14ac:dyDescent="0.25">
      <c r="A64" s="20" t="s">
        <v>126</v>
      </c>
      <c r="B64" s="18">
        <v>45114</v>
      </c>
      <c r="C64" s="19">
        <v>90</v>
      </c>
      <c r="D64" s="19">
        <v>18</v>
      </c>
      <c r="E64" s="78" t="s">
        <v>130</v>
      </c>
      <c r="F64" s="19">
        <f t="shared" si="2"/>
        <v>72</v>
      </c>
      <c r="G64" s="20" t="s">
        <v>5</v>
      </c>
      <c r="H64" s="20" t="s">
        <v>34</v>
      </c>
      <c r="I64" s="19">
        <v>6638</v>
      </c>
      <c r="J64" s="19">
        <v>45</v>
      </c>
      <c r="K64" s="19">
        <v>45</v>
      </c>
      <c r="L64" s="19">
        <v>0</v>
      </c>
      <c r="M64" s="19">
        <v>0</v>
      </c>
      <c r="N64" s="19">
        <v>6</v>
      </c>
      <c r="O64" s="19">
        <v>6</v>
      </c>
      <c r="P64" s="19">
        <v>6</v>
      </c>
      <c r="Q64" s="19">
        <f t="shared" si="3"/>
        <v>18</v>
      </c>
      <c r="R64" s="19">
        <v>32</v>
      </c>
      <c r="S64" s="19">
        <v>3</v>
      </c>
      <c r="T64" s="19">
        <v>5</v>
      </c>
    </row>
    <row r="65" spans="1:20" x14ac:dyDescent="0.25">
      <c r="A65" s="20" t="s">
        <v>126</v>
      </c>
      <c r="B65" s="18">
        <v>45084</v>
      </c>
      <c r="C65" s="19">
        <v>91</v>
      </c>
      <c r="D65" s="19">
        <v>19</v>
      </c>
      <c r="E65" s="20" t="s">
        <v>33</v>
      </c>
      <c r="F65" s="19">
        <f t="shared" si="2"/>
        <v>72</v>
      </c>
      <c r="G65" s="20" t="s">
        <v>5</v>
      </c>
      <c r="H65" s="20" t="s">
        <v>34</v>
      </c>
      <c r="I65" s="19">
        <v>6638</v>
      </c>
      <c r="J65" s="19">
        <v>48</v>
      </c>
      <c r="K65" s="19">
        <v>43</v>
      </c>
      <c r="L65" s="19">
        <v>0</v>
      </c>
      <c r="M65" s="19">
        <v>0</v>
      </c>
      <c r="N65" s="19">
        <v>3</v>
      </c>
      <c r="O65" s="19">
        <v>11</v>
      </c>
      <c r="P65" s="19">
        <v>4</v>
      </c>
      <c r="Q65" s="19">
        <f t="shared" si="3"/>
        <v>18</v>
      </c>
      <c r="R65" s="19">
        <v>35</v>
      </c>
      <c r="S65" s="19">
        <v>6</v>
      </c>
      <c r="T65" s="19">
        <v>2</v>
      </c>
    </row>
    <row r="66" spans="1:20" x14ac:dyDescent="0.25">
      <c r="A66" s="20" t="s">
        <v>126</v>
      </c>
      <c r="B66" s="18">
        <v>45053</v>
      </c>
      <c r="C66" s="19">
        <v>92</v>
      </c>
      <c r="D66" s="19">
        <v>21</v>
      </c>
      <c r="E66" s="20" t="s">
        <v>33</v>
      </c>
      <c r="F66" s="19">
        <f t="shared" ref="F66:F71" si="4">C66-D66</f>
        <v>71</v>
      </c>
      <c r="G66" s="20" t="s">
        <v>3</v>
      </c>
      <c r="H66" s="20" t="s">
        <v>34</v>
      </c>
      <c r="I66" s="19">
        <v>6378</v>
      </c>
      <c r="J66" s="19">
        <v>43</v>
      </c>
      <c r="K66" s="19">
        <v>49</v>
      </c>
      <c r="L66" s="19">
        <v>0</v>
      </c>
      <c r="M66" s="19">
        <v>0</v>
      </c>
      <c r="N66" s="19">
        <v>4</v>
      </c>
      <c r="O66" s="19">
        <v>9</v>
      </c>
      <c r="P66" s="19">
        <v>5</v>
      </c>
      <c r="Q66" s="19">
        <f t="shared" ref="Q66:Q71" si="5">SUM(L66:P66)</f>
        <v>18</v>
      </c>
      <c r="R66" s="19">
        <v>37</v>
      </c>
      <c r="S66" s="19">
        <v>7</v>
      </c>
      <c r="T66" s="19">
        <v>4</v>
      </c>
    </row>
    <row r="67" spans="1:20" x14ac:dyDescent="0.25">
      <c r="A67" s="20" t="s">
        <v>126</v>
      </c>
      <c r="B67" s="18">
        <v>45053</v>
      </c>
      <c r="C67" s="19">
        <v>94</v>
      </c>
      <c r="D67" s="19">
        <v>23</v>
      </c>
      <c r="E67" s="20" t="s">
        <v>33</v>
      </c>
      <c r="F67" s="19">
        <f t="shared" si="4"/>
        <v>71</v>
      </c>
      <c r="G67" s="20" t="s">
        <v>9</v>
      </c>
      <c r="H67" s="20" t="s">
        <v>34</v>
      </c>
      <c r="I67" s="19">
        <v>6288</v>
      </c>
      <c r="J67" s="19">
        <v>49</v>
      </c>
      <c r="K67" s="19">
        <v>45</v>
      </c>
      <c r="L67" s="19">
        <v>0</v>
      </c>
      <c r="M67" s="19">
        <v>0</v>
      </c>
      <c r="N67" s="19">
        <v>4</v>
      </c>
      <c r="O67" s="19">
        <v>9</v>
      </c>
      <c r="P67" s="19">
        <v>5</v>
      </c>
      <c r="Q67" s="19">
        <f t="shared" si="5"/>
        <v>18</v>
      </c>
      <c r="R67" s="19">
        <v>33</v>
      </c>
      <c r="S67" s="19">
        <v>6</v>
      </c>
      <c r="T67" s="19">
        <v>2</v>
      </c>
    </row>
    <row r="68" spans="1:20" x14ac:dyDescent="0.25">
      <c r="A68" s="20" t="s">
        <v>126</v>
      </c>
      <c r="B68" s="18">
        <v>45050</v>
      </c>
      <c r="C68" s="19">
        <v>89</v>
      </c>
      <c r="D68" s="19">
        <v>18</v>
      </c>
      <c r="E68" s="78" t="s">
        <v>130</v>
      </c>
      <c r="F68" s="19">
        <f t="shared" si="4"/>
        <v>71</v>
      </c>
      <c r="G68" s="20" t="s">
        <v>3</v>
      </c>
      <c r="H68" s="20" t="s">
        <v>34</v>
      </c>
      <c r="I68" s="19">
        <v>6378</v>
      </c>
      <c r="J68" s="19">
        <v>48</v>
      </c>
      <c r="K68" s="19">
        <v>41</v>
      </c>
      <c r="L68" s="19">
        <v>0</v>
      </c>
      <c r="M68" s="19">
        <v>0</v>
      </c>
      <c r="N68" s="19">
        <v>5</v>
      </c>
      <c r="O68" s="19">
        <v>9</v>
      </c>
      <c r="P68" s="19">
        <v>4</v>
      </c>
      <c r="Q68" s="19">
        <f t="shared" si="5"/>
        <v>18</v>
      </c>
      <c r="R68" s="19">
        <v>35</v>
      </c>
      <c r="S68" s="19">
        <v>7</v>
      </c>
      <c r="T68" s="19">
        <v>4</v>
      </c>
    </row>
    <row r="69" spans="1:20" x14ac:dyDescent="0.25">
      <c r="A69" s="20" t="s">
        <v>126</v>
      </c>
      <c r="B69" s="18">
        <v>45048</v>
      </c>
      <c r="C69" s="19">
        <v>94</v>
      </c>
      <c r="D69" s="19">
        <v>22</v>
      </c>
      <c r="E69" s="20" t="s">
        <v>33</v>
      </c>
      <c r="F69" s="19">
        <f t="shared" si="4"/>
        <v>72</v>
      </c>
      <c r="G69" s="20" t="s">
        <v>5</v>
      </c>
      <c r="H69" s="20" t="s">
        <v>34</v>
      </c>
      <c r="I69" s="19">
        <v>6638</v>
      </c>
      <c r="J69" s="19">
        <v>45</v>
      </c>
      <c r="K69" s="19">
        <v>49</v>
      </c>
      <c r="L69" s="19">
        <v>0</v>
      </c>
      <c r="M69" s="19">
        <v>0</v>
      </c>
      <c r="N69" s="19">
        <v>5</v>
      </c>
      <c r="O69" s="19">
        <v>5</v>
      </c>
      <c r="P69" s="19">
        <v>8</v>
      </c>
      <c r="Q69" s="19">
        <f t="shared" si="5"/>
        <v>18</v>
      </c>
      <c r="R69" s="19">
        <v>36</v>
      </c>
      <c r="S69" s="19">
        <v>9</v>
      </c>
      <c r="T69" s="19">
        <v>3</v>
      </c>
    </row>
    <row r="70" spans="1:20" x14ac:dyDescent="0.25">
      <c r="A70" s="78" t="s">
        <v>130</v>
      </c>
      <c r="B70" s="79">
        <v>45136</v>
      </c>
      <c r="C70" s="80">
        <v>87</v>
      </c>
      <c r="D70" s="80">
        <v>15</v>
      </c>
      <c r="E70" s="78" t="s">
        <v>126</v>
      </c>
      <c r="F70" s="80">
        <f t="shared" si="4"/>
        <v>72</v>
      </c>
      <c r="G70" s="78" t="s">
        <v>5</v>
      </c>
      <c r="H70" s="20" t="s">
        <v>34</v>
      </c>
      <c r="I70" s="19">
        <v>6638</v>
      </c>
      <c r="J70" s="80">
        <v>43</v>
      </c>
      <c r="K70" s="80">
        <v>44</v>
      </c>
      <c r="L70" s="80">
        <v>0</v>
      </c>
      <c r="M70" s="80">
        <v>0</v>
      </c>
      <c r="N70" s="80">
        <v>8</v>
      </c>
      <c r="O70" s="80">
        <v>5</v>
      </c>
      <c r="P70" s="80">
        <v>5</v>
      </c>
      <c r="Q70" s="80">
        <f t="shared" si="5"/>
        <v>18</v>
      </c>
      <c r="R70" s="80">
        <v>34</v>
      </c>
      <c r="S70" s="80">
        <v>4</v>
      </c>
      <c r="T70" s="80">
        <v>6</v>
      </c>
    </row>
    <row r="71" spans="1:20" x14ac:dyDescent="0.25">
      <c r="A71" s="78" t="s">
        <v>130</v>
      </c>
      <c r="B71" s="79">
        <v>45143</v>
      </c>
      <c r="C71" s="80">
        <v>84</v>
      </c>
      <c r="D71" s="80">
        <v>13</v>
      </c>
      <c r="E71" s="78" t="s">
        <v>126</v>
      </c>
      <c r="F71" s="19">
        <f t="shared" si="4"/>
        <v>71</v>
      </c>
      <c r="G71" s="20" t="s">
        <v>9</v>
      </c>
      <c r="H71" s="20" t="s">
        <v>34</v>
      </c>
      <c r="I71" s="19">
        <v>6288</v>
      </c>
      <c r="J71" s="80">
        <v>40</v>
      </c>
      <c r="K71" s="80">
        <v>44</v>
      </c>
      <c r="L71" s="80">
        <v>0</v>
      </c>
      <c r="M71" s="80">
        <v>0</v>
      </c>
      <c r="N71" s="80">
        <v>7</v>
      </c>
      <c r="O71" s="80">
        <v>8</v>
      </c>
      <c r="P71" s="80">
        <v>3</v>
      </c>
      <c r="Q71" s="80">
        <f t="shared" si="5"/>
        <v>18</v>
      </c>
      <c r="R71" s="80">
        <v>38</v>
      </c>
      <c r="S71" s="80">
        <v>8</v>
      </c>
      <c r="T71" s="80">
        <v>4</v>
      </c>
    </row>
    <row r="72" spans="1:20" x14ac:dyDescent="0.25">
      <c r="A72" s="93" t="s">
        <v>126</v>
      </c>
      <c r="B72" s="94">
        <v>46160</v>
      </c>
      <c r="C72" s="95">
        <v>82</v>
      </c>
      <c r="D72" s="95">
        <v>10</v>
      </c>
      <c r="E72" s="93" t="s">
        <v>33</v>
      </c>
      <c r="F72" s="95">
        <f>C72-D72</f>
        <v>72</v>
      </c>
      <c r="G72" s="93" t="s">
        <v>5</v>
      </c>
      <c r="H72" s="93" t="s">
        <v>34</v>
      </c>
      <c r="I72" s="95">
        <v>6638</v>
      </c>
      <c r="J72" s="95">
        <v>36</v>
      </c>
      <c r="K72" s="95">
        <v>36</v>
      </c>
      <c r="L72" s="95">
        <v>0</v>
      </c>
      <c r="M72" s="95">
        <v>1</v>
      </c>
      <c r="N72" s="95">
        <v>7</v>
      </c>
      <c r="O72" s="95">
        <v>9</v>
      </c>
      <c r="P72" s="95">
        <v>1</v>
      </c>
      <c r="Q72" s="96">
        <f>SUM(L72:P72)</f>
        <v>18</v>
      </c>
      <c r="R72" s="95">
        <v>34</v>
      </c>
      <c r="S72" s="95">
        <v>5</v>
      </c>
      <c r="T72" s="95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0"/>
  <sheetViews>
    <sheetView workbookViewId="0">
      <selection activeCell="A12" sqref="A12:H12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20" t="s">
        <v>125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42</v>
      </c>
      <c r="G1" s="21" t="s">
        <v>43</v>
      </c>
      <c r="H1" s="21" t="s">
        <v>44</v>
      </c>
    </row>
    <row r="2" spans="1:8" ht="14.45" customHeight="1" x14ac:dyDescent="0.25">
      <c r="A2" s="20" t="s">
        <v>126</v>
      </c>
      <c r="B2" s="101">
        <v>45475</v>
      </c>
      <c r="C2" s="103" t="s">
        <v>5</v>
      </c>
      <c r="D2" s="103" t="s">
        <v>34</v>
      </c>
      <c r="E2" s="103">
        <v>77</v>
      </c>
      <c r="F2" s="103" cm="1">
        <f t="array" ref="F2">INDEX(CourseRatings[Rating], MATCH(1, (CourseRatings[Course]=C2)*(CourseRatings[Tees]=D2), 0))</f>
        <v>72.3</v>
      </c>
      <c r="G2" s="103" cm="1">
        <f t="array" ref="G2">INDEX(CourseRatings[Slope], MATCH(1, (CourseRatings[Course]=C2)*(CourseRatings[Tees]=D2), 0))</f>
        <v>130</v>
      </c>
      <c r="H2" s="103">
        <f>(E2-F2)*113/G2</f>
        <v>4.0853846153846183</v>
      </c>
    </row>
    <row r="3" spans="1:8" x14ac:dyDescent="0.25">
      <c r="A3" s="20" t="s">
        <v>126</v>
      </c>
      <c r="B3" s="22">
        <v>45480</v>
      </c>
      <c r="C3" s="23" t="s">
        <v>10</v>
      </c>
      <c r="D3" s="23" t="s">
        <v>34</v>
      </c>
      <c r="E3" s="23">
        <v>80</v>
      </c>
      <c r="F3" s="23" cm="1">
        <f t="array" ref="F3">INDEX(CourseRatings[Rating], MATCH(1, (CourseRatings[Course]=C3)*(CourseRatings[Tees]=D3), 0))</f>
        <v>74.400000000000006</v>
      </c>
      <c r="G3" s="23" cm="1">
        <f t="array" ref="G3">INDEX(CourseRatings[Slope], MATCH(1, (CourseRatings[Course]=C3)*(CourseRatings[Tees]=D3), 0))</f>
        <v>133</v>
      </c>
      <c r="H3" s="23">
        <f>(E3-F3)*113/G3</f>
        <v>4.7578947368421005</v>
      </c>
    </row>
    <row r="4" spans="1:8" x14ac:dyDescent="0.25">
      <c r="A4" s="20" t="s">
        <v>126</v>
      </c>
      <c r="B4" s="22">
        <v>45831</v>
      </c>
      <c r="C4" s="23" t="s">
        <v>5</v>
      </c>
      <c r="D4" s="23" t="s">
        <v>34</v>
      </c>
      <c r="E4" s="23">
        <v>78</v>
      </c>
      <c r="F4" s="23" cm="1">
        <f t="array" ref="F4">INDEX(CourseRatings[Rating], MATCH(1, (CourseRatings[Course]=C4)*(CourseRatings[Tees]=D4), 0))</f>
        <v>72.3</v>
      </c>
      <c r="G4" s="23" cm="1">
        <f t="array" ref="G4">INDEX(CourseRatings[Slope], MATCH(1, (CourseRatings[Course]=C4)*(CourseRatings[Tees]=D4), 0))</f>
        <v>130</v>
      </c>
      <c r="H4" s="23">
        <f>(E4-F4)*113/G4</f>
        <v>4.9546153846153871</v>
      </c>
    </row>
    <row r="5" spans="1:8" x14ac:dyDescent="0.25">
      <c r="A5" s="20" t="s">
        <v>126</v>
      </c>
      <c r="B5" s="22">
        <v>45857</v>
      </c>
      <c r="C5" s="23" t="s">
        <v>3</v>
      </c>
      <c r="D5" s="23" t="s">
        <v>36</v>
      </c>
      <c r="E5" s="23">
        <v>75</v>
      </c>
      <c r="F5" s="23" cm="1">
        <f t="array" ref="F5">INDEX(CourseRatings[Rating], MATCH(1, (CourseRatings[Course]=C5)*(CourseRatings[Tees]=D5), 0))</f>
        <v>69.400000000000006</v>
      </c>
      <c r="G5" s="23" cm="1">
        <f t="array" ref="G5">INDEX(CourseRatings[Slope], MATCH(1, (CourseRatings[Course]=C5)*(CourseRatings[Tees]=D5), 0))</f>
        <v>125</v>
      </c>
      <c r="H5" s="23">
        <f>(E5-F5)*113/G5</f>
        <v>5.0623999999999949</v>
      </c>
    </row>
    <row r="6" spans="1:8" x14ac:dyDescent="0.25">
      <c r="A6" s="20" t="s">
        <v>126</v>
      </c>
      <c r="B6" s="24">
        <v>45868</v>
      </c>
      <c r="C6" s="25" t="s">
        <v>10</v>
      </c>
      <c r="D6" s="25" t="s">
        <v>34</v>
      </c>
      <c r="E6" s="25">
        <v>81</v>
      </c>
      <c r="F6" s="25" cm="1">
        <f t="array" ref="F6">INDEX(CourseRatings[Rating], MATCH(1, (CourseRatings[Course]=C6)*(CourseRatings[Tees]=D6), 0))</f>
        <v>74.400000000000006</v>
      </c>
      <c r="G6" s="25" cm="1">
        <f t="array" ref="G6">INDEX(CourseRatings[Slope], MATCH(1, (CourseRatings[Course]=C6)*(CourseRatings[Tees]=D6), 0))</f>
        <v>133</v>
      </c>
      <c r="H6" s="25">
        <f>(E6-F6)*113/G6</f>
        <v>5.6075187969924762</v>
      </c>
    </row>
    <row r="7" spans="1:8" x14ac:dyDescent="0.25">
      <c r="A7" s="20" t="s">
        <v>126</v>
      </c>
      <c r="B7" s="22">
        <v>45735</v>
      </c>
      <c r="C7" s="23" t="s">
        <v>3</v>
      </c>
      <c r="D7" s="23" t="s">
        <v>36</v>
      </c>
      <c r="E7" s="23">
        <v>76</v>
      </c>
      <c r="F7" s="23" cm="1">
        <f t="array" ref="F7">INDEX(CourseRatings[Rating], MATCH(1, (CourseRatings[Course]=C7)*(CourseRatings[Tees]=D7), 0))</f>
        <v>69.400000000000006</v>
      </c>
      <c r="G7" s="23" cm="1">
        <f t="array" ref="G7">INDEX(CourseRatings[Slope], MATCH(1, (CourseRatings[Course]=C7)*(CourseRatings[Tees]=D7), 0))</f>
        <v>125</v>
      </c>
      <c r="H7" s="23">
        <f>(E7-F7)*113/G7</f>
        <v>5.9663999999999948</v>
      </c>
    </row>
    <row r="8" spans="1:8" x14ac:dyDescent="0.25">
      <c r="A8" s="20" t="s">
        <v>126</v>
      </c>
      <c r="B8" s="24">
        <v>45487</v>
      </c>
      <c r="C8" s="25" t="s">
        <v>3</v>
      </c>
      <c r="D8" s="25" t="s">
        <v>34</v>
      </c>
      <c r="E8" s="25">
        <v>78</v>
      </c>
      <c r="F8" s="25" cm="1">
        <f t="array" ref="F8">INDEX(CourseRatings[Rating], MATCH(1, (CourseRatings[Course]=C8)*(CourseRatings[Tees]=D8), 0))</f>
        <v>70.2</v>
      </c>
      <c r="G8" s="25" cm="1">
        <f t="array" ref="G8">INDEX(CourseRatings[Slope], MATCH(1, (CourseRatings[Course]=C8)*(CourseRatings[Tees]=D8), 0))</f>
        <v>129</v>
      </c>
      <c r="H8" s="25">
        <f>(E8-F8)*113/G8</f>
        <v>6.8325581395348811</v>
      </c>
    </row>
    <row r="9" spans="1:8" x14ac:dyDescent="0.25">
      <c r="A9" s="20" t="s">
        <v>126</v>
      </c>
      <c r="B9" s="22">
        <v>45467</v>
      </c>
      <c r="C9" s="23" t="s">
        <v>5</v>
      </c>
      <c r="D9" s="23" t="s">
        <v>36</v>
      </c>
      <c r="E9" s="23">
        <v>80</v>
      </c>
      <c r="F9" s="23" cm="1">
        <f t="array" ref="F9">INDEX(CourseRatings[Rating], MATCH(1, (CourseRatings[Course]=C9)*(CourseRatings[Tees]=D9), 0))</f>
        <v>71.3</v>
      </c>
      <c r="G9" s="23" cm="1">
        <f t="array" ref="G9">INDEX(CourseRatings[Slope], MATCH(1, (CourseRatings[Course]=C9)*(CourseRatings[Tees]=D9), 0))</f>
        <v>127</v>
      </c>
      <c r="H9" s="23">
        <f>(E9-F9)*113/G9</f>
        <v>7.7409448818897664</v>
      </c>
    </row>
    <row r="10" spans="1:8" x14ac:dyDescent="0.25">
      <c r="A10" s="20" t="s">
        <v>126</v>
      </c>
      <c r="B10" s="24">
        <v>45829</v>
      </c>
      <c r="C10" s="25" t="s">
        <v>6</v>
      </c>
      <c r="D10" s="25" t="s">
        <v>36</v>
      </c>
      <c r="E10" s="25">
        <v>76</v>
      </c>
      <c r="F10" s="25" cm="1">
        <f t="array" ref="F10">INDEX(CourseRatings[Rating], MATCH(1, (CourseRatings[Course]=C10)*(CourseRatings[Tees]=D10), 0))</f>
        <v>67.5</v>
      </c>
      <c r="G10" s="25" cm="1">
        <f t="array" ref="G10">INDEX(CourseRatings[Slope], MATCH(1, (CourseRatings[Course]=C10)*(CourseRatings[Tees]=D10), 0))</f>
        <v>121</v>
      </c>
      <c r="H10" s="25">
        <f>(E10-F10)*113/G10</f>
        <v>7.9380165289256199</v>
      </c>
    </row>
    <row r="11" spans="1:8" x14ac:dyDescent="0.25">
      <c r="A11" s="20" t="s">
        <v>126</v>
      </c>
      <c r="B11" s="24">
        <v>45466</v>
      </c>
      <c r="C11" s="25" t="s">
        <v>10</v>
      </c>
      <c r="D11" s="25" t="s">
        <v>36</v>
      </c>
      <c r="E11" s="25">
        <v>81</v>
      </c>
      <c r="F11" s="25" cm="1">
        <f t="array" ref="F11">INDEX(CourseRatings[Rating], MATCH(1, (CourseRatings[Course]=C11)*(CourseRatings[Tees]=D11), 0))</f>
        <v>71.900000000000006</v>
      </c>
      <c r="G11" s="25" cm="1">
        <f t="array" ref="G11">INDEX(CourseRatings[Slope], MATCH(1, (CourseRatings[Course]=C11)*(CourseRatings[Tees]=D11), 0))</f>
        <v>127</v>
      </c>
      <c r="H11" s="25">
        <f>(E11-F11)*113/G11</f>
        <v>8.0968503937007821</v>
      </c>
    </row>
    <row r="12" spans="1:8" x14ac:dyDescent="0.25">
      <c r="A12" s="92" t="s">
        <v>126</v>
      </c>
      <c r="B12" s="99">
        <v>46160</v>
      </c>
      <c r="C12" s="100" t="s">
        <v>5</v>
      </c>
      <c r="D12" s="100" t="s">
        <v>34</v>
      </c>
      <c r="E12" s="100">
        <v>82</v>
      </c>
      <c r="F12" s="100" cm="1">
        <f t="array" ref="F12">INDEX(CourseRatings[Rating], MATCH(1, (CourseRatings[Course]=C12)*(CourseRatings[Tees]=D12), 0))</f>
        <v>72.3</v>
      </c>
      <c r="G12" s="100" cm="1">
        <f t="array" ref="G12">INDEX(CourseRatings[Slope], MATCH(1, (CourseRatings[Course]=C12)*(CourseRatings[Tees]=D12), 0))</f>
        <v>130</v>
      </c>
      <c r="H12" s="100">
        <f>(E12-F12)*113/G12</f>
        <v>8.4315384615384641</v>
      </c>
    </row>
    <row r="13" spans="1:8" x14ac:dyDescent="0.25">
      <c r="A13" s="20" t="s">
        <v>126</v>
      </c>
      <c r="B13" s="24">
        <v>45496</v>
      </c>
      <c r="C13" s="25" t="s">
        <v>6</v>
      </c>
      <c r="D13" s="25" t="s">
        <v>34</v>
      </c>
      <c r="E13" s="25">
        <v>79</v>
      </c>
      <c r="F13" s="25" cm="1">
        <f t="array" ref="F13">INDEX(CourseRatings[Rating], MATCH(1, (CourseRatings[Course]=C13)*(CourseRatings[Tees]=D13), 0))</f>
        <v>69.599999999999994</v>
      </c>
      <c r="G13" s="25" cm="1">
        <f t="array" ref="G13">INDEX(CourseRatings[Slope], MATCH(1, (CourseRatings[Course]=C13)*(CourseRatings[Tees]=D13), 0))</f>
        <v>125</v>
      </c>
      <c r="H13" s="25">
        <f>(E13-F13)*113/G13</f>
        <v>8.4976000000000056</v>
      </c>
    </row>
    <row r="14" spans="1:8" x14ac:dyDescent="0.25">
      <c r="A14" s="20" t="s">
        <v>126</v>
      </c>
      <c r="B14" s="22">
        <v>45580</v>
      </c>
      <c r="C14" s="23" t="s">
        <v>7</v>
      </c>
      <c r="D14" s="23" t="s">
        <v>36</v>
      </c>
      <c r="E14" s="23">
        <v>83</v>
      </c>
      <c r="F14" s="23" cm="1">
        <f t="array" ref="F14">INDEX(CourseRatings[Rating], MATCH(1, (CourseRatings[Course]=C14)*(CourseRatings[Tees]=D14), 0))</f>
        <v>72.5</v>
      </c>
      <c r="G14" s="23" cm="1">
        <f t="array" ref="G14">INDEX(CourseRatings[Slope], MATCH(1, (CourseRatings[Course]=C14)*(CourseRatings[Tees]=D14), 0))</f>
        <v>137</v>
      </c>
      <c r="H14" s="23">
        <f>(E14-F14)*113/G14</f>
        <v>8.6605839416058394</v>
      </c>
    </row>
    <row r="15" spans="1:8" x14ac:dyDescent="0.25">
      <c r="A15" s="20" t="s">
        <v>126</v>
      </c>
      <c r="B15" s="24">
        <v>45844</v>
      </c>
      <c r="C15" s="25" t="s">
        <v>3</v>
      </c>
      <c r="D15" s="25" t="s">
        <v>36</v>
      </c>
      <c r="E15" s="25">
        <v>79</v>
      </c>
      <c r="F15" s="25" cm="1">
        <f t="array" ref="F15">INDEX(CourseRatings[Rating], MATCH(1, (CourseRatings[Course]=C15)*(CourseRatings[Tees]=D15), 0))</f>
        <v>69.400000000000006</v>
      </c>
      <c r="G15" s="25" cm="1">
        <f t="array" ref="G15">INDEX(CourseRatings[Slope], MATCH(1, (CourseRatings[Course]=C15)*(CourseRatings[Tees]=D15), 0))</f>
        <v>125</v>
      </c>
      <c r="H15" s="25">
        <f>(E15-F15)*113/G15</f>
        <v>8.6783999999999946</v>
      </c>
    </row>
    <row r="16" spans="1:8" x14ac:dyDescent="0.25">
      <c r="A16" s="20" t="s">
        <v>126</v>
      </c>
      <c r="B16" s="24">
        <v>45570</v>
      </c>
      <c r="C16" s="25" t="s">
        <v>3</v>
      </c>
      <c r="D16" s="25" t="s">
        <v>36</v>
      </c>
      <c r="E16" s="25">
        <v>79</v>
      </c>
      <c r="F16" s="25" cm="1">
        <f t="array" ref="F16">INDEX(CourseRatings[Rating], MATCH(1, (CourseRatings[Course]=C16)*(CourseRatings[Tees]=D16), 0))</f>
        <v>69.400000000000006</v>
      </c>
      <c r="G16" s="25" cm="1">
        <f t="array" ref="G16">INDEX(CourseRatings[Slope], MATCH(1, (CourseRatings[Course]=C16)*(CourseRatings[Tees]=D16), 0))</f>
        <v>125</v>
      </c>
      <c r="H16" s="25">
        <f>(E16-F16)*113/G16</f>
        <v>8.6783999999999946</v>
      </c>
    </row>
    <row r="17" spans="1:8" x14ac:dyDescent="0.25">
      <c r="A17" s="20" t="s">
        <v>126</v>
      </c>
      <c r="B17" s="22">
        <v>45653</v>
      </c>
      <c r="C17" s="23" t="s">
        <v>2</v>
      </c>
      <c r="D17" s="23" t="s">
        <v>34</v>
      </c>
      <c r="E17" s="23">
        <v>80</v>
      </c>
      <c r="F17" s="23" cm="1">
        <f t="array" ref="F17">INDEX(CourseRatings[Rating], MATCH(1, (CourseRatings[Course]=C17)*(CourseRatings[Tees]=D17), 0))</f>
        <v>72.400000000000006</v>
      </c>
      <c r="G17" s="23" cm="1">
        <f t="array" ref="G17">INDEX(CourseRatings[Slope], MATCH(1, (CourseRatings[Course]=C17)*(CourseRatings[Tees]=D17), 0))</f>
        <v>97.2</v>
      </c>
      <c r="H17" s="23">
        <f>(E17-F17)*113/G17</f>
        <v>8.8353909465020504</v>
      </c>
    </row>
    <row r="18" spans="1:8" x14ac:dyDescent="0.25">
      <c r="A18" s="51" t="s">
        <v>130</v>
      </c>
      <c r="B18" s="56">
        <v>45172</v>
      </c>
      <c r="C18" s="57" t="s">
        <v>3</v>
      </c>
      <c r="D18" s="57" t="s">
        <v>34</v>
      </c>
      <c r="E18" s="57">
        <v>82</v>
      </c>
      <c r="F18" s="57" cm="1">
        <f t="array" ref="F18">INDEX(CourseRatings[Rating], MATCH(1, (CourseRatings[Course]=C18)*(CourseRatings[Tees]=D18), 0))</f>
        <v>70.2</v>
      </c>
      <c r="G18" s="57" cm="1">
        <f t="array" ref="G18">INDEX(CourseRatings[Slope], MATCH(1, (CourseRatings[Course]=C18)*(CourseRatings[Tees]=D18), 0))</f>
        <v>129</v>
      </c>
      <c r="H18" s="57">
        <f>(E18-F18)*113/G18</f>
        <v>10.336434108527129</v>
      </c>
    </row>
    <row r="19" spans="1:8" x14ac:dyDescent="0.25">
      <c r="A19" s="20" t="s">
        <v>126</v>
      </c>
      <c r="B19" s="22">
        <v>45502</v>
      </c>
      <c r="C19" s="23" t="s">
        <v>3</v>
      </c>
      <c r="D19" s="23" t="s">
        <v>34</v>
      </c>
      <c r="E19" s="23">
        <v>83</v>
      </c>
      <c r="F19" s="23" cm="1">
        <f t="array" ref="F19">INDEX(CourseRatings[Rating], MATCH(1, (CourseRatings[Course]=C19)*(CourseRatings[Tees]=D19), 0))</f>
        <v>70.2</v>
      </c>
      <c r="G19" s="23" cm="1">
        <f t="array" ref="G19">INDEX(CourseRatings[Slope], MATCH(1, (CourseRatings[Course]=C19)*(CourseRatings[Tees]=D19), 0))</f>
        <v>129</v>
      </c>
      <c r="H19" s="23">
        <f>(E19-F19)*113/G19</f>
        <v>11.212403100775191</v>
      </c>
    </row>
    <row r="20" spans="1:8" x14ac:dyDescent="0.25">
      <c r="A20" s="20" t="s">
        <v>126</v>
      </c>
      <c r="B20" s="22">
        <v>45886</v>
      </c>
      <c r="C20" s="23" t="s">
        <v>41</v>
      </c>
      <c r="D20" s="23" t="s">
        <v>34</v>
      </c>
      <c r="E20" s="23">
        <v>83</v>
      </c>
      <c r="F20" s="23" cm="1">
        <f t="array" ref="F20">INDEX(CourseRatings[Rating], MATCH(1, (CourseRatings[Course]=C20)*(CourseRatings[Tees]=D20), 0))</f>
        <v>70.5</v>
      </c>
      <c r="G20" s="23" cm="1">
        <f t="array" ref="G20">INDEX(CourseRatings[Slope], MATCH(1, (CourseRatings[Course]=C20)*(CourseRatings[Tees]=D20), 0))</f>
        <v>125</v>
      </c>
      <c r="H20" s="23">
        <f>(E20-F20)*113/G20</f>
        <v>11.3</v>
      </c>
    </row>
    <row r="21" spans="1:8" x14ac:dyDescent="0.25">
      <c r="A21" s="20" t="s">
        <v>126</v>
      </c>
      <c r="B21" s="22">
        <v>45492</v>
      </c>
      <c r="C21" s="23" t="s">
        <v>6</v>
      </c>
      <c r="D21" s="23" t="s">
        <v>34</v>
      </c>
      <c r="E21" s="23">
        <v>83</v>
      </c>
      <c r="F21" s="23" cm="1">
        <f t="array" ref="F21">INDEX(CourseRatings[Rating], MATCH(1, (CourseRatings[Course]=C21)*(CourseRatings[Tees]=D21), 0))</f>
        <v>69.599999999999994</v>
      </c>
      <c r="G21" s="23" cm="1">
        <f t="array" ref="G21">INDEX(CourseRatings[Slope], MATCH(1, (CourseRatings[Course]=C21)*(CourseRatings[Tees]=D21), 0))</f>
        <v>125</v>
      </c>
      <c r="H21" s="23">
        <f>(E21-F21)*113/G21</f>
        <v>12.113600000000005</v>
      </c>
    </row>
    <row r="22" spans="1:8" x14ac:dyDescent="0.25">
      <c r="A22" s="20" t="s">
        <v>126</v>
      </c>
      <c r="B22" s="24">
        <v>45655</v>
      </c>
      <c r="C22" s="25" t="s">
        <v>4</v>
      </c>
      <c r="D22" s="25" t="s">
        <v>34</v>
      </c>
      <c r="E22" s="25">
        <v>85</v>
      </c>
      <c r="F22" s="25" cm="1">
        <f t="array" ref="F22">INDEX(CourseRatings[Rating], MATCH(1, (CourseRatings[Course]=C22)*(CourseRatings[Tees]=D22), 0))</f>
        <v>71.3</v>
      </c>
      <c r="G22" s="25" cm="1">
        <f t="array" ref="G22">INDEX(CourseRatings[Slope], MATCH(1, (CourseRatings[Course]=C22)*(CourseRatings[Tees]=D22), 0))</f>
        <v>127</v>
      </c>
      <c r="H22" s="25">
        <f>(E22-F22)*113/G22</f>
        <v>12.189763779527562</v>
      </c>
    </row>
    <row r="23" spans="1:8" x14ac:dyDescent="0.25">
      <c r="A23" s="78" t="s">
        <v>130</v>
      </c>
      <c r="B23" s="81">
        <v>45136</v>
      </c>
      <c r="C23" s="82" t="s">
        <v>5</v>
      </c>
      <c r="D23" s="82" t="s">
        <v>34</v>
      </c>
      <c r="E23" s="82">
        <v>87</v>
      </c>
      <c r="F23" s="82" cm="1">
        <f t="array" ref="F23">INDEX(CourseRatings[Rating], MATCH(1, (CourseRatings[Course]=C23)*(CourseRatings[Tees]=D23), 0))</f>
        <v>72.3</v>
      </c>
      <c r="G23" s="82" cm="1">
        <f t="array" ref="G23">INDEX(CourseRatings[Slope], MATCH(1, (CourseRatings[Course]=C23)*(CourseRatings[Tees]=D23), 0))</f>
        <v>130</v>
      </c>
      <c r="H23" s="82">
        <f>(E23-F23)*113/G23</f>
        <v>12.777692307692311</v>
      </c>
    </row>
    <row r="24" spans="1:8" x14ac:dyDescent="0.25">
      <c r="A24" s="20" t="s">
        <v>126</v>
      </c>
      <c r="B24" s="24">
        <v>45892</v>
      </c>
      <c r="C24" s="25" t="s">
        <v>41</v>
      </c>
      <c r="D24" s="25" t="s">
        <v>34</v>
      </c>
      <c r="E24" s="25">
        <v>85</v>
      </c>
      <c r="F24" s="25" cm="1">
        <f t="array" ref="F24">INDEX(CourseRatings[Rating], MATCH(1, (CourseRatings[Course]=C24)*(CourseRatings[Tees]=D24), 0))</f>
        <v>70.5</v>
      </c>
      <c r="G24" s="25" cm="1">
        <f t="array" ref="G24">INDEX(CourseRatings[Slope], MATCH(1, (CourseRatings[Course]=C24)*(CourseRatings[Tees]=D24), 0))</f>
        <v>125</v>
      </c>
      <c r="H24" s="25">
        <f>(E24-F24)*113/G24</f>
        <v>13.108000000000001</v>
      </c>
    </row>
    <row r="25" spans="1:8" x14ac:dyDescent="0.25">
      <c r="A25" s="51" t="s">
        <v>130</v>
      </c>
      <c r="B25" s="56">
        <v>45857</v>
      </c>
      <c r="C25" s="57" t="s">
        <v>3</v>
      </c>
      <c r="D25" s="57" t="s">
        <v>36</v>
      </c>
      <c r="E25" s="57">
        <v>84</v>
      </c>
      <c r="F25" s="57" cm="1">
        <f t="array" ref="F25">INDEX(CourseRatings[Rating], MATCH(1, (CourseRatings[Course]=C25)*(CourseRatings[Tees]=D25), 0))</f>
        <v>69.400000000000006</v>
      </c>
      <c r="G25" s="57" cm="1">
        <f t="array" ref="G25">INDEX(CourseRatings[Slope], MATCH(1, (CourseRatings[Course]=C25)*(CourseRatings[Tees]=D25), 0))</f>
        <v>125</v>
      </c>
      <c r="H25" s="57">
        <f>(E25-F25)*113/G25</f>
        <v>13.198399999999994</v>
      </c>
    </row>
    <row r="26" spans="1:8" x14ac:dyDescent="0.25">
      <c r="A26" s="78" t="s">
        <v>130</v>
      </c>
      <c r="B26" s="81">
        <v>45143</v>
      </c>
      <c r="C26" s="82" t="s">
        <v>9</v>
      </c>
      <c r="D26" s="82" t="s">
        <v>34</v>
      </c>
      <c r="E26" s="82">
        <v>84</v>
      </c>
      <c r="F26" s="82" cm="1">
        <f t="array" ref="F26">INDEX(CourseRatings[Rating], MATCH(1, (CourseRatings[Course]=C26)*(CourseRatings[Tees]=D26), 0))</f>
        <v>69.599999999999994</v>
      </c>
      <c r="G26" s="82" cm="1">
        <f t="array" ref="G26">INDEX(CourseRatings[Slope], MATCH(1, (CourseRatings[Course]=C26)*(CourseRatings[Tees]=D26), 0))</f>
        <v>120</v>
      </c>
      <c r="H26" s="82">
        <f>(E26-F26)*113/G26</f>
        <v>13.560000000000006</v>
      </c>
    </row>
    <row r="27" spans="1:8" x14ac:dyDescent="0.25">
      <c r="A27" s="20" t="s">
        <v>126</v>
      </c>
      <c r="B27" s="24">
        <v>45514</v>
      </c>
      <c r="C27" s="25" t="s">
        <v>6</v>
      </c>
      <c r="D27" s="25" t="s">
        <v>34</v>
      </c>
      <c r="E27" s="25">
        <v>85</v>
      </c>
      <c r="F27" s="25" cm="1">
        <f t="array" ref="F27">INDEX(CourseRatings[Rating], MATCH(1, (CourseRatings[Course]=C27)*(CourseRatings[Tees]=D27), 0))</f>
        <v>69.599999999999994</v>
      </c>
      <c r="G27" s="25" cm="1">
        <f t="array" ref="G27">INDEX(CourseRatings[Slope], MATCH(1, (CourseRatings[Course]=C27)*(CourseRatings[Tees]=D27), 0))</f>
        <v>125</v>
      </c>
      <c r="H27" s="25">
        <f>(E27-F27)*113/G27</f>
        <v>13.921600000000005</v>
      </c>
    </row>
    <row r="28" spans="1:8" x14ac:dyDescent="0.25">
      <c r="A28" s="51" t="s">
        <v>130</v>
      </c>
      <c r="B28" s="56">
        <v>45844</v>
      </c>
      <c r="C28" s="57" t="s">
        <v>3</v>
      </c>
      <c r="D28" s="57" t="s">
        <v>36</v>
      </c>
      <c r="E28" s="57">
        <v>85</v>
      </c>
      <c r="F28" s="57" cm="1">
        <f t="array" ref="F28">INDEX(CourseRatings[Rating], MATCH(1, (CourseRatings[Course]=C28)*(CourseRatings[Tees]=D28), 0))</f>
        <v>69.400000000000006</v>
      </c>
      <c r="G28" s="57" cm="1">
        <f t="array" ref="G28">INDEX(CourseRatings[Slope], MATCH(1, (CourseRatings[Course]=C28)*(CourseRatings[Tees]=D28), 0))</f>
        <v>125</v>
      </c>
      <c r="H28" s="57">
        <f>(E28-F28)*113/G28</f>
        <v>14.102399999999994</v>
      </c>
    </row>
    <row r="29" spans="1:8" x14ac:dyDescent="0.25">
      <c r="A29" s="51" t="s">
        <v>130</v>
      </c>
      <c r="B29" s="56">
        <v>45829</v>
      </c>
      <c r="C29" s="57" t="s">
        <v>6</v>
      </c>
      <c r="D29" s="57" t="s">
        <v>36</v>
      </c>
      <c r="E29" s="57">
        <v>83</v>
      </c>
      <c r="F29" s="57" cm="1">
        <f t="array" ref="F29">INDEX(CourseRatings[Rating], MATCH(1, (CourseRatings[Course]=C29)*(CourseRatings[Tees]=D29), 0))</f>
        <v>67.5</v>
      </c>
      <c r="G29" s="57" cm="1">
        <f t="array" ref="G29">INDEX(CourseRatings[Slope], MATCH(1, (CourseRatings[Course]=C29)*(CourseRatings[Tees]=D29), 0))</f>
        <v>121</v>
      </c>
      <c r="H29" s="57">
        <f>(E29-F29)*113/G29</f>
        <v>14.475206611570249</v>
      </c>
    </row>
    <row r="30" spans="1:8" x14ac:dyDescent="0.25">
      <c r="A30" s="20" t="s">
        <v>126</v>
      </c>
      <c r="B30" s="24">
        <v>45172</v>
      </c>
      <c r="C30" s="25" t="s">
        <v>3</v>
      </c>
      <c r="D30" s="25" t="s">
        <v>34</v>
      </c>
      <c r="E30" s="25">
        <v>87</v>
      </c>
      <c r="F30" s="25" cm="1">
        <f t="array" ref="F30">INDEX(CourseRatings[Rating], MATCH(1, (CourseRatings[Course]=C30)*(CourseRatings[Tees]=D30), 0))</f>
        <v>70.2</v>
      </c>
      <c r="G30" s="25" cm="1">
        <f t="array" ref="G30">INDEX(CourseRatings[Slope], MATCH(1, (CourseRatings[Course]=C30)*(CourseRatings[Tees]=D30), 0))</f>
        <v>129</v>
      </c>
      <c r="H30" s="25">
        <f>(E30-F30)*113/G30</f>
        <v>14.716279069767438</v>
      </c>
    </row>
    <row r="31" spans="1:8" x14ac:dyDescent="0.25">
      <c r="A31" s="20" t="s">
        <v>126</v>
      </c>
      <c r="B31" s="22">
        <v>45136</v>
      </c>
      <c r="C31" s="23" t="s">
        <v>5</v>
      </c>
      <c r="D31" s="23" t="s">
        <v>34</v>
      </c>
      <c r="E31" s="23">
        <v>90</v>
      </c>
      <c r="F31" s="23" cm="1">
        <f t="array" ref="F31">INDEX(CourseRatings[Rating], MATCH(1, (CourseRatings[Course]=C31)*(CourseRatings[Tees]=D31), 0))</f>
        <v>72.3</v>
      </c>
      <c r="G31" s="23" cm="1">
        <f t="array" ref="G31">INDEX(CourseRatings[Slope], MATCH(1, (CourseRatings[Course]=C31)*(CourseRatings[Tees]=D31), 0))</f>
        <v>130</v>
      </c>
      <c r="H31" s="23">
        <f>(E31-F31)*113/G31</f>
        <v>15.385384615384618</v>
      </c>
    </row>
    <row r="32" spans="1:8" x14ac:dyDescent="0.25">
      <c r="A32" s="20" t="s">
        <v>126</v>
      </c>
      <c r="B32" s="24">
        <v>45114</v>
      </c>
      <c r="C32" s="25" t="s">
        <v>5</v>
      </c>
      <c r="D32" s="25" t="s">
        <v>34</v>
      </c>
      <c r="E32" s="25">
        <v>90</v>
      </c>
      <c r="F32" s="25" cm="1">
        <f t="array" ref="F32">INDEX(CourseRatings[Rating], MATCH(1, (CourseRatings[Course]=C32)*(CourseRatings[Tees]=D32), 0))</f>
        <v>72.3</v>
      </c>
      <c r="G32" s="25" cm="1">
        <f t="array" ref="G32">INDEX(CourseRatings[Slope], MATCH(1, (CourseRatings[Course]=C32)*(CourseRatings[Tees]=D32), 0))</f>
        <v>130</v>
      </c>
      <c r="H32" s="25">
        <f>(E32-F32)*113/G32</f>
        <v>15.385384615384618</v>
      </c>
    </row>
    <row r="33" spans="1:8" x14ac:dyDescent="0.25">
      <c r="A33" s="20" t="s">
        <v>126</v>
      </c>
      <c r="B33" s="22">
        <v>45443</v>
      </c>
      <c r="C33" s="23" t="s">
        <v>3</v>
      </c>
      <c r="D33" s="23" t="s">
        <v>34</v>
      </c>
      <c r="E33" s="23">
        <v>88</v>
      </c>
      <c r="F33" s="23" cm="1">
        <f t="array" ref="F33">INDEX(CourseRatings[Rating], MATCH(1, (CourseRatings[Course]=C33)*(CourseRatings[Tees]=D33), 0))</f>
        <v>70.2</v>
      </c>
      <c r="G33" s="23" cm="1">
        <f t="array" ref="G33">INDEX(CourseRatings[Slope], MATCH(1, (CourseRatings[Course]=C33)*(CourseRatings[Tees]=D33), 0))</f>
        <v>129</v>
      </c>
      <c r="H33" s="23">
        <f>(E33-F33)*113/G33</f>
        <v>15.592248062015502</v>
      </c>
    </row>
    <row r="34" spans="1:8" x14ac:dyDescent="0.25">
      <c r="A34" s="51" t="s">
        <v>130</v>
      </c>
      <c r="B34" s="56">
        <v>45570</v>
      </c>
      <c r="C34" s="57" t="s">
        <v>3</v>
      </c>
      <c r="D34" s="57" t="s">
        <v>36</v>
      </c>
      <c r="E34" s="57">
        <v>87</v>
      </c>
      <c r="F34" s="57" cm="1">
        <f t="array" ref="F34">INDEX(CourseRatings[Rating], MATCH(1, (CourseRatings[Course]=C34)*(CourseRatings[Tees]=D34), 0))</f>
        <v>69.400000000000006</v>
      </c>
      <c r="G34" s="57" cm="1">
        <f t="array" ref="G34">INDEX(CourseRatings[Slope], MATCH(1, (CourseRatings[Course]=C34)*(CourseRatings[Tees]=D34), 0))</f>
        <v>125</v>
      </c>
      <c r="H34" s="57">
        <f>(E34-F34)*113/G34</f>
        <v>15.910399999999994</v>
      </c>
    </row>
    <row r="35" spans="1:8" x14ac:dyDescent="0.25">
      <c r="A35" s="51" t="s">
        <v>130</v>
      </c>
      <c r="B35" s="56">
        <v>45156</v>
      </c>
      <c r="C35" s="57" t="s">
        <v>46</v>
      </c>
      <c r="D35" s="57" t="s">
        <v>36</v>
      </c>
      <c r="E35" s="57">
        <v>89</v>
      </c>
      <c r="F35" s="57" cm="1">
        <f t="array" ref="F35">INDEX(CourseRatings[Rating], MATCH(1, (CourseRatings[Course]=C35)*(CourseRatings[Tees]=D35), 0))</f>
        <v>71.3</v>
      </c>
      <c r="G35" s="57" cm="1">
        <f t="array" ref="G35">INDEX(CourseRatings[Slope], MATCH(1, (CourseRatings[Course]=C35)*(CourseRatings[Tees]=D35), 0))</f>
        <v>124</v>
      </c>
      <c r="H35" s="57">
        <f>(E35-F35)*113/G35</f>
        <v>16.129838709677422</v>
      </c>
    </row>
    <row r="36" spans="1:8" x14ac:dyDescent="0.25">
      <c r="A36" s="20" t="s">
        <v>126</v>
      </c>
      <c r="B36" s="22">
        <v>45084</v>
      </c>
      <c r="C36" s="23" t="s">
        <v>5</v>
      </c>
      <c r="D36" s="23" t="s">
        <v>34</v>
      </c>
      <c r="E36" s="23">
        <v>91</v>
      </c>
      <c r="F36" s="23" cm="1">
        <f t="array" ref="F36">INDEX(CourseRatings[Rating], MATCH(1, (CourseRatings[Course]=C36)*(CourseRatings[Tees]=D36), 0))</f>
        <v>72.3</v>
      </c>
      <c r="G36" s="23" cm="1">
        <f t="array" ref="G36">INDEX(CourseRatings[Slope], MATCH(1, (CourseRatings[Course]=C36)*(CourseRatings[Tees]=D36), 0))</f>
        <v>130</v>
      </c>
      <c r="H36" s="23">
        <f>(E36-F36)*113/G36</f>
        <v>16.254615384615388</v>
      </c>
    </row>
    <row r="37" spans="1:8" x14ac:dyDescent="0.25">
      <c r="A37" s="20" t="s">
        <v>126</v>
      </c>
      <c r="B37" s="24">
        <v>45137</v>
      </c>
      <c r="C37" s="25" t="s">
        <v>9</v>
      </c>
      <c r="D37" s="25" t="s">
        <v>34</v>
      </c>
      <c r="E37" s="25">
        <v>87</v>
      </c>
      <c r="F37" s="25" cm="1">
        <f t="array" ref="F37">INDEX(CourseRatings[Rating], MATCH(1, (CourseRatings[Course]=C37)*(CourseRatings[Tees]=D37), 0))</f>
        <v>69.599999999999994</v>
      </c>
      <c r="G37" s="25" cm="1">
        <f t="array" ref="G37">INDEX(CourseRatings[Slope], MATCH(1, (CourseRatings[Course]=C37)*(CourseRatings[Tees]=D37), 0))</f>
        <v>120</v>
      </c>
      <c r="H37" s="25">
        <f>(E37-F37)*113/G37</f>
        <v>16.385000000000005</v>
      </c>
    </row>
    <row r="38" spans="1:8" x14ac:dyDescent="0.25">
      <c r="A38" s="51" t="s">
        <v>130</v>
      </c>
      <c r="B38" s="56">
        <v>45487</v>
      </c>
      <c r="C38" s="57" t="s">
        <v>3</v>
      </c>
      <c r="D38" s="57" t="s">
        <v>34</v>
      </c>
      <c r="E38" s="57">
        <v>89</v>
      </c>
      <c r="F38" s="57" cm="1">
        <f t="array" ref="F38">INDEX(CourseRatings[Rating], MATCH(1, (CourseRatings[Course]=C38)*(CourseRatings[Tees]=D38), 0))</f>
        <v>70.2</v>
      </c>
      <c r="G38" s="57" cm="1">
        <f t="array" ref="G38">INDEX(CourseRatings[Slope], MATCH(1, (CourseRatings[Course]=C38)*(CourseRatings[Tees]=D38), 0))</f>
        <v>129</v>
      </c>
      <c r="H38" s="57">
        <f>(E38-F38)*113/G38</f>
        <v>16.468217054263562</v>
      </c>
    </row>
    <row r="39" spans="1:8" x14ac:dyDescent="0.25">
      <c r="A39" s="20" t="s">
        <v>126</v>
      </c>
      <c r="B39" s="24">
        <v>45050</v>
      </c>
      <c r="C39" s="25" t="s">
        <v>3</v>
      </c>
      <c r="D39" s="25" t="s">
        <v>34</v>
      </c>
      <c r="E39" s="25">
        <v>89</v>
      </c>
      <c r="F39" s="25" cm="1">
        <f t="array" ref="F39">INDEX(CourseRatings[Rating], MATCH(1, (CourseRatings[Course]=C39)*(CourseRatings[Tees]=D39), 0))</f>
        <v>70.2</v>
      </c>
      <c r="G39" s="25" cm="1">
        <f t="array" ref="G39">INDEX(CourseRatings[Slope], MATCH(1, (CourseRatings[Course]=C39)*(CourseRatings[Tees]=D39), 0))</f>
        <v>129</v>
      </c>
      <c r="H39" s="25">
        <f>(E39-F39)*113/G39</f>
        <v>16.468217054263562</v>
      </c>
    </row>
    <row r="40" spans="1:8" x14ac:dyDescent="0.25">
      <c r="A40" s="20" t="s">
        <v>126</v>
      </c>
      <c r="B40" s="24">
        <v>45897</v>
      </c>
      <c r="C40" s="25" t="s">
        <v>41</v>
      </c>
      <c r="D40" s="25" t="s">
        <v>34</v>
      </c>
      <c r="E40" s="25">
        <v>89</v>
      </c>
      <c r="F40" s="25" cm="1">
        <f t="array" ref="F40">INDEX(CourseRatings[Rating], MATCH(1, (CourseRatings[Course]=C40)*(CourseRatings[Tees]=D40), 0))</f>
        <v>70.5</v>
      </c>
      <c r="G40" s="25" cm="1">
        <f t="array" ref="G40">INDEX(CourseRatings[Slope], MATCH(1, (CourseRatings[Course]=C40)*(CourseRatings[Tees]=D40), 0))</f>
        <v>125</v>
      </c>
      <c r="H40" s="25">
        <f>(E40-F40)*113/G40</f>
        <v>16.724</v>
      </c>
    </row>
    <row r="41" spans="1:8" x14ac:dyDescent="0.25">
      <c r="A41" s="51" t="s">
        <v>130</v>
      </c>
      <c r="B41" s="59">
        <v>45886</v>
      </c>
      <c r="C41" s="57" t="s">
        <v>41</v>
      </c>
      <c r="D41" s="57" t="s">
        <v>34</v>
      </c>
      <c r="E41" s="57">
        <v>89</v>
      </c>
      <c r="F41" s="57" cm="1">
        <f t="array" ref="F41">INDEX(CourseRatings[Rating], MATCH(1, (CourseRatings[Course]=C41)*(CourseRatings[Tees]=D41), 0))</f>
        <v>70.5</v>
      </c>
      <c r="G41" s="57" cm="1">
        <f t="array" ref="G41">INDEX(CourseRatings[Slope], MATCH(1, (CourseRatings[Course]=C41)*(CourseRatings[Tees]=D41), 0))</f>
        <v>125</v>
      </c>
      <c r="H41" s="57">
        <f>(E41-F41)*113/G41</f>
        <v>16.724</v>
      </c>
    </row>
    <row r="42" spans="1:8" x14ac:dyDescent="0.25">
      <c r="A42" s="20" t="s">
        <v>126</v>
      </c>
      <c r="B42" s="24">
        <v>45649</v>
      </c>
      <c r="C42" s="25" t="s">
        <v>14</v>
      </c>
      <c r="D42" s="25" t="s">
        <v>40</v>
      </c>
      <c r="E42" s="25">
        <v>88</v>
      </c>
      <c r="F42" s="25" cm="1">
        <f t="array" ref="F42">INDEX(CourseRatings[Rating], MATCH(1, (CourseRatings[Course]=C42)*(CourseRatings[Tees]=D42), 0))</f>
        <v>69.8</v>
      </c>
      <c r="G42" s="25" cm="1">
        <f t="array" ref="G42">INDEX(CourseRatings[Slope], MATCH(1, (CourseRatings[Course]=C42)*(CourseRatings[Tees]=D42), 0))</f>
        <v>122</v>
      </c>
      <c r="H42" s="25">
        <f>(E42-F42)*113/G42</f>
        <v>16.857377049180332</v>
      </c>
    </row>
    <row r="43" spans="1:8" x14ac:dyDescent="0.25">
      <c r="A43" s="20" t="s">
        <v>126</v>
      </c>
      <c r="B43" s="102">
        <v>45440</v>
      </c>
      <c r="C43" s="104" t="s">
        <v>9</v>
      </c>
      <c r="D43" s="104" t="s">
        <v>34</v>
      </c>
      <c r="E43" s="104">
        <v>88</v>
      </c>
      <c r="F43" s="104" cm="1">
        <f t="array" ref="F43">INDEX(CourseRatings[Rating], MATCH(1, (CourseRatings[Course]=C43)*(CourseRatings[Tees]=D43), 0))</f>
        <v>69.599999999999994</v>
      </c>
      <c r="G43" s="104" cm="1">
        <f t="array" ref="G43">INDEX(CourseRatings[Slope], MATCH(1, (CourseRatings[Course]=C43)*(CourseRatings[Tees]=D43), 0))</f>
        <v>120</v>
      </c>
      <c r="H43" s="104">
        <f>(E43-F43)*113/G43</f>
        <v>17.326666666666672</v>
      </c>
    </row>
    <row r="44" spans="1:8" x14ac:dyDescent="0.25">
      <c r="A44" s="20" t="s">
        <v>126</v>
      </c>
      <c r="B44" s="22">
        <v>45143</v>
      </c>
      <c r="C44" s="23" t="s">
        <v>9</v>
      </c>
      <c r="D44" s="23" t="s">
        <v>34</v>
      </c>
      <c r="E44" s="23">
        <v>88</v>
      </c>
      <c r="F44" s="23" cm="1">
        <f t="array" ref="F44">INDEX(CourseRatings[Rating], MATCH(1, (CourseRatings[Course]=C44)*(CourseRatings[Tees]=D44), 0))</f>
        <v>69.599999999999994</v>
      </c>
      <c r="G44" s="23" cm="1">
        <f t="array" ref="G44">INDEX(CourseRatings[Slope], MATCH(1, (CourseRatings[Course]=C44)*(CourseRatings[Tees]=D44), 0))</f>
        <v>120</v>
      </c>
      <c r="H44" s="23">
        <f>(E44-F44)*113/G44</f>
        <v>17.326666666666672</v>
      </c>
    </row>
    <row r="45" spans="1:8" x14ac:dyDescent="0.25">
      <c r="A45" s="51" t="s">
        <v>130</v>
      </c>
      <c r="B45" s="56">
        <v>45655</v>
      </c>
      <c r="C45" s="57" t="s">
        <v>4</v>
      </c>
      <c r="D45" s="57" t="s">
        <v>34</v>
      </c>
      <c r="E45" s="57">
        <v>91</v>
      </c>
      <c r="F45" s="57" cm="1">
        <f t="array" ref="F45">INDEX(CourseRatings[Rating], MATCH(1, (CourseRatings[Course]=C45)*(CourseRatings[Tees]=D45), 0))</f>
        <v>71.3</v>
      </c>
      <c r="G45" s="57" cm="1">
        <f t="array" ref="G45">INDEX(CourseRatings[Slope], MATCH(1, (CourseRatings[Course]=C45)*(CourseRatings[Tees]=D45), 0))</f>
        <v>127</v>
      </c>
      <c r="H45" s="57">
        <f>(E45-F45)*113/G45</f>
        <v>17.528346456692915</v>
      </c>
    </row>
    <row r="46" spans="1:8" x14ac:dyDescent="0.25">
      <c r="A46" s="20" t="s">
        <v>126</v>
      </c>
      <c r="B46" s="22">
        <v>45535</v>
      </c>
      <c r="C46" s="23" t="s">
        <v>9</v>
      </c>
      <c r="D46" s="23" t="s">
        <v>36</v>
      </c>
      <c r="E46" s="23">
        <v>87</v>
      </c>
      <c r="F46" s="23" cm="1">
        <f t="array" ref="F46">INDEX(CourseRatings[Rating], MATCH(1, (CourseRatings[Course]=C46)*(CourseRatings[Tees]=D46), 0))</f>
        <v>68.599999999999994</v>
      </c>
      <c r="G46" s="23" cm="1">
        <f t="array" ref="G46">INDEX(CourseRatings[Slope], MATCH(1, (CourseRatings[Course]=C46)*(CourseRatings[Tees]=D46), 0))</f>
        <v>118</v>
      </c>
      <c r="H46" s="23">
        <f>(E46-F46)*113/G46</f>
        <v>17.620338983050853</v>
      </c>
    </row>
    <row r="47" spans="1:8" x14ac:dyDescent="0.25">
      <c r="A47" s="51" t="s">
        <v>130</v>
      </c>
      <c r="B47" s="56">
        <v>45535</v>
      </c>
      <c r="C47" s="57" t="s">
        <v>9</v>
      </c>
      <c r="D47" s="57" t="s">
        <v>36</v>
      </c>
      <c r="E47" s="57">
        <v>87</v>
      </c>
      <c r="F47" s="57" cm="1">
        <f t="array" ref="F47">INDEX(CourseRatings[Rating], MATCH(1, (CourseRatings[Course]=C47)*(CourseRatings[Tees]=D47), 0))</f>
        <v>68.599999999999994</v>
      </c>
      <c r="G47" s="57" cm="1">
        <f t="array" ref="G47">INDEX(CourseRatings[Slope], MATCH(1, (CourseRatings[Course]=C47)*(CourseRatings[Tees]=D47), 0))</f>
        <v>118</v>
      </c>
      <c r="H47" s="57">
        <f>(E47-F47)*113/G47</f>
        <v>17.620338983050853</v>
      </c>
    </row>
    <row r="48" spans="1:8" x14ac:dyDescent="0.25">
      <c r="A48" s="51" t="s">
        <v>130</v>
      </c>
      <c r="B48" s="59">
        <v>45897</v>
      </c>
      <c r="C48" s="57" t="s">
        <v>41</v>
      </c>
      <c r="D48" s="57" t="s">
        <v>34</v>
      </c>
      <c r="E48" s="57">
        <v>90</v>
      </c>
      <c r="F48" s="57" cm="1">
        <f t="array" ref="F48">INDEX(CourseRatings[Rating], MATCH(1, (CourseRatings[Course]=C48)*(CourseRatings[Tees]=D48), 0))</f>
        <v>70.5</v>
      </c>
      <c r="G48" s="57" cm="1">
        <f t="array" ref="G48">INDEX(CourseRatings[Slope], MATCH(1, (CourseRatings[Course]=C48)*(CourseRatings[Tees]=D48), 0))</f>
        <v>125</v>
      </c>
      <c r="H48" s="57">
        <f>(E48-F48)*113/G48</f>
        <v>17.628</v>
      </c>
    </row>
    <row r="49" spans="1:8" x14ac:dyDescent="0.25">
      <c r="A49" s="51" t="s">
        <v>130</v>
      </c>
      <c r="B49" s="56">
        <v>45892</v>
      </c>
      <c r="C49" s="57" t="s">
        <v>41</v>
      </c>
      <c r="D49" s="57" t="s">
        <v>34</v>
      </c>
      <c r="E49" s="57">
        <v>90</v>
      </c>
      <c r="F49" s="57" cm="1">
        <f t="array" ref="F49">INDEX(CourseRatings[Rating], MATCH(1, (CourseRatings[Course]=C49)*(CourseRatings[Tees]=D49), 0))</f>
        <v>70.5</v>
      </c>
      <c r="G49" s="57" cm="1">
        <f t="array" ref="G49">INDEX(CourseRatings[Slope], MATCH(1, (CourseRatings[Course]=C49)*(CourseRatings[Tees]=D49), 0))</f>
        <v>125</v>
      </c>
      <c r="H49" s="57">
        <f>(E49-F49)*113/G49</f>
        <v>17.628</v>
      </c>
    </row>
    <row r="50" spans="1:8" x14ac:dyDescent="0.25">
      <c r="A50" s="20" t="s">
        <v>126</v>
      </c>
      <c r="B50" s="22">
        <v>45156</v>
      </c>
      <c r="C50" s="23" t="s">
        <v>46</v>
      </c>
      <c r="D50" s="23" t="s">
        <v>36</v>
      </c>
      <c r="E50" s="23">
        <v>91</v>
      </c>
      <c r="F50" s="23" cm="1">
        <f t="array" ref="F50">INDEX(CourseRatings[Rating], MATCH(1, (CourseRatings[Course]=C50)*(CourseRatings[Tees]=D50), 0))</f>
        <v>71.3</v>
      </c>
      <c r="G50" s="23" cm="1">
        <f t="array" ref="G50">INDEX(CourseRatings[Slope], MATCH(1, (CourseRatings[Course]=C50)*(CourseRatings[Tees]=D50), 0))</f>
        <v>124</v>
      </c>
      <c r="H50" s="23">
        <f>(E50-F50)*113/G50</f>
        <v>17.952419354838714</v>
      </c>
    </row>
    <row r="51" spans="1:8" ht="15.95" customHeight="1" x14ac:dyDescent="0.25">
      <c r="A51" s="20" t="s">
        <v>126</v>
      </c>
      <c r="B51" s="22">
        <v>45434</v>
      </c>
      <c r="C51" s="23" t="s">
        <v>9</v>
      </c>
      <c r="D51" s="23" t="s">
        <v>34</v>
      </c>
      <c r="E51" s="23">
        <v>89</v>
      </c>
      <c r="F51" s="23" cm="1">
        <f t="array" ref="F51">INDEX(CourseRatings[Rating], MATCH(1, (CourseRatings[Course]=C51)*(CourseRatings[Tees]=D51), 0))</f>
        <v>69.599999999999994</v>
      </c>
      <c r="G51" s="23" cm="1">
        <f t="array" ref="G51">INDEX(CourseRatings[Slope], MATCH(1, (CourseRatings[Course]=C51)*(CourseRatings[Tees]=D51), 0))</f>
        <v>120</v>
      </c>
      <c r="H51" s="23">
        <f>(E51-F51)*113/G51</f>
        <v>18.268333333333338</v>
      </c>
    </row>
    <row r="52" spans="1:8" ht="15.95" customHeight="1" x14ac:dyDescent="0.25">
      <c r="A52" s="51" t="s">
        <v>130</v>
      </c>
      <c r="B52" s="56">
        <v>45514</v>
      </c>
      <c r="C52" s="57" t="s">
        <v>6</v>
      </c>
      <c r="D52" s="57" t="s">
        <v>34</v>
      </c>
      <c r="E52" s="57">
        <v>90</v>
      </c>
      <c r="F52" s="57" cm="1">
        <f t="array" ref="F52">INDEX(CourseRatings[Rating], MATCH(1, (CourseRatings[Course]=C52)*(CourseRatings[Tees]=D52), 0))</f>
        <v>69.599999999999994</v>
      </c>
      <c r="G52" s="57" cm="1">
        <f t="array" ref="G52">INDEX(CourseRatings[Slope], MATCH(1, (CourseRatings[Course]=C52)*(CourseRatings[Tees]=D52), 0))</f>
        <v>125</v>
      </c>
      <c r="H52" s="57">
        <f>(E52-F52)*113/G52</f>
        <v>18.441600000000005</v>
      </c>
    </row>
    <row r="53" spans="1:8" ht="15.95" customHeight="1" x14ac:dyDescent="0.25">
      <c r="A53" s="20" t="s">
        <v>126</v>
      </c>
      <c r="B53" s="24">
        <v>45144</v>
      </c>
      <c r="C53" s="25" t="s">
        <v>16</v>
      </c>
      <c r="D53" s="25" t="s">
        <v>36</v>
      </c>
      <c r="E53" s="25">
        <v>99</v>
      </c>
      <c r="F53" s="25" cm="1">
        <f t="array" ref="F53">INDEX(CourseRatings[Rating], MATCH(1, (CourseRatings[Course]=C53)*(CourseRatings[Tees]=D53), 0))</f>
        <v>74.599999999999994</v>
      </c>
      <c r="G53" s="25" cm="1">
        <f t="array" ref="G53">INDEX(CourseRatings[Slope], MATCH(1, (CourseRatings[Course]=C53)*(CourseRatings[Tees]=D53), 0))</f>
        <v>149</v>
      </c>
      <c r="H53" s="25">
        <f>(E53-F53)*113/G53</f>
        <v>18.504697986577185</v>
      </c>
    </row>
    <row r="54" spans="1:8" ht="15.95" customHeight="1" x14ac:dyDescent="0.25">
      <c r="A54" s="20" t="s">
        <v>126</v>
      </c>
      <c r="B54" s="22">
        <v>45048</v>
      </c>
      <c r="C54" s="23" t="s">
        <v>5</v>
      </c>
      <c r="D54" s="23" t="s">
        <v>34</v>
      </c>
      <c r="E54" s="23">
        <v>94</v>
      </c>
      <c r="F54" s="23" cm="1">
        <f t="array" ref="F54">INDEX(CourseRatings[Rating], MATCH(1, (CourseRatings[Course]=C54)*(CourseRatings[Tees]=D54), 0))</f>
        <v>72.3</v>
      </c>
      <c r="G54" s="23" cm="1">
        <f t="array" ref="G54">INDEX(CourseRatings[Slope], MATCH(1, (CourseRatings[Course]=C54)*(CourseRatings[Tees]=D54), 0))</f>
        <v>130</v>
      </c>
      <c r="H54" s="23">
        <f>(E54-F54)*113/G54</f>
        <v>18.862307692307695</v>
      </c>
    </row>
    <row r="55" spans="1:8" ht="15.95" customHeight="1" x14ac:dyDescent="0.25">
      <c r="A55" s="20" t="s">
        <v>126</v>
      </c>
      <c r="B55" s="24">
        <v>45053</v>
      </c>
      <c r="C55" s="25" t="s">
        <v>3</v>
      </c>
      <c r="D55" s="25" t="s">
        <v>34</v>
      </c>
      <c r="E55" s="25">
        <v>92</v>
      </c>
      <c r="F55" s="25" cm="1">
        <f t="array" ref="F55">INDEX(CourseRatings[Rating], MATCH(1, (CourseRatings[Course]=C55)*(CourseRatings[Tees]=D55), 0))</f>
        <v>70.2</v>
      </c>
      <c r="G55" s="25" cm="1">
        <f t="array" ref="G55">INDEX(CourseRatings[Slope], MATCH(1, (CourseRatings[Course]=C55)*(CourseRatings[Tees]=D55), 0))</f>
        <v>129</v>
      </c>
      <c r="H55" s="25">
        <f>(E55-F55)*113/G55</f>
        <v>19.096124031007751</v>
      </c>
    </row>
    <row r="56" spans="1:8" ht="15.95" customHeight="1" x14ac:dyDescent="0.25">
      <c r="A56" s="68" t="s">
        <v>130</v>
      </c>
      <c r="B56" s="71">
        <v>45941</v>
      </c>
      <c r="C56" s="72" t="s">
        <v>12</v>
      </c>
      <c r="D56" s="72" t="s">
        <v>36</v>
      </c>
      <c r="E56" s="72">
        <v>91</v>
      </c>
      <c r="F56" s="72" cm="1">
        <f t="array" ref="F56">INDEX(CourseRatings[Rating], MATCH(1, (CourseRatings[Course]=C56)*(CourseRatings[Tees]=D56), 0))</f>
        <v>69.2</v>
      </c>
      <c r="G56" s="72" cm="1">
        <f t="array" ref="G56">INDEX(CourseRatings[Slope], MATCH(1, (CourseRatings[Course]=C56)*(CourseRatings[Tees]=D56), 0))</f>
        <v>127</v>
      </c>
      <c r="H56" s="72">
        <f>(E56-F56)*113/G56</f>
        <v>19.396850393700785</v>
      </c>
    </row>
    <row r="57" spans="1:8" ht="15.95" customHeight="1" x14ac:dyDescent="0.25">
      <c r="A57" s="68" t="s">
        <v>126</v>
      </c>
      <c r="B57" s="71">
        <v>45941</v>
      </c>
      <c r="C57" s="72" t="s">
        <v>12</v>
      </c>
      <c r="D57" s="72" t="s">
        <v>36</v>
      </c>
      <c r="E57" s="72">
        <v>91</v>
      </c>
      <c r="F57" s="72" cm="1">
        <f t="array" ref="F57">INDEX(CourseRatings[Rating], MATCH(1, (CourseRatings[Course]=C57)*(CourseRatings[Tees]=D57), 0))</f>
        <v>69.2</v>
      </c>
      <c r="G57" s="72" cm="1">
        <f t="array" ref="G57">INDEX(CourseRatings[Slope], MATCH(1, (CourseRatings[Course]=C57)*(CourseRatings[Tees]=D57), 0))</f>
        <v>127</v>
      </c>
      <c r="H57" s="72">
        <f>(E57-F57)*113/G57</f>
        <v>19.396850393700785</v>
      </c>
    </row>
    <row r="58" spans="1:8" ht="15.95" customHeight="1" x14ac:dyDescent="0.25">
      <c r="A58" s="51" t="s">
        <v>130</v>
      </c>
      <c r="B58" s="56">
        <v>45649</v>
      </c>
      <c r="C58" s="57" t="s">
        <v>14</v>
      </c>
      <c r="D58" s="57" t="s">
        <v>40</v>
      </c>
      <c r="E58" s="57">
        <v>91</v>
      </c>
      <c r="F58" s="57" cm="1">
        <f t="array" ref="F58">INDEX(CourseRatings[Rating], MATCH(1, (CourseRatings[Course]=C58)*(CourseRatings[Tees]=D58), 0))</f>
        <v>69.8</v>
      </c>
      <c r="G58" s="57" cm="1">
        <f t="array" ref="G58">INDEX(CourseRatings[Slope], MATCH(1, (CourseRatings[Course]=C58)*(CourseRatings[Tees]=D58), 0))</f>
        <v>122</v>
      </c>
      <c r="H58" s="57">
        <f>(E58-F58)*113/G58</f>
        <v>19.636065573770495</v>
      </c>
    </row>
    <row r="59" spans="1:8" x14ac:dyDescent="0.25">
      <c r="A59" s="20" t="s">
        <v>126</v>
      </c>
      <c r="B59" s="22">
        <v>45894</v>
      </c>
      <c r="C59" s="23" t="s">
        <v>11</v>
      </c>
      <c r="D59" s="23" t="s">
        <v>34</v>
      </c>
      <c r="E59" s="23">
        <v>95</v>
      </c>
      <c r="F59" s="23" cm="1">
        <f t="array" ref="F59">INDEX(CourseRatings[Rating], MATCH(1, (CourseRatings[Course]=C59)*(CourseRatings[Tees]=D59), 0))</f>
        <v>69.5</v>
      </c>
      <c r="G59" s="23" cm="1">
        <f t="array" ref="G59">INDEX(CourseRatings[Slope], MATCH(1, (CourseRatings[Course]=C59)*(CourseRatings[Tees]=D59), 0))</f>
        <v>131</v>
      </c>
      <c r="H59" s="23">
        <f>(E59-F59)*113/G59</f>
        <v>21.996183206106871</v>
      </c>
    </row>
    <row r="60" spans="1:8" x14ac:dyDescent="0.25">
      <c r="A60" s="20" t="s">
        <v>126</v>
      </c>
      <c r="B60" s="24">
        <v>45453</v>
      </c>
      <c r="C60" s="25" t="s">
        <v>11</v>
      </c>
      <c r="D60" s="25" t="s">
        <v>34</v>
      </c>
      <c r="E60" s="25">
        <v>95</v>
      </c>
      <c r="F60" s="25" cm="1">
        <f t="array" ref="F60">INDEX(CourseRatings[Rating], MATCH(1, (CourseRatings[Course]=C60)*(CourseRatings[Tees]=D60), 0))</f>
        <v>69.5</v>
      </c>
      <c r="G60" s="25" cm="1">
        <f t="array" ref="G60">INDEX(CourseRatings[Slope], MATCH(1, (CourseRatings[Course]=C60)*(CourseRatings[Tees]=D60), 0))</f>
        <v>131</v>
      </c>
      <c r="H60" s="25">
        <f>(E60-F60)*113/G60</f>
        <v>21.996183206106871</v>
      </c>
    </row>
    <row r="61" spans="1:8" x14ac:dyDescent="0.25">
      <c r="A61" s="51" t="s">
        <v>130</v>
      </c>
      <c r="B61" s="56">
        <v>45653</v>
      </c>
      <c r="C61" s="23" t="s">
        <v>2</v>
      </c>
      <c r="D61" s="57" t="s">
        <v>34</v>
      </c>
      <c r="E61" s="57">
        <v>92</v>
      </c>
      <c r="F61" s="57" cm="1">
        <f t="array" ref="F61">INDEX(CourseRatings[Rating], MATCH(1, (CourseRatings[Course]=C61)*(CourseRatings[Tees]=D61), 0))</f>
        <v>72.400000000000006</v>
      </c>
      <c r="G61" s="57" cm="1">
        <f t="array" ref="G61">INDEX(CourseRatings[Slope], MATCH(1, (CourseRatings[Course]=C61)*(CourseRatings[Tees]=D61), 0))</f>
        <v>97.2</v>
      </c>
      <c r="H61" s="57">
        <f>(E61-F61)*113/G61</f>
        <v>22.786008230452666</v>
      </c>
    </row>
    <row r="62" spans="1:8" x14ac:dyDescent="0.25">
      <c r="A62" s="20" t="s">
        <v>126</v>
      </c>
      <c r="B62" s="22">
        <v>45053</v>
      </c>
      <c r="C62" s="23" t="s">
        <v>9</v>
      </c>
      <c r="D62" s="23" t="s">
        <v>34</v>
      </c>
      <c r="E62" s="23">
        <v>94</v>
      </c>
      <c r="F62" s="23" cm="1">
        <f t="array" ref="F62">INDEX(CourseRatings[Rating], MATCH(1, (CourseRatings[Course]=C62)*(CourseRatings[Tees]=D62), 0))</f>
        <v>69.599999999999994</v>
      </c>
      <c r="G62" s="23" cm="1">
        <f t="array" ref="G62">INDEX(CourseRatings[Slope], MATCH(1, (CourseRatings[Course]=C62)*(CourseRatings[Tees]=D62), 0))</f>
        <v>120</v>
      </c>
      <c r="H62" s="23">
        <f>(E62-F62)*113/G62</f>
        <v>22.976666666666674</v>
      </c>
    </row>
    <row r="63" spans="1:8" x14ac:dyDescent="0.25">
      <c r="A63" s="20" t="s">
        <v>126</v>
      </c>
      <c r="B63" s="22">
        <v>45465</v>
      </c>
      <c r="C63" s="23" t="s">
        <v>12</v>
      </c>
      <c r="D63" s="23" t="s">
        <v>34</v>
      </c>
      <c r="E63" s="23">
        <v>99</v>
      </c>
      <c r="F63" s="23" cm="1">
        <f t="array" ref="F63">INDEX(CourseRatings[Rating], MATCH(1, (CourseRatings[Course]=C63)*(CourseRatings[Tees]=D63), 0))</f>
        <v>71.3</v>
      </c>
      <c r="G63" s="23" cm="1">
        <f t="array" ref="G63">INDEX(CourseRatings[Slope], MATCH(1, (CourseRatings[Course]=C63)*(CourseRatings[Tees]=D63), 0))</f>
        <v>136</v>
      </c>
      <c r="H63" s="23">
        <f>(E63-F63)*113/G63</f>
        <v>23.015441176470592</v>
      </c>
    </row>
    <row r="64" spans="1:8" x14ac:dyDescent="0.25">
      <c r="A64" s="51" t="s">
        <v>130</v>
      </c>
      <c r="B64" s="56">
        <v>45465</v>
      </c>
      <c r="C64" s="57" t="s">
        <v>12</v>
      </c>
      <c r="D64" s="57" t="s">
        <v>34</v>
      </c>
      <c r="E64" s="57">
        <v>99</v>
      </c>
      <c r="F64" s="57" cm="1">
        <f t="array" ref="F64">INDEX(CourseRatings[Rating], MATCH(1, (CourseRatings[Course]=C64)*(CourseRatings[Tees]=D64), 0))</f>
        <v>71.3</v>
      </c>
      <c r="G64" s="57" cm="1">
        <f t="array" ref="G64">INDEX(CourseRatings[Slope], MATCH(1, (CourseRatings[Course]=C64)*(CourseRatings[Tees]=D64), 0))</f>
        <v>136</v>
      </c>
      <c r="H64" s="57">
        <f>(E64-F64)*113/G64</f>
        <v>23.015441176470592</v>
      </c>
    </row>
    <row r="65" spans="1:8" x14ac:dyDescent="0.25">
      <c r="A65" s="43" t="s">
        <v>127</v>
      </c>
      <c r="B65" s="46">
        <v>45520</v>
      </c>
      <c r="C65" s="47" t="s">
        <v>46</v>
      </c>
      <c r="D65" s="47" t="s">
        <v>36</v>
      </c>
      <c r="E65" s="47">
        <v>98</v>
      </c>
      <c r="F65" s="47" cm="1">
        <f t="array" ref="F65">INDEX(CourseRatings[Rating], MATCH(1, (CourseRatings[Course]=C65)*(CourseRatings[Tees]=D65), 0))</f>
        <v>71.3</v>
      </c>
      <c r="G65" s="47" cm="1">
        <f t="array" ref="G65">INDEX(CourseRatings[Slope], MATCH(1, (CourseRatings[Course]=C65)*(CourseRatings[Tees]=D65), 0))</f>
        <v>124</v>
      </c>
      <c r="H65" s="47">
        <f>(E65-F65)*113/G65</f>
        <v>24.33145161290323</v>
      </c>
    </row>
    <row r="66" spans="1:8" x14ac:dyDescent="0.25">
      <c r="A66" s="43" t="s">
        <v>127</v>
      </c>
      <c r="B66" s="46">
        <v>45492</v>
      </c>
      <c r="C66" s="47" t="s">
        <v>6</v>
      </c>
      <c r="D66" s="47" t="s">
        <v>34</v>
      </c>
      <c r="E66" s="47">
        <v>104</v>
      </c>
      <c r="F66" s="47" cm="1">
        <f t="array" ref="F66">INDEX(CourseRatings[Rating], MATCH(1, (CourseRatings[Course]=C66)*(CourseRatings[Tees]=D66), 0))</f>
        <v>69.599999999999994</v>
      </c>
      <c r="G66" s="47" cm="1">
        <f t="array" ref="G66">INDEX(CourseRatings[Slope], MATCH(1, (CourseRatings[Course]=C66)*(CourseRatings[Tees]=D66), 0))</f>
        <v>125</v>
      </c>
      <c r="H66" s="47">
        <f>(E66-F66)*113/G66</f>
        <v>31.097600000000007</v>
      </c>
    </row>
    <row r="67" spans="1:8" x14ac:dyDescent="0.25">
      <c r="A67" s="35" t="s">
        <v>127</v>
      </c>
      <c r="B67" s="41">
        <v>45853</v>
      </c>
      <c r="C67" s="42" t="s">
        <v>128</v>
      </c>
      <c r="D67" s="42" t="s">
        <v>36</v>
      </c>
      <c r="E67" s="42">
        <v>109</v>
      </c>
      <c r="F67" s="42" cm="1">
        <f t="array" ref="F67">INDEX(CourseRatings[Rating], MATCH(1, (CourseRatings[Course]=C67)*(CourseRatings[Tees]=D67), 0))</f>
        <v>70.400000000000006</v>
      </c>
      <c r="G67" s="42" cm="1">
        <f t="array" ref="G67">INDEX(CourseRatings[Slope], MATCH(1, (CourseRatings[Course]=C67)*(CourseRatings[Tees]=D67), 0))</f>
        <v>130</v>
      </c>
      <c r="H67" s="42">
        <f>(E67-F67)*113/G67</f>
        <v>33.552307692307686</v>
      </c>
    </row>
    <row r="68" spans="1:8" x14ac:dyDescent="0.25">
      <c r="A68" s="43" t="s">
        <v>127</v>
      </c>
      <c r="B68" s="46">
        <v>45453</v>
      </c>
      <c r="C68" s="47" t="s">
        <v>11</v>
      </c>
      <c r="D68" s="47" t="s">
        <v>34</v>
      </c>
      <c r="E68" s="47">
        <v>109</v>
      </c>
      <c r="F68" s="47" cm="1">
        <f t="array" ref="F68">INDEX(CourseRatings[Rating], MATCH(1, (CourseRatings[Course]=C68)*(CourseRatings[Tees]=D68), 0))</f>
        <v>69.5</v>
      </c>
      <c r="G68" s="47" cm="1">
        <f t="array" ref="G68">INDEX(CourseRatings[Slope], MATCH(1, (CourseRatings[Course]=C68)*(CourseRatings[Tees]=D68), 0))</f>
        <v>131</v>
      </c>
      <c r="H68" s="47">
        <f>(E68-F68)*113/G68</f>
        <v>34.072519083969468</v>
      </c>
    </row>
    <row r="69" spans="1:8" x14ac:dyDescent="0.25">
      <c r="A69" s="35" t="s">
        <v>127</v>
      </c>
      <c r="B69" s="41">
        <v>45765</v>
      </c>
      <c r="C69" s="42" t="s">
        <v>129</v>
      </c>
      <c r="D69" s="42" t="s">
        <v>36</v>
      </c>
      <c r="E69" s="42">
        <v>111</v>
      </c>
      <c r="F69" s="42" cm="1">
        <f t="array" ref="F69">INDEX(CourseRatings[Rating], MATCH(1, (CourseRatings[Course]=C69)*(CourseRatings[Tees]=D69), 0))</f>
        <v>70.5</v>
      </c>
      <c r="G69" s="42" cm="1">
        <f t="array" ref="G69">INDEX(CourseRatings[Slope], MATCH(1, (CourseRatings[Course]=C69)*(CourseRatings[Tees]=D69), 0))</f>
        <v>132</v>
      </c>
      <c r="H69" s="42">
        <f>(E69-F69)*113/G69</f>
        <v>34.670454545454547</v>
      </c>
    </row>
    <row r="70" spans="1:8" x14ac:dyDescent="0.25">
      <c r="A70" s="20" t="s">
        <v>127</v>
      </c>
      <c r="B70" s="22">
        <v>45894</v>
      </c>
      <c r="C70" s="23" t="s">
        <v>11</v>
      </c>
      <c r="D70" s="23" t="s">
        <v>34</v>
      </c>
      <c r="E70" s="23">
        <v>112</v>
      </c>
      <c r="F70" s="23" cm="1">
        <f t="array" ref="F70">INDEX(CourseRatings[Rating], MATCH(1, (CourseRatings[Course]=C70)*(CourseRatings[Tees]=D70), 0))</f>
        <v>69.5</v>
      </c>
      <c r="G70" s="23" cm="1">
        <f t="array" ref="G70">INDEX(CourseRatings[Slope], MATCH(1, (CourseRatings[Course]=C70)*(CourseRatings[Tees]=D70), 0))</f>
        <v>131</v>
      </c>
      <c r="H70" s="23">
        <f>(E70-F70)*113/G70</f>
        <v>36.660305343511453</v>
      </c>
    </row>
    <row r="71" spans="1:8" x14ac:dyDescent="0.25">
      <c r="A71" s="20"/>
      <c r="B71" s="97"/>
      <c r="C71" s="98"/>
      <c r="D71" s="98"/>
      <c r="E71" s="98"/>
      <c r="F71" s="98"/>
      <c r="G71" s="98"/>
      <c r="H71" s="98"/>
    </row>
    <row r="72" spans="1:8" x14ac:dyDescent="0.25">
      <c r="A72" s="20"/>
      <c r="B72" s="97"/>
      <c r="C72" s="98"/>
      <c r="D72" s="98"/>
      <c r="E72" s="98"/>
      <c r="F72" s="98"/>
      <c r="G72" s="98"/>
      <c r="H72" s="98"/>
    </row>
    <row r="73" spans="1:8" x14ac:dyDescent="0.25">
      <c r="A73" s="20"/>
      <c r="B73" s="97"/>
      <c r="C73" s="98"/>
      <c r="D73" s="98"/>
      <c r="E73" s="98"/>
      <c r="F73" s="98"/>
      <c r="G73" s="98"/>
      <c r="H73" s="98"/>
    </row>
    <row r="74" spans="1:8" x14ac:dyDescent="0.25">
      <c r="A74" s="68"/>
    </row>
    <row r="75" spans="1:8" x14ac:dyDescent="0.25">
      <c r="A75" s="68" t="s">
        <v>125</v>
      </c>
      <c r="B75" t="s">
        <v>19</v>
      </c>
      <c r="C75" t="s">
        <v>24</v>
      </c>
      <c r="D75" t="s">
        <v>25</v>
      </c>
      <c r="E75" t="s">
        <v>20</v>
      </c>
      <c r="F75" t="s">
        <v>42</v>
      </c>
      <c r="G75" t="s">
        <v>43</v>
      </c>
      <c r="H75" t="s">
        <v>44</v>
      </c>
    </row>
    <row r="76" spans="1:8" x14ac:dyDescent="0.25">
      <c r="A76" s="68" t="s">
        <v>126</v>
      </c>
      <c r="B76" s="2">
        <v>45457</v>
      </c>
      <c r="C76" s="12" t="s">
        <v>38</v>
      </c>
      <c r="D76" s="12" t="s">
        <v>34</v>
      </c>
      <c r="E76">
        <v>44</v>
      </c>
      <c r="F76" cm="1">
        <f t="array" ref="F76">INDEX(CourseRatings[Rating], MATCH(1, (CourseRatings[Course]=C76)*(CourseRatings[Tees]=D76), 0))</f>
        <v>33.9</v>
      </c>
      <c r="G76" cm="1">
        <f t="array" ref="G76">INDEX(CourseRatings[Slope], MATCH(1, (CourseRatings[Course]=C76)*(CourseRatings[Tees]=D76), 0))</f>
        <v>122</v>
      </c>
      <c r="H76">
        <f>(E76-F76)*113/G76</f>
        <v>9.3549180327868875</v>
      </c>
    </row>
    <row r="77" spans="1:8" x14ac:dyDescent="0.25">
      <c r="A77" s="68" t="s">
        <v>126</v>
      </c>
      <c r="B77" s="2">
        <v>45454</v>
      </c>
      <c r="C77" s="12" t="s">
        <v>5</v>
      </c>
      <c r="D77" s="12" t="s">
        <v>34</v>
      </c>
      <c r="E77">
        <v>47</v>
      </c>
      <c r="F77" cm="1">
        <f t="array" ref="F77">INDEX(CourseRatings[Rating], MATCH(1, (CourseRatings[Course]=C77)*(CourseRatings[Tees]=D77), 0))</f>
        <v>72.3</v>
      </c>
      <c r="G77" cm="1">
        <f t="array" ref="G77">INDEX(CourseRatings[Slope], MATCH(1, (CourseRatings[Course]=C77)*(CourseRatings[Tees]=D77), 0))</f>
        <v>130</v>
      </c>
      <c r="H77">
        <f>(E77-F77)*113/G77</f>
        <v>-21.991538461538457</v>
      </c>
    </row>
    <row r="78" spans="1:8" x14ac:dyDescent="0.25">
      <c r="D78" s="1"/>
    </row>
    <row r="79" spans="1:8" x14ac:dyDescent="0.25">
      <c r="D79" s="1"/>
    </row>
    <row r="86" spans="4:4" x14ac:dyDescent="0.25">
      <c r="D86" s="1"/>
    </row>
    <row r="87" spans="4:4" x14ac:dyDescent="0.25">
      <c r="D87" s="1"/>
    </row>
    <row r="88" spans="4:4" x14ac:dyDescent="0.25">
      <c r="D88" s="1"/>
    </row>
    <row r="89" spans="4:4" x14ac:dyDescent="0.25">
      <c r="D89" s="1"/>
    </row>
    <row r="90" spans="4:4" x14ac:dyDescent="0.25">
      <c r="D90" s="1"/>
    </row>
  </sheetData>
  <phoneticPr fontId="18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297"/>
  <sheetViews>
    <sheetView tabSelected="1" workbookViewId="0">
      <pane ySplit="1" topLeftCell="A1203" activePane="bottomLeft" state="frozen"/>
      <selection pane="bottomLeft" activeCell="T1215" sqref="T1215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125</v>
      </c>
      <c r="B1" s="13" t="s">
        <v>19</v>
      </c>
      <c r="C1" s="12" t="s">
        <v>24</v>
      </c>
      <c r="D1" s="12" t="s">
        <v>65</v>
      </c>
      <c r="E1" s="12" t="s">
        <v>25</v>
      </c>
      <c r="F1" s="12" t="s">
        <v>20</v>
      </c>
      <c r="G1" s="12" t="s">
        <v>66</v>
      </c>
      <c r="H1" s="12" t="s">
        <v>67</v>
      </c>
      <c r="I1" s="12" t="s">
        <v>26</v>
      </c>
      <c r="J1" s="12" t="s">
        <v>45</v>
      </c>
      <c r="K1" s="12" t="s">
        <v>23</v>
      </c>
      <c r="L1" s="12" t="s">
        <v>68</v>
      </c>
      <c r="M1" s="12" t="s">
        <v>69</v>
      </c>
      <c r="N1" s="12" t="s">
        <v>70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126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47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Log'!$E$2:$V$70,
    MATCH(1,
      ('Golf Log'!$A$2:$A$70=$A2)*
      ('Golf Log'!$B$2:$B$70=$B2)*
      ('Golf Log'!$C$2:$C$70=$C2),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Log'!$E$2:$V$70,
    MATCH(1,
      ('Putt Log'!$A$2:$A$70=$A2)*
      ('Putt Log'!$B$2:$B$70=$B2)*
      ('Putt Log'!$C$2:$C$70=$C2),
    0),
    MATCH($G2,'Putt Log'!$E$1:$V$1,0)
  ),
"")</f>
        <v>1</v>
      </c>
      <c r="P2" cm="1">
        <f t="array" ref="P2">IF(K2=3,"",
  IFERROR(
    INDEX('Fairway Log'!$E$2:$V$70,
      MATCH(1,
        ('Fairway Log'!$A$2:$A$70=$A2)*
        ('Fairway Log'!$B$2:$B$70=$B2)*
        ('Fairway Log'!$C$2:$C70=$C2),
      0),
      MATCH($G2,'Fairway Log'!$E$1:$V$1,0)
    ),
  "")
)</f>
        <v>1</v>
      </c>
      <c r="Q2" t="str" cm="1">
        <f t="array" ref="Q2">IFERROR(
  INDEX('GIR Log'!$E$2:$V$70,
    MATCH(1,
      ('GIR Log'!$A$2:$A$70=$A2)*
      ('GIR Log'!$B$2:$B$70=$B2)*
      ('GIR Log'!$C$2:$C$70=$C2),
    0),
    MATCH($G2,'GIR Log'!$E$1:$V$1,0)
  ),
"")</f>
        <v>←</v>
      </c>
    </row>
    <row r="3" spans="1:17" x14ac:dyDescent="0.25">
      <c r="A3" s="20" t="s">
        <v>126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48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Log'!$E$2:$V$70,
    MATCH(1,
      ('Golf Log'!$A$2:$A$70=$A3)*
      ('Golf Log'!$B$2:$B$70=$B3)*
      ('Golf Log'!$C$2:$C$70=$C3),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Log'!$E$2:$V$70,
    MATCH(1,
      ('Putt Log'!$A$2:$A$70=$A3)*
      ('Putt Log'!$B$2:$B$70=$B3)*
      ('Putt Log'!$C$2:$C$70=$C3),
    0),
    MATCH($G3,'Putt Log'!$E$1:$V$1,0)
  ),
"")</f>
        <v>2</v>
      </c>
      <c r="P3" t="str" cm="1">
        <f t="array" ref="P3">IF(K3=3,"",
  IFERROR(
    INDEX('Fairway Log'!$E$2:$V$70,
      MATCH(1,
        ('Fairway Log'!$A$2:$A$70=$A3)*
        ('Fairway Log'!$B$2:$B$70=$B3)*
        ('Fairway Log'!$C$2:$C70=$C3),
      0),
      MATCH($G3,'Fairway Log'!$E$1:$V$1,0)
    ),
  "")
)</f>
        <v>→</v>
      </c>
      <c r="Q3" t="str" cm="1">
        <f t="array" ref="Q3">IFERROR(
  INDEX('GIR Log'!$E$2:$V$70,
    MATCH(1,
      ('GIR Log'!$A$2:$A$70=$A3)*
      ('GIR Log'!$B$2:$B$70=$B3)*
      ('GIR Log'!$C$2:$C$70=$C3),
    0),
    MATCH($G3,'GIR Log'!$E$1:$V$1,0)
  ),
"")</f>
        <v>↓</v>
      </c>
    </row>
    <row r="4" spans="1:17" x14ac:dyDescent="0.25">
      <c r="A4" s="20" t="s">
        <v>126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49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Log'!$E$2:$V$70,
    MATCH(1,
      ('Golf Log'!$A$2:$A$70=$A4)*
      ('Golf Log'!$B$2:$B$70=$B4)*
      ('Golf Log'!$C$2:$C$70=$C4),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Log'!$E$2:$V$70,
    MATCH(1,
      ('Putt Log'!$A$2:$A$70=$A4)*
      ('Putt Log'!$B$2:$B$70=$B4)*
      ('Putt Log'!$C$2:$C$70=$C4),
    0),
    MATCH($G4,'Putt Log'!$E$1:$V$1,0)
  ),
"")</f>
        <v>2</v>
      </c>
      <c r="P4" t="str" cm="1">
        <f t="array" ref="P4">IF(K4=3,"",
  IFERROR(
    INDEX('Fairway Log'!$E$2:$V$70,
      MATCH(1,
        ('Fairway Log'!$A$2:$A$70=$A4)*
        ('Fairway Log'!$B$2:$B$70=$B4)*
        ('Fairway Log'!$C$2:$C75=$C4),
      0),
      MATCH($G4,'Fairway Log'!$E$1:$V$1,0)
    ),
  "")
)</f>
        <v/>
      </c>
      <c r="Q4" t="str" cm="1">
        <f t="array" ref="Q4">IFERROR(
  INDEX('GIR Log'!$E$2:$V$70,
    MATCH(1,
      ('GIR Log'!$A$2:$A$70=$A4)*
      ('GIR Log'!$B$2:$B$70=$B4)*
      ('GIR Log'!$C$2:$C$70=$C4),
    0),
    MATCH($G4,'GIR Log'!$E$1:$V$1,0)
  ),
"")</f>
        <v>←</v>
      </c>
    </row>
    <row r="5" spans="1:17" x14ac:dyDescent="0.25">
      <c r="A5" s="20" t="s">
        <v>126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50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Log'!$E$2:$V$70,
    MATCH(1,
      ('Golf Log'!$A$2:$A$70=$A5)*
      ('Golf Log'!$B$2:$B$70=$B5)*
      ('Golf Log'!$C$2:$C$70=$C5),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Log'!$E$2:$V$70,
    MATCH(1,
      ('Putt Log'!$A$2:$A$70=$A5)*
      ('Putt Log'!$B$2:$B$70=$B5)*
      ('Putt Log'!$C$2:$C$70=$C5),
    0),
    MATCH($G5,'Putt Log'!$E$1:$V$1,0)
  ),
"")</f>
        <v>2</v>
      </c>
      <c r="P5" cm="1">
        <f t="array" ref="P5">IF(K5=3,"",
  IFERROR(
    INDEX('Fairway Log'!$E$2:$V$70,
      MATCH(1,
        ('Fairway Log'!$A$2:$A$70=$A5)*
        ('Fairway Log'!$B$2:$B$70=$B5)*
        ('Fairway Log'!$C$2:$C76=$C5),
      0),
      MATCH($G5,'Fairway Log'!$E$1:$V$1,0)
    ),
  "")
)</f>
        <v>1</v>
      </c>
      <c r="Q5" cm="1">
        <f t="array" ref="Q5">IFERROR(
  INDEX('GIR Log'!$E$2:$V$70,
    MATCH(1,
      ('GIR Log'!$A$2:$A$70=$A5)*
      ('GIR Log'!$B$2:$B$70=$B5)*
      ('GIR Log'!$C$2:$C$70=$C5),
    0),
    MATCH($G5,'GIR Log'!$E$1:$V$1,0)
  ),
"")</f>
        <v>1</v>
      </c>
    </row>
    <row r="6" spans="1:17" x14ac:dyDescent="0.25">
      <c r="A6" s="20" t="s">
        <v>126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51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Log'!$E$2:$V$70,
    MATCH(1,
      ('Golf Log'!$A$2:$A$70=$A6)*
      ('Golf Log'!$B$2:$B$70=$B6)*
      ('Golf Log'!$C$2:$C$70=$C6),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Log'!$E$2:$V$70,
    MATCH(1,
      ('Putt Log'!$A$2:$A$70=$A6)*
      ('Putt Log'!$B$2:$B$70=$B6)*
      ('Putt Log'!$C$2:$C$70=$C6),
    0),
    MATCH($G6,'Putt Log'!$E$1:$V$1,0)
  ),
"")</f>
        <v>1</v>
      </c>
      <c r="P6" t="str" cm="1">
        <f t="array" ref="P6">IF(K6=3,"",
  IFERROR(
    INDEX('Fairway Log'!$E$2:$V$70,
      MATCH(1,
        ('Fairway Log'!$A$2:$A$70=$A6)*
        ('Fairway Log'!$B$2:$B$70=$B6)*
        ('Fairway Log'!$C$2:$C77=$C6),
      0),
      MATCH($G6,'Fairway Log'!$E$1:$V$1,0)
    ),
  "")
)</f>
        <v>←</v>
      </c>
      <c r="Q6" t="str" cm="1">
        <f t="array" ref="Q6">IFERROR(
  INDEX('GIR Log'!$E$2:$V$70,
    MATCH(1,
      ('GIR Log'!$A$2:$A$70=$A6)*
      ('GIR Log'!$B$2:$B$70=$B6)*
      ('GIR Log'!$C$2:$C$70=$C6),
    0),
    MATCH($G6,'GIR Log'!$E$1:$V$1,0)
  ),
"")</f>
        <v>←</v>
      </c>
    </row>
    <row r="7" spans="1:17" x14ac:dyDescent="0.25">
      <c r="A7" s="20" t="s">
        <v>126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52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Log'!$E$2:$V$70,
    MATCH(1,
      ('Golf Log'!$A$2:$A$70=$A7)*
      ('Golf Log'!$B$2:$B$70=$B7)*
      ('Golf Log'!$C$2:$C$70=$C7),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Log'!$E$2:$V$70,
    MATCH(1,
      ('Putt Log'!$A$2:$A$70=$A7)*
      ('Putt Log'!$B$2:$B$70=$B7)*
      ('Putt Log'!$C$2:$C$70=$C7),
    0),
    MATCH($G7,'Putt Log'!$E$1:$V$1,0)
  ),
"")</f>
        <v>2</v>
      </c>
      <c r="P7" t="str" cm="1">
        <f t="array" ref="P7">IF(K7=3,"",
  IFERROR(
    INDEX('Fairway Log'!$E$2:$V$70,
      MATCH(1,
        ('Fairway Log'!$A$2:$A$70=$A7)*
        ('Fairway Log'!$B$2:$B$70=$B7)*
        ('Fairway Log'!$C$2:$C78=$C7),
      0),
      MATCH($G7,'Fairway Log'!$E$1:$V$1,0)
    ),
  "")
)</f>
        <v/>
      </c>
      <c r="Q7" cm="1">
        <f t="array" ref="Q7">IFERROR(
  INDEX('GIR Log'!$E$2:$V$70,
    MATCH(1,
      ('GIR Log'!$A$2:$A$70=$A7)*
      ('GIR Log'!$B$2:$B$70=$B7)*
      ('GIR Log'!$C$2:$C$70=$C7),
    0),
    MATCH($G7,'GIR Log'!$E$1:$V$1,0)
  ),
"")</f>
        <v>1</v>
      </c>
    </row>
    <row r="8" spans="1:17" x14ac:dyDescent="0.25">
      <c r="A8" s="20" t="s">
        <v>126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53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Log'!$E$2:$V$70,
    MATCH(1,
      ('Golf Log'!$A$2:$A$70=$A8)*
      ('Golf Log'!$B$2:$B$70=$B8)*
      ('Golf Log'!$C$2:$C$70=$C8),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Log'!$E$2:$V$70,
    MATCH(1,
      ('Putt Log'!$A$2:$A$70=$A8)*
      ('Putt Log'!$B$2:$B$70=$B8)*
      ('Putt Log'!$C$2:$C$70=$C8),
    0),
    MATCH($G8,'Putt Log'!$E$1:$V$1,0)
  ),
"")</f>
        <v>2</v>
      </c>
      <c r="P8" t="str" cm="1">
        <f t="array" ref="P8">IF(K8=3,"",
  IFERROR(
    INDEX('Fairway Log'!$E$2:$V$70,
      MATCH(1,
        ('Fairway Log'!$A$2:$A$70=$A8)*
        ('Fairway Log'!$B$2:$B$70=$B8)*
        ('Fairway Log'!$C$2:$C79=$C8),
      0),
      MATCH($G8,'Fairway Log'!$E$1:$V$1,0)
    ),
  "")
)</f>
        <v>←</v>
      </c>
      <c r="Q8" t="str" cm="1">
        <f t="array" ref="Q8">IFERROR(
  INDEX('GIR Log'!$E$2:$V$70,
    MATCH(1,
      ('GIR Log'!$A$2:$A$70=$A8)*
      ('GIR Log'!$B$2:$B$70=$B8)*
      ('GIR Log'!$C$2:$C$70=$C8),
    0),
    MATCH($G8,'GIR Log'!$E$1:$V$1,0)
  ),
"")</f>
        <v>↓</v>
      </c>
    </row>
    <row r="9" spans="1:17" x14ac:dyDescent="0.25">
      <c r="A9" s="20" t="s">
        <v>126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54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Log'!$E$2:$V$70,
    MATCH(1,
      ('Golf Log'!$A$2:$A$70=$A9)*
      ('Golf Log'!$B$2:$B$70=$B9)*
      ('Golf Log'!$C$2:$C$70=$C9),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Log'!$E$2:$V$70,
    MATCH(1,
      ('Putt Log'!$A$2:$A$70=$A9)*
      ('Putt Log'!$B$2:$B$70=$B9)*
      ('Putt Log'!$C$2:$C$70=$C9),
    0),
    MATCH($G9,'Putt Log'!$E$1:$V$1,0)
  ),
"")</f>
        <v>1</v>
      </c>
      <c r="P9" cm="1">
        <f t="array" ref="P9">IF(K9=3,"",
  IFERROR(
    INDEX('Fairway Log'!$E$2:$V$70,
      MATCH(1,
        ('Fairway Log'!$A$2:$A$70=$A9)*
        ('Fairway Log'!$B$2:$B$70=$B9)*
        ('Fairway Log'!$C$2:$C80=$C9),
      0),
      MATCH($G9,'Fairway Log'!$E$1:$V$1,0)
    ),
  "")
)</f>
        <v>1</v>
      </c>
      <c r="Q9" cm="1">
        <f t="array" ref="Q9">IFERROR(
  INDEX('GIR Log'!$E$2:$V$70,
    MATCH(1,
      ('GIR Log'!$A$2:$A$70=$A9)*
      ('GIR Log'!$B$2:$B$70=$B9)*
      ('GIR Log'!$C$2:$C$70=$C9),
    0),
    MATCH($G9,'GIR Log'!$E$1:$V$1,0)
  ),
"")</f>
        <v>1</v>
      </c>
    </row>
    <row r="10" spans="1:17" x14ac:dyDescent="0.25">
      <c r="A10" s="20" t="s">
        <v>126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55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Log'!$E$2:$V$70,
    MATCH(1,
      ('Golf Log'!$A$2:$A$70=$A10)*
      ('Golf Log'!$B$2:$B$70=$B10)*
      ('Golf Log'!$C$2:$C$70=$C10),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Log'!$E$2:$V$70,
    MATCH(1,
      ('Putt Log'!$A$2:$A$70=$A10)*
      ('Putt Log'!$B$2:$B$70=$B10)*
      ('Putt Log'!$C$2:$C$70=$C10),
    0),
    MATCH($G10,'Putt Log'!$E$1:$V$1,0)
  ),
"")</f>
        <v>2</v>
      </c>
      <c r="P10" cm="1">
        <f t="array" ref="P10">IF(K10=3,"",
  IFERROR(
    INDEX('Fairway Log'!$E$2:$V$70,
      MATCH(1,
        ('Fairway Log'!$A$2:$A$70=$A10)*
        ('Fairway Log'!$B$2:$B$70=$B10)*
        ('Fairway Log'!$C$2:$C81=$C10),
      0),
      MATCH($G10,'Fairway Log'!$E$1:$V$1,0)
    ),
  "")
)</f>
        <v>1</v>
      </c>
      <c r="Q10" cm="1">
        <f t="array" ref="Q10">IFERROR(
  INDEX('GIR Log'!$E$2:$V$70,
    MATCH(1,
      ('GIR Log'!$A$2:$A$70=$A10)*
      ('GIR Log'!$B$2:$B$70=$B10)*
      ('GIR Log'!$C$2:$C$70=$C10),
    0),
    MATCH($G10,'GIR Log'!$E$1:$V$1,0)
  ),
"")</f>
        <v>1</v>
      </c>
    </row>
    <row r="11" spans="1:17" x14ac:dyDescent="0.25">
      <c r="A11" s="20" t="s">
        <v>126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56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Log'!$E$2:$V$70,
    MATCH(1,
      ('Golf Log'!$A$2:$A$70=$A11)*
      ('Golf Log'!$B$2:$B$70=$B11)*
      ('Golf Log'!$C$2:$C$70=$C11),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Log'!$E$2:$V$70,
    MATCH(1,
      ('Putt Log'!$A$2:$A$70=$A11)*
      ('Putt Log'!$B$2:$B$70=$B11)*
      ('Putt Log'!$C$2:$C$70=$C11),
    0),
    MATCH($G11,'Putt Log'!$E$1:$V$1,0)
  ),
"")</f>
        <v>2</v>
      </c>
      <c r="P11" t="str" cm="1">
        <f t="array" ref="P11">IF(K11=3,"",
  IFERROR(
    INDEX('Fairway Log'!$E$2:$V$70,
      MATCH(1,
        ('Fairway Log'!$A$2:$A$70=$A11)*
        ('Fairway Log'!$B$2:$B$70=$B11)*
        ('Fairway Log'!$C$2:$C82=$C11),
      0),
      MATCH($G11,'Fairway Log'!$E$1:$V$1,0)
    ),
  "")
)</f>
        <v>→</v>
      </c>
      <c r="Q11" cm="1">
        <f t="array" ref="Q11">IFERROR(
  INDEX('GIR Log'!$E$2:$V$70,
    MATCH(1,
      ('GIR Log'!$A$2:$A$70=$A11)*
      ('GIR Log'!$B$2:$B$70=$B11)*
      ('GIR Log'!$C$2:$C$70=$C11),
    0),
    MATCH($G11,'GIR Log'!$E$1:$V$1,0)
  ),
"")</f>
        <v>1</v>
      </c>
    </row>
    <row r="12" spans="1:17" x14ac:dyDescent="0.25">
      <c r="A12" s="20" t="s">
        <v>126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57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Log'!$E$2:$V$70,
    MATCH(1,
      ('Golf Log'!$A$2:$A$70=$A12)*
      ('Golf Log'!$B$2:$B$70=$B12)*
      ('Golf Log'!$C$2:$C$70=$C12),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Log'!$E$2:$V$70,
    MATCH(1,
      ('Putt Log'!$A$2:$A$70=$A12)*
      ('Putt Log'!$B$2:$B$70=$B12)*
      ('Putt Log'!$C$2:$C$70=$C12),
    0),
    MATCH($G12,'Putt Log'!$E$1:$V$1,0)
  ),
"")</f>
        <v>2</v>
      </c>
      <c r="P12" t="str" cm="1">
        <f t="array" ref="P12">IF(K12=3,"",
  IFERROR(
    INDEX('Fairway Log'!$E$2:$V$70,
      MATCH(1,
        ('Fairway Log'!$A$2:$A$70=$A12)*
        ('Fairway Log'!$B$2:$B$70=$B12)*
        ('Fairway Log'!$C$2:$C83=$C12),
      0),
      MATCH($G12,'Fairway Log'!$E$1:$V$1,0)
    ),
  "")
)</f>
        <v/>
      </c>
      <c r="Q12" t="str" cm="1">
        <f t="array" ref="Q12">IFERROR(
  INDEX('GIR Log'!$E$2:$V$70,
    MATCH(1,
      ('GIR Log'!$A$2:$A$70=$A12)*
      ('GIR Log'!$B$2:$B$70=$B12)*
      ('GIR Log'!$C$2:$C$70=$C12),
    0),
    MATCH($G12,'GIR Log'!$E$1:$V$1,0)
  ),
"")</f>
        <v>→</v>
      </c>
    </row>
    <row r="13" spans="1:17" x14ac:dyDescent="0.25">
      <c r="A13" s="20" t="s">
        <v>126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58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Log'!$E$2:$V$70,
    MATCH(1,
      ('Golf Log'!$A$2:$A$70=$A13)*
      ('Golf Log'!$B$2:$B$70=$B13)*
      ('Golf Log'!$C$2:$C$70=$C13),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Log'!$E$2:$V$70,
    MATCH(1,
      ('Putt Log'!$A$2:$A$70=$A13)*
      ('Putt Log'!$B$2:$B$70=$B13)*
      ('Putt Log'!$C$2:$C$70=$C13),
    0),
    MATCH($G13,'Putt Log'!$E$1:$V$1,0)
  ),
"")</f>
        <v>2</v>
      </c>
      <c r="P13" cm="1">
        <f t="array" ref="P13">IF(K13=3,"",
  IFERROR(
    INDEX('Fairway Log'!$E$2:$V$70,
      MATCH(1,
        ('Fairway Log'!$A$2:$A$70=$A13)*
        ('Fairway Log'!$B$2:$B$70=$B13)*
        ('Fairway Log'!$C$2:$C84=$C13),
      0),
      MATCH($G13,'Fairway Log'!$E$1:$V$1,0)
    ),
  "")
)</f>
        <v>1</v>
      </c>
      <c r="Q13" cm="1">
        <f t="array" ref="Q13">IFERROR(
  INDEX('GIR Log'!$E$2:$V$70,
    MATCH(1,
      ('GIR Log'!$A$2:$A$70=$A13)*
      ('GIR Log'!$B$2:$B$70=$B13)*
      ('GIR Log'!$C$2:$C$70=$C13),
    0),
    MATCH($G13,'GIR Log'!$E$1:$V$1,0)
  ),
"")</f>
        <v>1</v>
      </c>
    </row>
    <row r="14" spans="1:17" x14ac:dyDescent="0.25">
      <c r="A14" s="20" t="s">
        <v>126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59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Log'!$E$2:$V$70,
    MATCH(1,
      ('Golf Log'!$A$2:$A$70=$A14)*
      ('Golf Log'!$B$2:$B$70=$B14)*
      ('Golf Log'!$C$2:$C$70=$C14),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Log'!$E$2:$V$70,
    MATCH(1,
      ('Putt Log'!$A$2:$A$70=$A14)*
      ('Putt Log'!$B$2:$B$70=$B14)*
      ('Putt Log'!$C$2:$C$70=$C14),
    0),
    MATCH($G14,'Putt Log'!$E$1:$V$1,0)
  ),
"")</f>
        <v>2</v>
      </c>
      <c r="P14" cm="1">
        <f t="array" ref="P14">IF(K14=3,"",
  IFERROR(
    INDEX('Fairway Log'!$E$2:$V$70,
      MATCH(1,
        ('Fairway Log'!$A$2:$A$70=$A14)*
        ('Fairway Log'!$B$2:$B$70=$B14)*
        ('Fairway Log'!$C$2:$C85=$C14),
      0),
      MATCH($G14,'Fairway Log'!$E$1:$V$1,0)
    ),
  "")
)</f>
        <v>1</v>
      </c>
      <c r="Q14" cm="1">
        <f t="array" ref="Q14">IFERROR(
  INDEX('GIR Log'!$E$2:$V$70,
    MATCH(1,
      ('GIR Log'!$A$2:$A$70=$A14)*
      ('GIR Log'!$B$2:$B$70=$B14)*
      ('GIR Log'!$C$2:$C$70=$C14),
    0),
    MATCH($G14,'GIR Log'!$E$1:$V$1,0)
  ),
"")</f>
        <v>1</v>
      </c>
    </row>
    <row r="15" spans="1:17" x14ac:dyDescent="0.25">
      <c r="A15" s="20" t="s">
        <v>126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60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Log'!$E$2:$V$70,
    MATCH(1,
      ('Golf Log'!$A$2:$A$70=$A15)*
      ('Golf Log'!$B$2:$B$70=$B15)*
      ('Golf Log'!$C$2:$C$70=$C15),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Log'!$E$2:$V$70,
    MATCH(1,
      ('Putt Log'!$A$2:$A$70=$A15)*
      ('Putt Log'!$B$2:$B$70=$B15)*
      ('Putt Log'!$C$2:$C$70=$C15),
    0),
    MATCH($G15,'Putt Log'!$E$1:$V$1,0)
  ),
"")</f>
        <v>2</v>
      </c>
      <c r="P15" t="str" cm="1">
        <f t="array" ref="P15">IF(K15=3,"",
  IFERROR(
    INDEX('Fairway Log'!$E$2:$V$70,
      MATCH(1,
        ('Fairway Log'!$A$2:$A$70=$A15)*
        ('Fairway Log'!$B$2:$B$70=$B15)*
        ('Fairway Log'!$C$2:$C86=$C15),
      0),
      MATCH($G15,'Fairway Log'!$E$1:$V$1,0)
    ),
  "")
)</f>
        <v>→</v>
      </c>
      <c r="Q15" cm="1">
        <f t="array" ref="Q15">IFERROR(
  INDEX('GIR Log'!$E$2:$V$70,
    MATCH(1,
      ('GIR Log'!$A$2:$A$70=$A15)*
      ('GIR Log'!$B$2:$B$70=$B15)*
      ('GIR Log'!$C$2:$C$70=$C15),
    0),
    MATCH($G15,'GIR Log'!$E$1:$V$1,0)
  ),
"")</f>
        <v>1</v>
      </c>
    </row>
    <row r="16" spans="1:17" x14ac:dyDescent="0.25">
      <c r="A16" s="20" t="s">
        <v>126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61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Log'!$E$2:$V$70,
    MATCH(1,
      ('Golf Log'!$A$2:$A$70=$A16)*
      ('Golf Log'!$B$2:$B$70=$B16)*
      ('Golf Log'!$C$2:$C$70=$C16),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Log'!$E$2:$V$70,
    MATCH(1,
      ('Putt Log'!$A$2:$A$70=$A16)*
      ('Putt Log'!$B$2:$B$70=$B16)*
      ('Putt Log'!$C$2:$C$70=$C16),
    0),
    MATCH($G16,'Putt Log'!$E$1:$V$1,0)
  ),
"")</f>
        <v>1</v>
      </c>
      <c r="P16" t="str" cm="1">
        <f t="array" ref="P16">IF(K16=3,"",
  IFERROR(
    INDEX('Fairway Log'!$E$2:$V$70,
      MATCH(1,
        ('Fairway Log'!$A$2:$A$70=$A16)*
        ('Fairway Log'!$B$2:$B$70=$B16)*
        ('Fairway Log'!$C$2:$C87=$C16),
      0),
      MATCH($G16,'Fairway Log'!$E$1:$V$1,0)
    ),
  "")
)</f>
        <v/>
      </c>
      <c r="Q16" t="str" cm="1">
        <f t="array" ref="Q16">IFERROR(
  INDEX('GIR Log'!$E$2:$V$70,
    MATCH(1,
      ('GIR Log'!$A$2:$A$70=$A16)*
      ('GIR Log'!$B$2:$B$70=$B16)*
      ('GIR Log'!$C$2:$C$70=$C16),
    0),
    MATCH($G16,'GIR Log'!$E$1:$V$1,0)
  ),
"")</f>
        <v>↓</v>
      </c>
    </row>
    <row r="17" spans="1:17" x14ac:dyDescent="0.25">
      <c r="A17" s="20" t="s">
        <v>126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62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Log'!$E$2:$V$70,
    MATCH(1,
      ('Golf Log'!$A$2:$A$70=$A17)*
      ('Golf Log'!$B$2:$B$70=$B17)*
      ('Golf Log'!$C$2:$C$70=$C17),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Log'!$E$2:$V$70,
    MATCH(1,
      ('Putt Log'!$A$2:$A$70=$A17)*
      ('Putt Log'!$B$2:$B$70=$B17)*
      ('Putt Log'!$C$2:$C$70=$C17),
    0),
    MATCH($G17,'Putt Log'!$E$1:$V$1,0)
  ),
"")</f>
        <v>2</v>
      </c>
      <c r="P17" t="str" cm="1">
        <f t="array" ref="P17">IF(K17=3,"",
  IFERROR(
    INDEX('Fairway Log'!$E$2:$V$70,
      MATCH(1,
        ('Fairway Log'!$A$2:$A$70=$A17)*
        ('Fairway Log'!$B$2:$B$70=$B17)*
        ('Fairway Log'!$C$2:$C88=$C17),
      0),
      MATCH($G17,'Fairway Log'!$E$1:$V$1,0)
    ),
  "")
)</f>
        <v>→</v>
      </c>
      <c r="Q17" cm="1">
        <f t="array" ref="Q17">IFERROR(
  INDEX('GIR Log'!$E$2:$V$70,
    MATCH(1,
      ('GIR Log'!$A$2:$A$70=$A17)*
      ('GIR Log'!$B$2:$B$70=$B17)*
      ('GIR Log'!$C$2:$C$70=$C17),
    0),
    MATCH($G17,'GIR Log'!$E$1:$V$1,0)
  ),
"")</f>
        <v>1</v>
      </c>
    </row>
    <row r="18" spans="1:17" x14ac:dyDescent="0.25">
      <c r="A18" s="20" t="s">
        <v>126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63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Log'!$E$2:$V$70,
    MATCH(1,
      ('Golf Log'!$A$2:$A$70=$A18)*
      ('Golf Log'!$B$2:$B$70=$B18)*
      ('Golf Log'!$C$2:$C$70=$C18),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Log'!$E$2:$V$70,
    MATCH(1,
      ('Putt Log'!$A$2:$A$70=$A18)*
      ('Putt Log'!$B$2:$B$70=$B18)*
      ('Putt Log'!$C$2:$C$70=$C18),
    0),
    MATCH($G18,'Putt Log'!$E$1:$V$1,0)
  ),
"")</f>
        <v>2</v>
      </c>
      <c r="P18" cm="1">
        <f t="array" ref="P18">IF(K18=3,"",
  IFERROR(
    INDEX('Fairway Log'!$E$2:$V$70,
      MATCH(1,
        ('Fairway Log'!$A$2:$A$70=$A18)*
        ('Fairway Log'!$B$2:$B$70=$B18)*
        ('Fairway Log'!$C$2:$C89=$C18),
      0),
      MATCH($G18,'Fairway Log'!$E$1:$V$1,0)
    ),
  "")
)</f>
        <v>1</v>
      </c>
      <c r="Q18" cm="1">
        <f t="array" ref="Q18">IFERROR(
  INDEX('GIR Log'!$E$2:$V$70,
    MATCH(1,
      ('GIR Log'!$A$2:$A$70=$A18)*
      ('GIR Log'!$B$2:$B$70=$B18)*
      ('GIR Log'!$C$2:$C$70=$C18),
    0),
    MATCH($G18,'GIR Log'!$E$1:$V$1,0)
  ),
"")</f>
        <v>1</v>
      </c>
    </row>
    <row r="19" spans="1:17" x14ac:dyDescent="0.25">
      <c r="A19" s="20" t="s">
        <v>126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64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Log'!$E$2:$V$70,
    MATCH(1,
      ('Golf Log'!$A$2:$A$70=$A19)*
      ('Golf Log'!$B$2:$B$70=$B19)*
      ('Golf Log'!$C$2:$C$70=$C19),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Log'!$E$2:$V$70,
    MATCH(1,
      ('Putt Log'!$A$2:$A$70=$A19)*
      ('Putt Log'!$B$2:$B$70=$B19)*
      ('Putt Log'!$C$2:$C$70=$C19),
    0),
    MATCH($G19,'Putt Log'!$E$1:$V$1,0)
  ),
"")</f>
        <v>1</v>
      </c>
      <c r="P19" t="str" cm="1">
        <f t="array" ref="P19">IF(K19=3,"",
  IFERROR(
    INDEX('Fairway Log'!$E$2:$V$70,
      MATCH(1,
        ('Fairway Log'!$A$2:$A$70=$A19)*
        ('Fairway Log'!$B$2:$B$70=$B19)*
        ('Fairway Log'!$C$2:$C90=$C19),
      0),
      MATCH($G19,'Fairway Log'!$E$1:$V$1,0)
    ),
  "")
)</f>
        <v>→</v>
      </c>
      <c r="Q19" t="str" cm="1">
        <f t="array" ref="Q19">IFERROR(
  INDEX('GIR Log'!$E$2:$V$70,
    MATCH(1,
      ('GIR Log'!$A$2:$A$70=$A19)*
      ('GIR Log'!$B$2:$B$70=$B19)*
      ('GIR Log'!$C$2:$C$70=$C19),
    0),
    MATCH($G19,'GIR Log'!$E$1:$V$1,0)
  ),
"")</f>
        <v>↓</v>
      </c>
    </row>
    <row r="20" spans="1:17" x14ac:dyDescent="0.25">
      <c r="A20" s="20" t="s">
        <v>126</v>
      </c>
      <c r="B20" s="2">
        <v>45655</v>
      </c>
      <c r="C20" t="s">
        <v>4</v>
      </c>
      <c r="D20" t="s">
        <v>71</v>
      </c>
      <c r="E20" s="12" t="s">
        <v>34</v>
      </c>
      <c r="F20">
        <v>85</v>
      </c>
      <c r="G20" t="s">
        <v>47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Log'!$E$2:$V$70,
    MATCH(1,
      ('Golf Log'!$A$2:$A$70=$A20)*
      ('Golf Log'!$B$2:$B$70=$B20)*
      ('Golf Log'!$C$2:$C$70=$C20),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Log'!$E$2:$V$70,
    MATCH(1,
      ('Putt Log'!$A$2:$A$70=$A20)*
      ('Putt Log'!$B$2:$B$70=$B20)*
      ('Putt Log'!$C$2:$C$70=$C20),
    0),
    MATCH($G20,'Putt Log'!$E$1:$V$1,0)
  ),
"")</f>
        <v>2</v>
      </c>
      <c r="P20" t="str" cm="1">
        <f t="array" ref="P20">IF(K20=3,"",
  IFERROR(
    INDEX('Fairway Log'!$E$2:$V$70,
      MATCH(1,
        ('Fairway Log'!$A$2:$A$70=$A20)*
        ('Fairway Log'!$B$2:$B$70=$B20)*
        ('Fairway Log'!$C$2:$C91=$C20),
      0),
      MATCH($G20,'Fairway Log'!$E$1:$V$1,0)
    ),
  "")
)</f>
        <v>→</v>
      </c>
      <c r="Q20" cm="1">
        <f t="array" ref="Q20">IFERROR(
  INDEX('GIR Log'!$E$2:$V$70,
    MATCH(1,
      ('GIR Log'!$A$2:$A$70=$A20)*
      ('GIR Log'!$B$2:$B$70=$B20)*
      ('GIR Log'!$C$2:$C$70=$C20),
    0),
    MATCH($G20,'GIR Log'!$E$1:$V$1,0)
  ),
"")</f>
        <v>1</v>
      </c>
    </row>
    <row r="21" spans="1:17" x14ac:dyDescent="0.25">
      <c r="A21" s="20" t="s">
        <v>126</v>
      </c>
      <c r="B21" s="2">
        <v>45655</v>
      </c>
      <c r="C21" t="s">
        <v>4</v>
      </c>
      <c r="D21" t="s">
        <v>71</v>
      </c>
      <c r="E21" s="12" t="s">
        <v>34</v>
      </c>
      <c r="F21">
        <v>85</v>
      </c>
      <c r="G21" t="s">
        <v>48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Log'!$E$2:$V$70,
    MATCH(1,
      ('Golf Log'!$A$2:$A$70=$A21)*
      ('Golf Log'!$B$2:$B$70=$B21)*
      ('Golf Log'!$C$2:$C$70=$C21),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Log'!$E$2:$V$70,
    MATCH(1,
      ('Putt Log'!$A$2:$A$70=$A21)*
      ('Putt Log'!$B$2:$B$70=$B21)*
      ('Putt Log'!$C$2:$C$70=$C21),
    0),
    MATCH($G21,'Putt Log'!$E$1:$V$1,0)
  ),
"")</f>
        <v>3</v>
      </c>
      <c r="P21" cm="1">
        <f t="array" ref="P21">IF(K21=3,"",
  IFERROR(
    INDEX('Fairway Log'!$E$2:$V$70,
      MATCH(1,
        ('Fairway Log'!$A$2:$A$70=$A21)*
        ('Fairway Log'!$B$2:$B$70=$B21)*
        ('Fairway Log'!$C$2:$C92=$C21),
      0),
      MATCH($G21,'Fairway Log'!$E$1:$V$1,0)
    ),
  "")
)</f>
        <v>1</v>
      </c>
      <c r="Q21" t="str" cm="1">
        <f t="array" ref="Q21">IFERROR(
  INDEX('GIR Log'!$E$2:$V$70,
    MATCH(1,
      ('GIR Log'!$A$2:$A$70=$A21)*
      ('GIR Log'!$B$2:$B$70=$B21)*
      ('GIR Log'!$C$2:$C$70=$C21),
    0),
    MATCH($G21,'GIR Log'!$E$1:$V$1,0)
  ),
"")</f>
        <v>↓</v>
      </c>
    </row>
    <row r="22" spans="1:17" x14ac:dyDescent="0.25">
      <c r="A22" s="20" t="s">
        <v>126</v>
      </c>
      <c r="B22" s="2">
        <v>45655</v>
      </c>
      <c r="C22" t="s">
        <v>4</v>
      </c>
      <c r="D22" t="s">
        <v>71</v>
      </c>
      <c r="E22" s="12" t="s">
        <v>34</v>
      </c>
      <c r="F22">
        <v>85</v>
      </c>
      <c r="G22" t="s">
        <v>49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Log'!$E$2:$V$70,
    MATCH(1,
      ('Golf Log'!$A$2:$A$70=$A22)*
      ('Golf Log'!$B$2:$B$70=$B22)*
      ('Golf Log'!$C$2:$C$70=$C22),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Log'!$E$2:$V$70,
    MATCH(1,
      ('Putt Log'!$A$2:$A$70=$A22)*
      ('Putt Log'!$B$2:$B$70=$B22)*
      ('Putt Log'!$C$2:$C$70=$C22),
    0),
    MATCH($G22,'Putt Log'!$E$1:$V$1,0)
  ),
"")</f>
        <v>2</v>
      </c>
      <c r="P22" t="str" cm="1">
        <f t="array" ref="P22">IF(K22=3,"",
  IFERROR(
    INDEX('Fairway Log'!$E$2:$V$70,
      MATCH(1,
        ('Fairway Log'!$A$2:$A$70=$A22)*
        ('Fairway Log'!$B$2:$B$70=$B22)*
        ('Fairway Log'!$C$2:$C93=$C22),
      0),
      MATCH($G22,'Fairway Log'!$E$1:$V$1,0)
    ),
  "")
)</f>
        <v/>
      </c>
      <c r="Q22" t="str" cm="1">
        <f t="array" ref="Q22">IFERROR(
  INDEX('GIR Log'!$E$2:$V$70,
    MATCH(1,
      ('GIR Log'!$A$2:$A$70=$A22)*
      ('GIR Log'!$B$2:$B$70=$B22)*
      ('GIR Log'!$C$2:$C$70=$C22),
    0),
    MATCH($G22,'GIR Log'!$E$1:$V$1,0)
  ),
"")</f>
        <v>→</v>
      </c>
    </row>
    <row r="23" spans="1:17" x14ac:dyDescent="0.25">
      <c r="A23" s="20" t="s">
        <v>126</v>
      </c>
      <c r="B23" s="2">
        <v>45655</v>
      </c>
      <c r="C23" t="s">
        <v>4</v>
      </c>
      <c r="D23" t="s">
        <v>71</v>
      </c>
      <c r="E23" s="12" t="s">
        <v>34</v>
      </c>
      <c r="F23">
        <v>85</v>
      </c>
      <c r="G23" t="s">
        <v>50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Log'!$E$2:$V$70,
    MATCH(1,
      ('Golf Log'!$A$2:$A$70=$A23)*
      ('Golf Log'!$B$2:$B$70=$B23)*
      ('Golf Log'!$C$2:$C$70=$C23),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Log'!$E$2:$V$70,
    MATCH(1,
      ('Putt Log'!$A$2:$A$70=$A23)*
      ('Putt Log'!$B$2:$B$70=$B23)*
      ('Putt Log'!$C$2:$C$70=$C23),
    0),
    MATCH($G23,'Putt Log'!$E$1:$V$1,0)
  ),
"")</f>
        <v>2</v>
      </c>
      <c r="P23" cm="1">
        <f t="array" ref="P23">IF(K23=3,"",
  IFERROR(
    INDEX('Fairway Log'!$E$2:$V$70,
      MATCH(1,
        ('Fairway Log'!$A$2:$A$70=$A23)*
        ('Fairway Log'!$B$2:$B$70=$B23)*
        ('Fairway Log'!$C$2:$C94=$C23),
      0),
      MATCH($G23,'Fairway Log'!$E$1:$V$1,0)
    ),
  "")
)</f>
        <v>1</v>
      </c>
      <c r="Q23" cm="1">
        <f t="array" ref="Q23">IFERROR(
  INDEX('GIR Log'!$E$2:$V$70,
    MATCH(1,
      ('GIR Log'!$A$2:$A$70=$A23)*
      ('GIR Log'!$B$2:$B$70=$B23)*
      ('GIR Log'!$C$2:$C$70=$C23),
    0),
    MATCH($G23,'GIR Log'!$E$1:$V$1,0)
  ),
"")</f>
        <v>1</v>
      </c>
    </row>
    <row r="24" spans="1:17" x14ac:dyDescent="0.25">
      <c r="A24" s="20" t="s">
        <v>126</v>
      </c>
      <c r="B24" s="2">
        <v>45655</v>
      </c>
      <c r="C24" t="s">
        <v>4</v>
      </c>
      <c r="D24" t="s">
        <v>71</v>
      </c>
      <c r="E24" s="12" t="s">
        <v>34</v>
      </c>
      <c r="F24">
        <v>85</v>
      </c>
      <c r="G24" t="s">
        <v>51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Log'!$E$2:$V$70,
    MATCH(1,
      ('Golf Log'!$A$2:$A$70=$A24)*
      ('Golf Log'!$B$2:$B$70=$B24)*
      ('Golf Log'!$C$2:$C$70=$C24),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Log'!$E$2:$V$70,
    MATCH(1,
      ('Putt Log'!$A$2:$A$70=$A24)*
      ('Putt Log'!$B$2:$B$70=$B24)*
      ('Putt Log'!$C$2:$C$70=$C24),
    0),
    MATCH($G24,'Putt Log'!$E$1:$V$1,0)
  ),
"")</f>
        <v>2</v>
      </c>
      <c r="P24" cm="1">
        <f t="array" ref="P24">IF(K24=3,"",
  IFERROR(
    INDEX('Fairway Log'!$E$2:$V$70,
      MATCH(1,
        ('Fairway Log'!$A$2:$A$70=$A24)*
        ('Fairway Log'!$B$2:$B$70=$B24)*
        ('Fairway Log'!$C$2:$C95=$C24),
      0),
      MATCH($G24,'Fairway Log'!$E$1:$V$1,0)
    ),
  "")
)</f>
        <v>1</v>
      </c>
      <c r="Q24" t="str" cm="1">
        <f t="array" ref="Q24">IFERROR(
  INDEX('GIR Log'!$E$2:$V$70,
    MATCH(1,
      ('GIR Log'!$A$2:$A$70=$A24)*
      ('GIR Log'!$B$2:$B$70=$B24)*
      ('GIR Log'!$C$2:$C$70=$C24),
    0),
    MATCH($G24,'GIR Log'!$E$1:$V$1,0)
  ),
"")</f>
        <v>↓</v>
      </c>
    </row>
    <row r="25" spans="1:17" x14ac:dyDescent="0.25">
      <c r="A25" s="20" t="s">
        <v>126</v>
      </c>
      <c r="B25" s="2">
        <v>45655</v>
      </c>
      <c r="C25" t="s">
        <v>4</v>
      </c>
      <c r="D25" t="s">
        <v>71</v>
      </c>
      <c r="E25" s="12" t="s">
        <v>34</v>
      </c>
      <c r="F25">
        <v>85</v>
      </c>
      <c r="G25" t="s">
        <v>52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Log'!$E$2:$V$70,
    MATCH(1,
      ('Golf Log'!$A$2:$A$70=$A25)*
      ('Golf Log'!$B$2:$B$70=$B25)*
      ('Golf Log'!$C$2:$C$70=$C25),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Log'!$E$2:$V$70,
    MATCH(1,
      ('Putt Log'!$A$2:$A$70=$A25)*
      ('Putt Log'!$B$2:$B$70=$B25)*
      ('Putt Log'!$C$2:$C$70=$C25),
    0),
    MATCH($G25,'Putt Log'!$E$1:$V$1,0)
  ),
"")</f>
        <v>2</v>
      </c>
      <c r="P25" cm="1">
        <f t="array" ref="P25">IF(K25=3,"",
  IFERROR(
    INDEX('Fairway Log'!$E$2:$V$70,
      MATCH(1,
        ('Fairway Log'!$A$2:$A$70=$A25)*
        ('Fairway Log'!$B$2:$B$70=$B25)*
        ('Fairway Log'!$C$2:$C96=$C25),
      0),
      MATCH($G25,'Fairway Log'!$E$1:$V$1,0)
    ),
  "")
)</f>
        <v>1</v>
      </c>
      <c r="Q25" t="str" cm="1">
        <f t="array" ref="Q25">IFERROR(
  INDEX('GIR Log'!$E$2:$V$70,
    MATCH(1,
      ('GIR Log'!$A$2:$A$70=$A25)*
      ('GIR Log'!$B$2:$B$70=$B25)*
      ('GIR Log'!$C$2:$C$70=$C25),
    0),
    MATCH($G25,'GIR Log'!$E$1:$V$1,0)
  ),
"")</f>
        <v>↓</v>
      </c>
    </row>
    <row r="26" spans="1:17" x14ac:dyDescent="0.25">
      <c r="A26" s="20" t="s">
        <v>126</v>
      </c>
      <c r="B26" s="2">
        <v>45655</v>
      </c>
      <c r="C26" t="s">
        <v>4</v>
      </c>
      <c r="D26" t="s">
        <v>71</v>
      </c>
      <c r="E26" s="12" t="s">
        <v>34</v>
      </c>
      <c r="F26">
        <v>85</v>
      </c>
      <c r="G26" t="s">
        <v>53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Log'!$E$2:$V$70,
    MATCH(1,
      ('Golf Log'!$A$2:$A$70=$A26)*
      ('Golf Log'!$B$2:$B$70=$B26)*
      ('Golf Log'!$C$2:$C$70=$C26),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Log'!$E$2:$V$70,
    MATCH(1,
      ('Putt Log'!$A$2:$A$70=$A26)*
      ('Putt Log'!$B$2:$B$70=$B26)*
      ('Putt Log'!$C$2:$C$70=$C26),
    0),
    MATCH($G26,'Putt Log'!$E$1:$V$1,0)
  ),
"")</f>
        <v>1</v>
      </c>
      <c r="P26" t="str" cm="1">
        <f t="array" ref="P26">IF(K26=3,"",
  IFERROR(
    INDEX('Fairway Log'!$E$2:$V$70,
      MATCH(1,
        ('Fairway Log'!$A$2:$A$70=$A26)*
        ('Fairway Log'!$B$2:$B$70=$B26)*
        ('Fairway Log'!$C$2:$C97=$C26),
      0),
      MATCH($G26,'Fairway Log'!$E$1:$V$1,0)
    ),
  "")
)</f>
        <v>→</v>
      </c>
      <c r="Q26" t="str" cm="1">
        <f t="array" ref="Q26">IFERROR(
  INDEX('GIR Log'!$E$2:$V$70,
    MATCH(1,
      ('GIR Log'!$A$2:$A$70=$A26)*
      ('GIR Log'!$B$2:$B$70=$B26)*
      ('GIR Log'!$C$2:$C$70=$C26),
    0),
    MATCH($G26,'GIR Log'!$E$1:$V$1,0)
  ),
"")</f>
        <v>↓</v>
      </c>
    </row>
    <row r="27" spans="1:17" x14ac:dyDescent="0.25">
      <c r="A27" s="20" t="s">
        <v>126</v>
      </c>
      <c r="B27" s="2">
        <v>45655</v>
      </c>
      <c r="C27" t="s">
        <v>4</v>
      </c>
      <c r="D27" t="s">
        <v>71</v>
      </c>
      <c r="E27" s="12" t="s">
        <v>34</v>
      </c>
      <c r="F27">
        <v>85</v>
      </c>
      <c r="G27" t="s">
        <v>54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Log'!$E$2:$V$70,
    MATCH(1,
      ('Golf Log'!$A$2:$A$70=$A27)*
      ('Golf Log'!$B$2:$B$70=$B27)*
      ('Golf Log'!$C$2:$C$70=$C27),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Log'!$E$2:$V$70,
    MATCH(1,
      ('Putt Log'!$A$2:$A$70=$A27)*
      ('Putt Log'!$B$2:$B$70=$B27)*
      ('Putt Log'!$C$2:$C$70=$C27),
    0),
    MATCH($G27,'Putt Log'!$E$1:$V$1,0)
  ),
"")</f>
        <v>2</v>
      </c>
      <c r="P27" t="str" cm="1">
        <f t="array" ref="P27">IF(K27=3,"",
  IFERROR(
    INDEX('Fairway Log'!$E$2:$V$70,
      MATCH(1,
        ('Fairway Log'!$A$2:$A$70=$A27)*
        ('Fairway Log'!$B$2:$B$70=$B27)*
        ('Fairway Log'!$C$2:$C98=$C27),
      0),
      MATCH($G27,'Fairway Log'!$E$1:$V$1,0)
    ),
  "")
)</f>
        <v/>
      </c>
      <c r="Q27" t="str" cm="1">
        <f t="array" ref="Q27">IFERROR(
  INDEX('GIR Log'!$E$2:$V$70,
    MATCH(1,
      ('GIR Log'!$A$2:$A$70=$A27)*
      ('GIR Log'!$B$2:$B$70=$B27)*
      ('GIR Log'!$C$2:$C$70=$C27),
    0),
    MATCH($G27,'GIR Log'!$E$1:$V$1,0)
  ),
"")</f>
        <v>↓</v>
      </c>
    </row>
    <row r="28" spans="1:17" x14ac:dyDescent="0.25">
      <c r="A28" s="20" t="s">
        <v>126</v>
      </c>
      <c r="B28" s="2">
        <v>45655</v>
      </c>
      <c r="C28" t="s">
        <v>4</v>
      </c>
      <c r="D28" t="s">
        <v>71</v>
      </c>
      <c r="E28" s="12" t="s">
        <v>34</v>
      </c>
      <c r="F28">
        <v>85</v>
      </c>
      <c r="G28" t="s">
        <v>55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Log'!$E$2:$V$70,
    MATCH(1,
      ('Golf Log'!$A$2:$A$70=$A28)*
      ('Golf Log'!$B$2:$B$70=$B28)*
      ('Golf Log'!$C$2:$C$70=$C28),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Log'!$E$2:$V$70,
    MATCH(1,
      ('Putt Log'!$A$2:$A$70=$A28)*
      ('Putt Log'!$B$2:$B$70=$B28)*
      ('Putt Log'!$C$2:$C$70=$C28),
    0),
    MATCH($G28,'Putt Log'!$E$1:$V$1,0)
  ),
"")</f>
        <v>2</v>
      </c>
      <c r="P28" cm="1">
        <f t="array" ref="P28">IF(K28=3,"",
  IFERROR(
    INDEX('Fairway Log'!$E$2:$V$70,
      MATCH(1,
        ('Fairway Log'!$A$2:$A$70=$A28)*
        ('Fairway Log'!$B$2:$B$70=$B28)*
        ('Fairway Log'!$C$2:$C99=$C28),
      0),
      MATCH($G28,'Fairway Log'!$E$1:$V$1,0)
    ),
  "")
)</f>
        <v>1</v>
      </c>
      <c r="Q28" cm="1">
        <f t="array" ref="Q28">IFERROR(
  INDEX('GIR Log'!$E$2:$V$70,
    MATCH(1,
      ('GIR Log'!$A$2:$A$70=$A28)*
      ('GIR Log'!$B$2:$B$70=$B28)*
      ('GIR Log'!$C$2:$C$70=$C28),
    0),
    MATCH($G28,'GIR Log'!$E$1:$V$1,0)
  ),
"")</f>
        <v>1</v>
      </c>
    </row>
    <row r="29" spans="1:17" x14ac:dyDescent="0.25">
      <c r="A29" s="20" t="s">
        <v>126</v>
      </c>
      <c r="B29" s="2">
        <v>45655</v>
      </c>
      <c r="C29" t="s">
        <v>4</v>
      </c>
      <c r="D29" t="s">
        <v>71</v>
      </c>
      <c r="E29" s="12" t="s">
        <v>34</v>
      </c>
      <c r="F29">
        <v>85</v>
      </c>
      <c r="G29" t="s">
        <v>56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Log'!$E$2:$V$70,
    MATCH(1,
      ('Golf Log'!$A$2:$A$70=$A29)*
      ('Golf Log'!$B$2:$B$70=$B29)*
      ('Golf Log'!$C$2:$C$70=$C29),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Log'!$E$2:$V$70,
    MATCH(1,
      ('Putt Log'!$A$2:$A$70=$A29)*
      ('Putt Log'!$B$2:$B$70=$B29)*
      ('Putt Log'!$C$2:$C$70=$C29),
    0),
    MATCH($G29,'Putt Log'!$E$1:$V$1,0)
  ),
"")</f>
        <v>2</v>
      </c>
      <c r="P29" cm="1">
        <f t="array" ref="P29">IF(K29=3,"",
  IFERROR(
    INDEX('Fairway Log'!$E$2:$V$70,
      MATCH(1,
        ('Fairway Log'!$A$2:$A$70=$A29)*
        ('Fairway Log'!$B$2:$B$70=$B29)*
        ('Fairway Log'!$C$2:$C100=$C29),
      0),
      MATCH($G29,'Fairway Log'!$E$1:$V$1,0)
    ),
  "")
)</f>
        <v>1</v>
      </c>
      <c r="Q29" cm="1">
        <f t="array" ref="Q29">IFERROR(
  INDEX('GIR Log'!$E$2:$V$70,
    MATCH(1,
      ('GIR Log'!$A$2:$A$70=$A29)*
      ('GIR Log'!$B$2:$B$70=$B29)*
      ('GIR Log'!$C$2:$C$70=$C29),
    0),
    MATCH($G29,'GIR Log'!$E$1:$V$1,0)
  ),
"")</f>
        <v>1</v>
      </c>
    </row>
    <row r="30" spans="1:17" x14ac:dyDescent="0.25">
      <c r="A30" s="20" t="s">
        <v>126</v>
      </c>
      <c r="B30" s="2">
        <v>45655</v>
      </c>
      <c r="C30" t="s">
        <v>4</v>
      </c>
      <c r="D30" t="s">
        <v>71</v>
      </c>
      <c r="E30" s="12" t="s">
        <v>34</v>
      </c>
      <c r="F30">
        <v>85</v>
      </c>
      <c r="G30" t="s">
        <v>57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Log'!$E$2:$V$70,
    MATCH(1,
      ('Golf Log'!$A$2:$A$70=$A30)*
      ('Golf Log'!$B$2:$B$70=$B30)*
      ('Golf Log'!$C$2:$C$70=$C30),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Log'!$E$2:$V$70,
    MATCH(1,
      ('Putt Log'!$A$2:$A$70=$A30)*
      ('Putt Log'!$B$2:$B$70=$B30)*
      ('Putt Log'!$C$2:$C$70=$C30),
    0),
    MATCH($G30,'Putt Log'!$E$1:$V$1,0)
  ),
"")</f>
        <v>1</v>
      </c>
      <c r="P30" cm="1">
        <f t="array" ref="P30">IF(K30=3,"",
  IFERROR(
    INDEX('Fairway Log'!$E$2:$V$70,
      MATCH(1,
        ('Fairway Log'!$A$2:$A$70=$A30)*
        ('Fairway Log'!$B$2:$B$70=$B30)*
        ('Fairway Log'!$C$2:$C101=$C30),
      0),
      MATCH($G30,'Fairway Log'!$E$1:$V$1,0)
    ),
  "")
)</f>
        <v>1</v>
      </c>
      <c r="Q30" t="str" cm="1">
        <f t="array" ref="Q30">IFERROR(
  INDEX('GIR Log'!$E$2:$V$70,
    MATCH(1,
      ('GIR Log'!$A$2:$A$70=$A30)*
      ('GIR Log'!$B$2:$B$70=$B30)*
      ('GIR Log'!$C$2:$C$70=$C30),
    0),
    MATCH($G30,'GIR Log'!$E$1:$V$1,0)
  ),
"")</f>
        <v>→</v>
      </c>
    </row>
    <row r="31" spans="1:17" x14ac:dyDescent="0.25">
      <c r="A31" s="20" t="s">
        <v>126</v>
      </c>
      <c r="B31" s="2">
        <v>45655</v>
      </c>
      <c r="C31" t="s">
        <v>4</v>
      </c>
      <c r="D31" t="s">
        <v>71</v>
      </c>
      <c r="E31" s="12" t="s">
        <v>34</v>
      </c>
      <c r="F31">
        <v>85</v>
      </c>
      <c r="G31" t="s">
        <v>58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Log'!$E$2:$V$70,
    MATCH(1,
      ('Golf Log'!$A$2:$A$70=$A31)*
      ('Golf Log'!$B$2:$B$70=$B31)*
      ('Golf Log'!$C$2:$C$70=$C31),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Log'!$E$2:$V$70,
    MATCH(1,
      ('Putt Log'!$A$2:$A$70=$A31)*
      ('Putt Log'!$B$2:$B$70=$B31)*
      ('Putt Log'!$C$2:$C$70=$C31),
    0),
    MATCH($G31,'Putt Log'!$E$1:$V$1,0)
  ),
"")</f>
        <v>2</v>
      </c>
      <c r="P31" cm="1">
        <f t="array" ref="P31">IF(K31=3,"",
  IFERROR(
    INDEX('Fairway Log'!$E$2:$V$70,
      MATCH(1,
        ('Fairway Log'!$A$2:$A$70=$A31)*
        ('Fairway Log'!$B$2:$B$70=$B31)*
        ('Fairway Log'!$C$2:$C102=$C31),
      0),
      MATCH($G31,'Fairway Log'!$E$1:$V$1,0)
    ),
  "")
)</f>
        <v>1</v>
      </c>
      <c r="Q31" t="str" cm="1">
        <f t="array" ref="Q31">IFERROR(
  INDEX('GIR Log'!$E$2:$V$70,
    MATCH(1,
      ('GIR Log'!$A$2:$A$70=$A31)*
      ('GIR Log'!$B$2:$B$70=$B31)*
      ('GIR Log'!$C$2:$C$70=$C31),
    0),
    MATCH($G31,'GIR Log'!$E$1:$V$1,0)
  ),
"")</f>
        <v>→</v>
      </c>
    </row>
    <row r="32" spans="1:17" x14ac:dyDescent="0.25">
      <c r="A32" s="20" t="s">
        <v>126</v>
      </c>
      <c r="B32" s="2">
        <v>45655</v>
      </c>
      <c r="C32" t="s">
        <v>4</v>
      </c>
      <c r="D32" t="s">
        <v>71</v>
      </c>
      <c r="E32" s="12" t="s">
        <v>34</v>
      </c>
      <c r="F32">
        <v>85</v>
      </c>
      <c r="G32" t="s">
        <v>59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Log'!$E$2:$V$70,
    MATCH(1,
      ('Golf Log'!$A$2:$A$70=$A32)*
      ('Golf Log'!$B$2:$B$70=$B32)*
      ('Golf Log'!$C$2:$C$70=$C32),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Log'!$E$2:$V$70,
    MATCH(1,
      ('Putt Log'!$A$2:$A$70=$A32)*
      ('Putt Log'!$B$2:$B$70=$B32)*
      ('Putt Log'!$C$2:$C$70=$C32),
    0),
    MATCH($G32,'Putt Log'!$E$1:$V$1,0)
  ),
"")</f>
        <v>2</v>
      </c>
      <c r="P32" t="str" cm="1">
        <f t="array" ref="P32">IF(K32=3,"",
  IFERROR(
    INDEX('Fairway Log'!$E$2:$V$70,
      MATCH(1,
        ('Fairway Log'!$A$2:$A$70=$A32)*
        ('Fairway Log'!$B$2:$B$70=$B32)*
        ('Fairway Log'!$C$2:$C103=$C32),
      0),
      MATCH($G32,'Fairway Log'!$E$1:$V$1,0)
    ),
  "")
)</f>
        <v/>
      </c>
      <c r="Q32" t="str" cm="1">
        <f t="array" ref="Q32">IFERROR(
  INDEX('GIR Log'!$E$2:$V$70,
    MATCH(1,
      ('GIR Log'!$A$2:$A$70=$A32)*
      ('GIR Log'!$B$2:$B$70=$B32)*
      ('GIR Log'!$C$2:$C$70=$C32),
    0),
    MATCH($G32,'GIR Log'!$E$1:$V$1,0)
  ),
"")</f>
        <v>↓</v>
      </c>
    </row>
    <row r="33" spans="1:17" x14ac:dyDescent="0.25">
      <c r="A33" s="20" t="s">
        <v>126</v>
      </c>
      <c r="B33" s="2">
        <v>45655</v>
      </c>
      <c r="C33" t="s">
        <v>4</v>
      </c>
      <c r="D33" t="s">
        <v>71</v>
      </c>
      <c r="E33" s="12" t="s">
        <v>34</v>
      </c>
      <c r="F33">
        <v>85</v>
      </c>
      <c r="G33" t="s">
        <v>60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Log'!$E$2:$V$70,
    MATCH(1,
      ('Golf Log'!$A$2:$A$70=$A33)*
      ('Golf Log'!$B$2:$B$70=$B33)*
      ('Golf Log'!$C$2:$C$70=$C33),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Log'!$E$2:$V$70,
    MATCH(1,
      ('Putt Log'!$A$2:$A$70=$A33)*
      ('Putt Log'!$B$2:$B$70=$B33)*
      ('Putt Log'!$C$2:$C$70=$C33),
    0),
    MATCH($G33,'Putt Log'!$E$1:$V$1,0)
  ),
"")</f>
        <v>2</v>
      </c>
      <c r="P33" t="str" cm="1">
        <f t="array" ref="P33">IF(K33=3,"",
  IFERROR(
    INDEX('Fairway Log'!$E$2:$V$70,
      MATCH(1,
        ('Fairway Log'!$A$2:$A$70=$A33)*
        ('Fairway Log'!$B$2:$B$70=$B33)*
        ('Fairway Log'!$C$2:$C104=$C33),
      0),
      MATCH($G33,'Fairway Log'!$E$1:$V$1,0)
    ),
  "")
)</f>
        <v>→</v>
      </c>
      <c r="Q33" t="str" cm="1">
        <f t="array" ref="Q33">IFERROR(
  INDEX('GIR Log'!$E$2:$V$70,
    MATCH(1,
      ('GIR Log'!$A$2:$A$70=$A33)*
      ('GIR Log'!$B$2:$B$70=$B33)*
      ('GIR Log'!$C$2:$C$70=$C33),
    0),
    MATCH($G33,'GIR Log'!$E$1:$V$1,0)
  ),
"")</f>
        <v>↓</v>
      </c>
    </row>
    <row r="34" spans="1:17" x14ac:dyDescent="0.25">
      <c r="A34" s="20" t="s">
        <v>126</v>
      </c>
      <c r="B34" s="2">
        <v>45655</v>
      </c>
      <c r="C34" t="s">
        <v>4</v>
      </c>
      <c r="D34" t="s">
        <v>71</v>
      </c>
      <c r="E34" s="12" t="s">
        <v>34</v>
      </c>
      <c r="F34">
        <v>85</v>
      </c>
      <c r="G34" t="s">
        <v>61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Log'!$E$2:$V$70,
    MATCH(1,
      ('Golf Log'!$A$2:$A$70=$A34)*
      ('Golf Log'!$B$2:$B$70=$B34)*
      ('Golf Log'!$C$2:$C$70=$C34),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Log'!$E$2:$V$70,
    MATCH(1,
      ('Putt Log'!$A$2:$A$70=$A34)*
      ('Putt Log'!$B$2:$B$70=$B34)*
      ('Putt Log'!$C$2:$C$70=$C34),
    0),
    MATCH($G34,'Putt Log'!$E$1:$V$1,0)
  ),
"")</f>
        <v>1</v>
      </c>
      <c r="P34" cm="1">
        <f t="array" ref="P34">IF(K34=3,"",
  IFERROR(
    INDEX('Fairway Log'!$E$2:$V$70,
      MATCH(1,
        ('Fairway Log'!$A$2:$A$70=$A34)*
        ('Fairway Log'!$B$2:$B$70=$B34)*
        ('Fairway Log'!$C$2:$C105=$C34),
      0),
      MATCH($G34,'Fairway Log'!$E$1:$V$1,0)
    ),
  "")
)</f>
        <v>1</v>
      </c>
      <c r="Q34" t="str" cm="1">
        <f t="array" ref="Q34">IFERROR(
  INDEX('GIR Log'!$E$2:$V$70,
    MATCH(1,
      ('GIR Log'!$A$2:$A$70=$A34)*
      ('GIR Log'!$B$2:$B$70=$B34)*
      ('GIR Log'!$C$2:$C$70=$C34),
    0),
    MATCH($G34,'GIR Log'!$E$1:$V$1,0)
  ),
"")</f>
        <v>↓</v>
      </c>
    </row>
    <row r="35" spans="1:17" x14ac:dyDescent="0.25">
      <c r="A35" s="20" t="s">
        <v>126</v>
      </c>
      <c r="B35" s="2">
        <v>45655</v>
      </c>
      <c r="C35" t="s">
        <v>4</v>
      </c>
      <c r="D35" t="s">
        <v>71</v>
      </c>
      <c r="E35" s="12" t="s">
        <v>34</v>
      </c>
      <c r="F35">
        <v>85</v>
      </c>
      <c r="G35" t="s">
        <v>62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Log'!$E$2:$V$70,
    MATCH(1,
      ('Golf Log'!$A$2:$A$70=$A35)*
      ('Golf Log'!$B$2:$B$70=$B35)*
      ('Golf Log'!$C$2:$C$70=$C35),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Log'!$E$2:$V$70,
    MATCH(1,
      ('Putt Log'!$A$2:$A$70=$A35)*
      ('Putt Log'!$B$2:$B$70=$B35)*
      ('Putt Log'!$C$2:$C$70=$C35),
    0),
    MATCH($G35,'Putt Log'!$E$1:$V$1,0)
  ),
"")</f>
        <v>2</v>
      </c>
      <c r="P35" t="str" cm="1">
        <f t="array" ref="P35">IF(K35=3,"",
  IFERROR(
    INDEX('Fairway Log'!$E$2:$V$70,
      MATCH(1,
        ('Fairway Log'!$A$2:$A$70=$A35)*
        ('Fairway Log'!$B$2:$B$70=$B35)*
        ('Fairway Log'!$C$2:$C106=$C35),
      0),
      MATCH($G35,'Fairway Log'!$E$1:$V$1,0)
    ),
  "")
)</f>
        <v/>
      </c>
      <c r="Q35" t="str" cm="1">
        <f t="array" ref="Q35">IFERROR(
  INDEX('GIR Log'!$E$2:$V$70,
    MATCH(1,
      ('GIR Log'!$A$2:$A$70=$A35)*
      ('GIR Log'!$B$2:$B$70=$B35)*
      ('GIR Log'!$C$2:$C$70=$C35),
    0),
    MATCH($G35,'GIR Log'!$E$1:$V$1,0)
  ),
"")</f>
        <v>↓</v>
      </c>
    </row>
    <row r="36" spans="1:17" x14ac:dyDescent="0.25">
      <c r="A36" s="20" t="s">
        <v>126</v>
      </c>
      <c r="B36" s="2">
        <v>45655</v>
      </c>
      <c r="C36" t="s">
        <v>4</v>
      </c>
      <c r="D36" t="s">
        <v>71</v>
      </c>
      <c r="E36" s="12" t="s">
        <v>34</v>
      </c>
      <c r="F36">
        <v>85</v>
      </c>
      <c r="G36" t="s">
        <v>63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Log'!$E$2:$V$70,
    MATCH(1,
      ('Golf Log'!$A$2:$A$70=$A36)*
      ('Golf Log'!$B$2:$B$70=$B36)*
      ('Golf Log'!$C$2:$C$70=$C36),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Log'!$E$2:$V$70,
    MATCH(1,
      ('Putt Log'!$A$2:$A$70=$A36)*
      ('Putt Log'!$B$2:$B$70=$B36)*
      ('Putt Log'!$C$2:$C$70=$C36),
    0),
    MATCH($G36,'Putt Log'!$E$1:$V$1,0)
  ),
"")</f>
        <v>2</v>
      </c>
      <c r="P36" cm="1">
        <f t="array" ref="P36">IF(K36=3,"",
  IFERROR(
    INDEX('Fairway Log'!$E$2:$V$70,
      MATCH(1,
        ('Fairway Log'!$A$2:$A$70=$A36)*
        ('Fairway Log'!$B$2:$B$70=$B36)*
        ('Fairway Log'!$C$2:$C107=$C36),
      0),
      MATCH($G36,'Fairway Log'!$E$1:$V$1,0)
    ),
  "")
)</f>
        <v>1</v>
      </c>
      <c r="Q36" cm="1">
        <f t="array" ref="Q36">IFERROR(
  INDEX('GIR Log'!$E$2:$V$70,
    MATCH(1,
      ('GIR Log'!$A$2:$A$70=$A36)*
      ('GIR Log'!$B$2:$B$70=$B36)*
      ('GIR Log'!$C$2:$C$70=$C36),
    0),
    MATCH($G36,'GIR Log'!$E$1:$V$1,0)
  ),
"")</f>
        <v>1</v>
      </c>
    </row>
    <row r="37" spans="1:17" x14ac:dyDescent="0.25">
      <c r="A37" s="20" t="s">
        <v>126</v>
      </c>
      <c r="B37" s="2">
        <v>45655</v>
      </c>
      <c r="C37" t="s">
        <v>4</v>
      </c>
      <c r="D37" t="s">
        <v>71</v>
      </c>
      <c r="E37" s="12" t="s">
        <v>34</v>
      </c>
      <c r="F37">
        <v>85</v>
      </c>
      <c r="G37" t="s">
        <v>64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Log'!$E$2:$V$70,
    MATCH(1,
      ('Golf Log'!$A$2:$A$70=$A37)*
      ('Golf Log'!$B$2:$B$70=$B37)*
      ('Golf Log'!$C$2:$C$70=$C37),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Log'!$E$2:$V$70,
    MATCH(1,
      ('Putt Log'!$A$2:$A$70=$A37)*
      ('Putt Log'!$B$2:$B$70=$B37)*
      ('Putt Log'!$C$2:$C$70=$C37),
    0),
    MATCH($G37,'Putt Log'!$E$1:$V$1,0)
  ),
"")</f>
        <v>2</v>
      </c>
      <c r="P37" cm="1">
        <f t="array" ref="P37">IF(K37=3,"",
  IFERROR(
    INDEX('Fairway Log'!$E$2:$V$70,
      MATCH(1,
        ('Fairway Log'!$A$2:$A$70=$A37)*
        ('Fairway Log'!$B$2:$B$70=$B37)*
        ('Fairway Log'!$C$2:$C108=$C37),
      0),
      MATCH($G37,'Fairway Log'!$E$1:$V$1,0)
    ),
  "")
)</f>
        <v>1</v>
      </c>
      <c r="Q37" cm="1">
        <f t="array" ref="Q37">IFERROR(
  INDEX('GIR Log'!$E$2:$V$70,
    MATCH(1,
      ('GIR Log'!$A$2:$A$70=$A37)*
      ('GIR Log'!$B$2:$B$70=$B37)*
      ('GIR Log'!$C$2:$C$70=$C37),
    0),
    MATCH($G37,'GIR Log'!$E$1:$V$1,0)
  ),
"")</f>
        <v>1</v>
      </c>
    </row>
    <row r="38" spans="1:17" x14ac:dyDescent="0.25">
      <c r="A38" s="20" t="s">
        <v>126</v>
      </c>
      <c r="B38" s="2">
        <v>45653</v>
      </c>
      <c r="C38" t="s">
        <v>2</v>
      </c>
      <c r="D38" t="s">
        <v>72</v>
      </c>
      <c r="E38" s="12" t="s">
        <v>34</v>
      </c>
      <c r="F38">
        <v>80</v>
      </c>
      <c r="G38" t="s">
        <v>47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Log'!$E$2:$V$70,
    MATCH(1,
      ('Golf Log'!$A$2:$A$70=$A38)*
      ('Golf Log'!$B$2:$B$70=$B38)*
      ('Golf Log'!$C$2:$C$70=$C38),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Log'!$E$2:$V$70,
    MATCH(1,
      ('Putt Log'!$A$2:$A$70=$A38)*
      ('Putt Log'!$B$2:$B$70=$B38)*
      ('Putt Log'!$C$2:$C$70=$C38),
    0),
    MATCH($G38,'Putt Log'!$E$1:$V$1,0)
  ),
"")</f>
        <v>2</v>
      </c>
      <c r="P38" cm="1">
        <f t="array" ref="P38">IF(K38=3,"",
  IFERROR(
    INDEX('Fairway Log'!$E$2:$V$70,
      MATCH(1,
        ('Fairway Log'!$A$2:$A$70=$A38)*
        ('Fairway Log'!$B$2:$B$70=$B38)*
        ('Fairway Log'!$C$2:$C109=$C38),
      0),
      MATCH($G38,'Fairway Log'!$E$1:$V$1,0)
    ),
  "")
)</f>
        <v>1</v>
      </c>
      <c r="Q38" t="str" cm="1">
        <f t="array" ref="Q38">IFERROR(
  INDEX('GIR Log'!$E$2:$V$70,
    MATCH(1,
      ('GIR Log'!$A$2:$A$70=$A38)*
      ('GIR Log'!$B$2:$B$70=$B38)*
      ('GIR Log'!$C$2:$C$70=$C38),
    0),
    MATCH($G38,'GIR Log'!$E$1:$V$1,0)
  ),
"")</f>
        <v>↓</v>
      </c>
    </row>
    <row r="39" spans="1:17" x14ac:dyDescent="0.25">
      <c r="A39" s="20" t="s">
        <v>126</v>
      </c>
      <c r="B39" s="2">
        <v>45653</v>
      </c>
      <c r="C39" t="s">
        <v>2</v>
      </c>
      <c r="D39" t="s">
        <v>72</v>
      </c>
      <c r="E39" s="12" t="s">
        <v>34</v>
      </c>
      <c r="F39">
        <v>80</v>
      </c>
      <c r="G39" t="s">
        <v>48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Log'!$E$2:$V$70,
    MATCH(1,
      ('Golf Log'!$A$2:$A$70=$A39)*
      ('Golf Log'!$B$2:$B$70=$B39)*
      ('Golf Log'!$C$2:$C$70=$C39),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Log'!$E$2:$V$70,
    MATCH(1,
      ('Putt Log'!$A$2:$A$70=$A39)*
      ('Putt Log'!$B$2:$B$70=$B39)*
      ('Putt Log'!$C$2:$C$70=$C39),
    0),
    MATCH($G39,'Putt Log'!$E$1:$V$1,0)
  ),
"")</f>
        <v>3</v>
      </c>
      <c r="P39" cm="1">
        <f t="array" ref="P39">IF(K39=3,"",
  IFERROR(
    INDEX('Fairway Log'!$E$2:$V$70,
      MATCH(1,
        ('Fairway Log'!$A$2:$A$70=$A39)*
        ('Fairway Log'!$B$2:$B$70=$B39)*
        ('Fairway Log'!$C$2:$C110=$C39),
      0),
      MATCH($G39,'Fairway Log'!$E$1:$V$1,0)
    ),
  "")
)</f>
        <v>1</v>
      </c>
      <c r="Q39" cm="1">
        <f t="array" ref="Q39">IFERROR(
  INDEX('GIR Log'!$E$2:$V$70,
    MATCH(1,
      ('GIR Log'!$A$2:$A$70=$A39)*
      ('GIR Log'!$B$2:$B$70=$B39)*
      ('GIR Log'!$C$2:$C$70=$C39),
    0),
    MATCH($G39,'GIR Log'!$E$1:$V$1,0)
  ),
"")</f>
        <v>1</v>
      </c>
    </row>
    <row r="40" spans="1:17" x14ac:dyDescent="0.25">
      <c r="A40" s="20" t="s">
        <v>126</v>
      </c>
      <c r="B40" s="2">
        <v>45653</v>
      </c>
      <c r="C40" t="s">
        <v>2</v>
      </c>
      <c r="D40" t="s">
        <v>72</v>
      </c>
      <c r="E40" s="12" t="s">
        <v>34</v>
      </c>
      <c r="F40">
        <v>80</v>
      </c>
      <c r="G40" t="s">
        <v>49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Log'!$E$2:$V$70,
    MATCH(1,
      ('Golf Log'!$A$2:$A$70=$A40)*
      ('Golf Log'!$B$2:$B$70=$B40)*
      ('Golf Log'!$C$2:$C$70=$C40),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Log'!$E$2:$V$70,
    MATCH(1,
      ('Putt Log'!$A$2:$A$70=$A40)*
      ('Putt Log'!$B$2:$B$70=$B40)*
      ('Putt Log'!$C$2:$C$70=$C40),
    0),
    MATCH($G40,'Putt Log'!$E$1:$V$1,0)
  ),
"")</f>
        <v>2</v>
      </c>
      <c r="P40" t="str" cm="1">
        <f t="array" ref="P40">IF(K40=3,"",
  IFERROR(
    INDEX('Fairway Log'!$E$2:$V$70,
      MATCH(1,
        ('Fairway Log'!$A$2:$A$70=$A40)*
        ('Fairway Log'!$B$2:$B$70=$B40)*
        ('Fairway Log'!$C$2:$C111=$C40),
      0),
      MATCH($G40,'Fairway Log'!$E$1:$V$1,0)
    ),
  "")
)</f>
        <v/>
      </c>
      <c r="Q40" t="str" cm="1">
        <f t="array" ref="Q40">IFERROR(
  INDEX('GIR Log'!$E$2:$V$70,
    MATCH(1,
      ('GIR Log'!$A$2:$A$70=$A40)*
      ('GIR Log'!$B$2:$B$70=$B40)*
      ('GIR Log'!$C$2:$C$70=$C40),
    0),
    MATCH($G40,'GIR Log'!$E$1:$V$1,0)
  ),
"")</f>
        <v>↑</v>
      </c>
    </row>
    <row r="41" spans="1:17" x14ac:dyDescent="0.25">
      <c r="A41" s="20" t="s">
        <v>126</v>
      </c>
      <c r="B41" s="2">
        <v>45653</v>
      </c>
      <c r="C41" t="s">
        <v>2</v>
      </c>
      <c r="D41" t="s">
        <v>72</v>
      </c>
      <c r="E41" s="12" t="s">
        <v>34</v>
      </c>
      <c r="F41">
        <v>80</v>
      </c>
      <c r="G41" t="s">
        <v>50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Log'!$E$2:$V$70,
    MATCH(1,
      ('Golf Log'!$A$2:$A$70=$A41)*
      ('Golf Log'!$B$2:$B$70=$B41)*
      ('Golf Log'!$C$2:$C$70=$C41),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Log'!$E$2:$V$70,
    MATCH(1,
      ('Putt Log'!$A$2:$A$70=$A41)*
      ('Putt Log'!$B$2:$B$70=$B41)*
      ('Putt Log'!$C$2:$C$70=$C41),
    0),
    MATCH($G41,'Putt Log'!$E$1:$V$1,0)
  ),
"")</f>
        <v>2</v>
      </c>
      <c r="P41" cm="1">
        <f t="array" ref="P41">IF(K41=3,"",
  IFERROR(
    INDEX('Fairway Log'!$E$2:$V$70,
      MATCH(1,
        ('Fairway Log'!$A$2:$A$70=$A41)*
        ('Fairway Log'!$B$2:$B$70=$B41)*
        ('Fairway Log'!$C$2:$C112=$C41),
      0),
      MATCH($G41,'Fairway Log'!$E$1:$V$1,0)
    ),
  "")
)</f>
        <v>1</v>
      </c>
      <c r="Q41" cm="1">
        <f t="array" ref="Q41">IFERROR(
  INDEX('GIR Log'!$E$2:$V$70,
    MATCH(1,
      ('GIR Log'!$A$2:$A$70=$A41)*
      ('GIR Log'!$B$2:$B$70=$B41)*
      ('GIR Log'!$C$2:$C$70=$C41),
    0),
    MATCH($G41,'GIR Log'!$E$1:$V$1,0)
  ),
"")</f>
        <v>1</v>
      </c>
    </row>
    <row r="42" spans="1:17" x14ac:dyDescent="0.25">
      <c r="A42" s="20" t="s">
        <v>126</v>
      </c>
      <c r="B42" s="2">
        <v>45653</v>
      </c>
      <c r="C42" t="s">
        <v>2</v>
      </c>
      <c r="D42" t="s">
        <v>72</v>
      </c>
      <c r="E42" s="12" t="s">
        <v>34</v>
      </c>
      <c r="F42">
        <v>80</v>
      </c>
      <c r="G42" t="s">
        <v>51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Log'!$E$2:$V$70,
    MATCH(1,
      ('Golf Log'!$A$2:$A$70=$A42)*
      ('Golf Log'!$B$2:$B$70=$B42)*
      ('Golf Log'!$C$2:$C$70=$C42),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Log'!$E$2:$V$70,
    MATCH(1,
      ('Putt Log'!$A$2:$A$70=$A42)*
      ('Putt Log'!$B$2:$B$70=$B42)*
      ('Putt Log'!$C$2:$C$70=$C42),
    0),
    MATCH($G42,'Putt Log'!$E$1:$V$1,0)
  ),
"")</f>
        <v>1</v>
      </c>
      <c r="P42" t="str" cm="1">
        <f t="array" ref="P42">IF(K42=3,"",
  IFERROR(
    INDEX('Fairway Log'!$E$2:$V$70,
      MATCH(1,
        ('Fairway Log'!$A$2:$A$70=$A42)*
        ('Fairway Log'!$B$2:$B$70=$B42)*
        ('Fairway Log'!$C$2:$C113=$C42),
      0),
      MATCH($G42,'Fairway Log'!$E$1:$V$1,0)
    ),
  "")
)</f>
        <v>←</v>
      </c>
      <c r="Q42" t="str" cm="1">
        <f t="array" ref="Q42">IFERROR(
  INDEX('GIR Log'!$E$2:$V$70,
    MATCH(1,
      ('GIR Log'!$A$2:$A$70=$A42)*
      ('GIR Log'!$B$2:$B$70=$B42)*
      ('GIR Log'!$C$2:$C$70=$C42),
    0),
    MATCH($G42,'GIR Log'!$E$1:$V$1,0)
  ),
"")</f>
        <v>↓</v>
      </c>
    </row>
    <row r="43" spans="1:17" x14ac:dyDescent="0.25">
      <c r="A43" s="20" t="s">
        <v>126</v>
      </c>
      <c r="B43" s="2">
        <v>45653</v>
      </c>
      <c r="C43" t="s">
        <v>2</v>
      </c>
      <c r="D43" t="s">
        <v>72</v>
      </c>
      <c r="E43" s="12" t="s">
        <v>34</v>
      </c>
      <c r="F43">
        <v>80</v>
      </c>
      <c r="G43" t="s">
        <v>52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Log'!$E$2:$V$70,
    MATCH(1,
      ('Golf Log'!$A$2:$A$70=$A43)*
      ('Golf Log'!$B$2:$B$70=$B43)*
      ('Golf Log'!$C$2:$C$70=$C43),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Log'!$E$2:$V$70,
    MATCH(1,
      ('Putt Log'!$A$2:$A$70=$A43)*
      ('Putt Log'!$B$2:$B$70=$B43)*
      ('Putt Log'!$C$2:$C$70=$C43),
    0),
    MATCH($G43,'Putt Log'!$E$1:$V$1,0)
  ),
"")</f>
        <v>2</v>
      </c>
      <c r="P43" t="str" cm="1">
        <f t="array" ref="P43">IF(K43=3,"",
  IFERROR(
    INDEX('Fairway Log'!$E$2:$V$70,
      MATCH(1,
        ('Fairway Log'!$A$2:$A$70=$A43)*
        ('Fairway Log'!$B$2:$B$70=$B43)*
        ('Fairway Log'!$C$2:$C114=$C43),
      0),
      MATCH($G43,'Fairway Log'!$E$1:$V$1,0)
    ),
  "")
)</f>
        <v>→</v>
      </c>
      <c r="Q43" cm="1">
        <f t="array" ref="Q43">IFERROR(
  INDEX('GIR Log'!$E$2:$V$70,
    MATCH(1,
      ('GIR Log'!$A$2:$A$70=$A43)*
      ('GIR Log'!$B$2:$B$70=$B43)*
      ('GIR Log'!$C$2:$C$70=$C43),
    0),
    MATCH($G43,'GIR Log'!$E$1:$V$1,0)
  ),
"")</f>
        <v>1</v>
      </c>
    </row>
    <row r="44" spans="1:17" x14ac:dyDescent="0.25">
      <c r="A44" s="20" t="s">
        <v>126</v>
      </c>
      <c r="B44" s="2">
        <v>45653</v>
      </c>
      <c r="C44" t="s">
        <v>2</v>
      </c>
      <c r="D44" t="s">
        <v>72</v>
      </c>
      <c r="E44" s="12" t="s">
        <v>34</v>
      </c>
      <c r="F44">
        <v>80</v>
      </c>
      <c r="G44" t="s">
        <v>53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Log'!$E$2:$V$70,
    MATCH(1,
      ('Golf Log'!$A$2:$A$70=$A44)*
      ('Golf Log'!$B$2:$B$70=$B44)*
      ('Golf Log'!$C$2:$C$70=$C44),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Log'!$E$2:$V$70,
    MATCH(1,
      ('Putt Log'!$A$2:$A$70=$A44)*
      ('Putt Log'!$B$2:$B$70=$B44)*
      ('Putt Log'!$C$2:$C$70=$C44),
    0),
    MATCH($G44,'Putt Log'!$E$1:$V$1,0)
  ),
"")</f>
        <v>1</v>
      </c>
      <c r="P44" cm="1">
        <f t="array" ref="P44">IF(K44=3,"",
  IFERROR(
    INDEX('Fairway Log'!$E$2:$V$70,
      MATCH(1,
        ('Fairway Log'!$A$2:$A$70=$A44)*
        ('Fairway Log'!$B$2:$B$70=$B44)*
        ('Fairway Log'!$C$2:$C115=$C44),
      0),
      MATCH($G44,'Fairway Log'!$E$1:$V$1,0)
    ),
  "")
)</f>
        <v>1</v>
      </c>
      <c r="Q44" t="str" cm="1">
        <f t="array" ref="Q44">IFERROR(
  INDEX('GIR Log'!$E$2:$V$70,
    MATCH(1,
      ('GIR Log'!$A$2:$A$70=$A44)*
      ('GIR Log'!$B$2:$B$70=$B44)*
      ('GIR Log'!$C$2:$C$70=$C44),
    0),
    MATCH($G44,'GIR Log'!$E$1:$V$1,0)
  ),
"")</f>
        <v>→</v>
      </c>
    </row>
    <row r="45" spans="1:17" x14ac:dyDescent="0.25">
      <c r="A45" s="20" t="s">
        <v>126</v>
      </c>
      <c r="B45" s="2">
        <v>45653</v>
      </c>
      <c r="C45" t="s">
        <v>2</v>
      </c>
      <c r="D45" t="s">
        <v>72</v>
      </c>
      <c r="E45" s="12" t="s">
        <v>34</v>
      </c>
      <c r="F45">
        <v>80</v>
      </c>
      <c r="G45" t="s">
        <v>54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Log'!$E$2:$V$70,
    MATCH(1,
      ('Golf Log'!$A$2:$A$70=$A45)*
      ('Golf Log'!$B$2:$B$70=$B45)*
      ('Golf Log'!$C$2:$C$70=$C45),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Log'!$E$2:$V$70,
    MATCH(1,
      ('Putt Log'!$A$2:$A$70=$A45)*
      ('Putt Log'!$B$2:$B$70=$B45)*
      ('Putt Log'!$C$2:$C$70=$C45),
    0),
    MATCH($G45,'Putt Log'!$E$1:$V$1,0)
  ),
"")</f>
        <v>2</v>
      </c>
      <c r="P45" t="str" cm="1">
        <f t="array" ref="P45">IF(K45=3,"",
  IFERROR(
    INDEX('Fairway Log'!$E$2:$V$70,
      MATCH(1,
        ('Fairway Log'!$A$2:$A$70=$A45)*
        ('Fairway Log'!$B$2:$B$70=$B45)*
        ('Fairway Log'!$C$2:$C116=$C45),
      0),
      MATCH($G45,'Fairway Log'!$E$1:$V$1,0)
    ),
  "")
)</f>
        <v/>
      </c>
      <c r="Q45" cm="1">
        <f t="array" ref="Q45">IFERROR(
  INDEX('GIR Log'!$E$2:$V$70,
    MATCH(1,
      ('GIR Log'!$A$2:$A$70=$A45)*
      ('GIR Log'!$B$2:$B$70=$B45)*
      ('GIR Log'!$C$2:$C$70=$C45),
    0),
    MATCH($G45,'GIR Log'!$E$1:$V$1,0)
  ),
"")</f>
        <v>1</v>
      </c>
    </row>
    <row r="46" spans="1:17" x14ac:dyDescent="0.25">
      <c r="A46" s="20" t="s">
        <v>126</v>
      </c>
      <c r="B46" s="2">
        <v>45653</v>
      </c>
      <c r="C46" t="s">
        <v>2</v>
      </c>
      <c r="D46" t="s">
        <v>72</v>
      </c>
      <c r="E46" s="12" t="s">
        <v>34</v>
      </c>
      <c r="F46">
        <v>80</v>
      </c>
      <c r="G46" t="s">
        <v>55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Log'!$E$2:$V$70,
    MATCH(1,
      ('Golf Log'!$A$2:$A$70=$A46)*
      ('Golf Log'!$B$2:$B$70=$B46)*
      ('Golf Log'!$C$2:$C$70=$C46),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Log'!$E$2:$V$70,
    MATCH(1,
      ('Putt Log'!$A$2:$A$70=$A46)*
      ('Putt Log'!$B$2:$B$70=$B46)*
      ('Putt Log'!$C$2:$C$70=$C46),
    0),
    MATCH($G46,'Putt Log'!$E$1:$V$1,0)
  ),
"")</f>
        <v>2</v>
      </c>
      <c r="P46" cm="1">
        <f t="array" ref="P46">IF(K46=3,"",
  IFERROR(
    INDEX('Fairway Log'!$E$2:$V$70,
      MATCH(1,
        ('Fairway Log'!$A$2:$A$70=$A46)*
        ('Fairway Log'!$B$2:$B$70=$B46)*
        ('Fairway Log'!$C$2:$C117=$C46),
      0),
      MATCH($G46,'Fairway Log'!$E$1:$V$1,0)
    ),
  "")
)</f>
        <v>1</v>
      </c>
      <c r="Q46" t="str" cm="1">
        <f t="array" ref="Q46">IFERROR(
  INDEX('GIR Log'!$E$2:$V$70,
    MATCH(1,
      ('GIR Log'!$A$2:$A$70=$A46)*
      ('GIR Log'!$B$2:$B$70=$B46)*
      ('GIR Log'!$C$2:$C$70=$C46),
    0),
    MATCH($G46,'GIR Log'!$E$1:$V$1,0)
  ),
"")</f>
        <v>↓</v>
      </c>
    </row>
    <row r="47" spans="1:17" x14ac:dyDescent="0.25">
      <c r="A47" s="20" t="s">
        <v>126</v>
      </c>
      <c r="B47" s="2">
        <v>45653</v>
      </c>
      <c r="C47" t="s">
        <v>2</v>
      </c>
      <c r="D47" t="s">
        <v>72</v>
      </c>
      <c r="E47" s="12" t="s">
        <v>34</v>
      </c>
      <c r="F47">
        <v>80</v>
      </c>
      <c r="G47" t="s">
        <v>56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Log'!$E$2:$V$70,
    MATCH(1,
      ('Golf Log'!$A$2:$A$70=$A47)*
      ('Golf Log'!$B$2:$B$70=$B47)*
      ('Golf Log'!$C$2:$C$70=$C47),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Log'!$E$2:$V$70,
    MATCH(1,
      ('Putt Log'!$A$2:$A$70=$A47)*
      ('Putt Log'!$B$2:$B$70=$B47)*
      ('Putt Log'!$C$2:$C$70=$C47),
    0),
    MATCH($G47,'Putt Log'!$E$1:$V$1,0)
  ),
"")</f>
        <v>2</v>
      </c>
      <c r="P47" cm="1">
        <f t="array" ref="P47">IF(K47=3,"",
  IFERROR(
    INDEX('Fairway Log'!$E$2:$V$70,
      MATCH(1,
        ('Fairway Log'!$A$2:$A$70=$A47)*
        ('Fairway Log'!$B$2:$B$70=$B47)*
        ('Fairway Log'!$C$2:$C118=$C47),
      0),
      MATCH($G47,'Fairway Log'!$E$1:$V$1,0)
    ),
  "")
)</f>
        <v>1</v>
      </c>
      <c r="Q47" t="str" cm="1">
        <f t="array" ref="Q47">IFERROR(
  INDEX('GIR Log'!$E$2:$V$70,
    MATCH(1,
      ('GIR Log'!$A$2:$A$70=$A47)*
      ('GIR Log'!$B$2:$B$70=$B47)*
      ('GIR Log'!$C$2:$C$70=$C47),
    0),
    MATCH($G47,'GIR Log'!$E$1:$V$1,0)
  ),
"")</f>
        <v>↑</v>
      </c>
    </row>
    <row r="48" spans="1:17" x14ac:dyDescent="0.25">
      <c r="A48" s="20" t="s">
        <v>126</v>
      </c>
      <c r="B48" s="2">
        <v>45653</v>
      </c>
      <c r="C48" t="s">
        <v>2</v>
      </c>
      <c r="D48" t="s">
        <v>72</v>
      </c>
      <c r="E48" s="12" t="s">
        <v>34</v>
      </c>
      <c r="F48">
        <v>80</v>
      </c>
      <c r="G48" t="s">
        <v>57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Log'!$E$2:$V$70,
    MATCH(1,
      ('Golf Log'!$A$2:$A$70=$A48)*
      ('Golf Log'!$B$2:$B$70=$B48)*
      ('Golf Log'!$C$2:$C$70=$C48),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Log'!$E$2:$V$70,
    MATCH(1,
      ('Putt Log'!$A$2:$A$70=$A48)*
      ('Putt Log'!$B$2:$B$70=$B48)*
      ('Putt Log'!$C$2:$C$70=$C48),
    0),
    MATCH($G48,'Putt Log'!$E$1:$V$1,0)
  ),
"")</f>
        <v>2</v>
      </c>
      <c r="P48" t="str" cm="1">
        <f t="array" ref="P48">IF(K48=3,"",
  IFERROR(
    INDEX('Fairway Log'!$E$2:$V$70,
      MATCH(1,
        ('Fairway Log'!$A$2:$A$70=$A48)*
        ('Fairway Log'!$B$2:$B$70=$B48)*
        ('Fairway Log'!$C$2:$C119=$C48),
      0),
      MATCH($G48,'Fairway Log'!$E$1:$V$1,0)
    ),
  "")
)</f>
        <v/>
      </c>
      <c r="Q48" cm="1">
        <f t="array" ref="Q48">IFERROR(
  INDEX('GIR Log'!$E$2:$V$70,
    MATCH(1,
      ('GIR Log'!$A$2:$A$70=$A48)*
      ('GIR Log'!$B$2:$B$70=$B48)*
      ('GIR Log'!$C$2:$C$70=$C48),
    0),
    MATCH($G48,'GIR Log'!$E$1:$V$1,0)
  ),
"")</f>
        <v>1</v>
      </c>
    </row>
    <row r="49" spans="1:17" x14ac:dyDescent="0.25">
      <c r="A49" s="20" t="s">
        <v>126</v>
      </c>
      <c r="B49" s="2">
        <v>45653</v>
      </c>
      <c r="C49" t="s">
        <v>2</v>
      </c>
      <c r="D49" t="s">
        <v>72</v>
      </c>
      <c r="E49" s="12" t="s">
        <v>34</v>
      </c>
      <c r="F49">
        <v>80</v>
      </c>
      <c r="G49" t="s">
        <v>58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Log'!$E$2:$V$70,
    MATCH(1,
      ('Golf Log'!$A$2:$A$70=$A49)*
      ('Golf Log'!$B$2:$B$70=$B49)*
      ('Golf Log'!$C$2:$C$70=$C49),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Log'!$E$2:$V$70,
    MATCH(1,
      ('Putt Log'!$A$2:$A$70=$A49)*
      ('Putt Log'!$B$2:$B$70=$B49)*
      ('Putt Log'!$C$2:$C$70=$C49),
    0),
    MATCH($G49,'Putt Log'!$E$1:$V$1,0)
  ),
"")</f>
        <v>2</v>
      </c>
      <c r="P49" t="str" cm="1">
        <f t="array" ref="P49">IF(K49=3,"",
  IFERROR(
    INDEX('Fairway Log'!$E$2:$V$70,
      MATCH(1,
        ('Fairway Log'!$A$2:$A$70=$A49)*
        ('Fairway Log'!$B$2:$B$70=$B49)*
        ('Fairway Log'!$C$2:$C120=$C49),
      0),
      MATCH($G49,'Fairway Log'!$E$1:$V$1,0)
    ),
  "")
)</f>
        <v>←</v>
      </c>
      <c r="Q49" t="str" cm="1">
        <f t="array" ref="Q49">IFERROR(
  INDEX('GIR Log'!$E$2:$V$70,
    MATCH(1,
      ('GIR Log'!$A$2:$A$70=$A49)*
      ('GIR Log'!$B$2:$B$70=$B49)*
      ('GIR Log'!$C$2:$C$70=$C49),
    0),
    MATCH($G49,'GIR Log'!$E$1:$V$1,0)
  ),
"")</f>
        <v>↓</v>
      </c>
    </row>
    <row r="50" spans="1:17" x14ac:dyDescent="0.25">
      <c r="A50" s="20" t="s">
        <v>126</v>
      </c>
      <c r="B50" s="2">
        <v>45653</v>
      </c>
      <c r="C50" t="s">
        <v>2</v>
      </c>
      <c r="D50" t="s">
        <v>72</v>
      </c>
      <c r="E50" s="12" t="s">
        <v>34</v>
      </c>
      <c r="F50">
        <v>80</v>
      </c>
      <c r="G50" t="s">
        <v>59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Log'!$E$2:$V$70,
    MATCH(1,
      ('Golf Log'!$A$2:$A$70=$A50)*
      ('Golf Log'!$B$2:$B$70=$B50)*
      ('Golf Log'!$C$2:$C$70=$C50),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Log'!$E$2:$V$70,
    MATCH(1,
      ('Putt Log'!$A$2:$A$70=$A50)*
      ('Putt Log'!$B$2:$B$70=$B50)*
      ('Putt Log'!$C$2:$C$70=$C50),
    0),
    MATCH($G50,'Putt Log'!$E$1:$V$1,0)
  ),
"")</f>
        <v>1</v>
      </c>
      <c r="P50" t="str" cm="1">
        <f t="array" ref="P50">IF(K50=3,"",
  IFERROR(
    INDEX('Fairway Log'!$E$2:$V$70,
      MATCH(1,
        ('Fairway Log'!$A$2:$A$70=$A50)*
        ('Fairway Log'!$B$2:$B$70=$B50)*
        ('Fairway Log'!$C$2:$C121=$C50),
      0),
      MATCH($G50,'Fairway Log'!$E$1:$V$1,0)
    ),
  "")
)</f>
        <v>→</v>
      </c>
      <c r="Q50" t="str" cm="1">
        <f t="array" ref="Q50">IFERROR(
  INDEX('GIR Log'!$E$2:$V$70,
    MATCH(1,
      ('GIR Log'!$A$2:$A$70=$A50)*
      ('GIR Log'!$B$2:$B$70=$B50)*
      ('GIR Log'!$C$2:$C$70=$C50),
    0),
    MATCH($G50,'GIR Log'!$E$1:$V$1,0)
  ),
"")</f>
        <v>↓</v>
      </c>
    </row>
    <row r="51" spans="1:17" x14ac:dyDescent="0.25">
      <c r="A51" s="20" t="s">
        <v>126</v>
      </c>
      <c r="B51" s="2">
        <v>45653</v>
      </c>
      <c r="C51" t="s">
        <v>2</v>
      </c>
      <c r="D51" t="s">
        <v>72</v>
      </c>
      <c r="E51" s="12" t="s">
        <v>34</v>
      </c>
      <c r="F51">
        <v>80</v>
      </c>
      <c r="G51" t="s">
        <v>60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Log'!$E$2:$V$70,
    MATCH(1,
      ('Golf Log'!$A$2:$A$70=$A51)*
      ('Golf Log'!$B$2:$B$70=$B51)*
      ('Golf Log'!$C$2:$C$70=$C51),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Log'!$E$2:$V$70,
    MATCH(1,
      ('Putt Log'!$A$2:$A$70=$A51)*
      ('Putt Log'!$B$2:$B$70=$B51)*
      ('Putt Log'!$C$2:$C$70=$C51),
    0),
    MATCH($G51,'Putt Log'!$E$1:$V$1,0)
  ),
"")</f>
        <v>1</v>
      </c>
      <c r="P51" t="str" cm="1">
        <f t="array" ref="P51">IF(K51=3,"",
  IFERROR(
    INDEX('Fairway Log'!$E$2:$V$70,
      MATCH(1,
        ('Fairway Log'!$A$2:$A$70=$A51)*
        ('Fairway Log'!$B$2:$B$70=$B51)*
        ('Fairway Log'!$C$2:$C122=$C51),
      0),
      MATCH($G51,'Fairway Log'!$E$1:$V$1,0)
    ),
  "")
)</f>
        <v>→</v>
      </c>
      <c r="Q51" t="str" cm="1">
        <f t="array" ref="Q51">IFERROR(
  INDEX('GIR Log'!$E$2:$V$70,
    MATCH(1,
      ('GIR Log'!$A$2:$A$70=$A51)*
      ('GIR Log'!$B$2:$B$70=$B51)*
      ('GIR Log'!$C$2:$C$70=$C51),
    0),
    MATCH($G51,'GIR Log'!$E$1:$V$1,0)
  ),
"")</f>
        <v>↓</v>
      </c>
    </row>
    <row r="52" spans="1:17" x14ac:dyDescent="0.25">
      <c r="A52" s="20" t="s">
        <v>126</v>
      </c>
      <c r="B52" s="2">
        <v>45653</v>
      </c>
      <c r="C52" t="s">
        <v>2</v>
      </c>
      <c r="D52" t="s">
        <v>72</v>
      </c>
      <c r="E52" s="12" t="s">
        <v>34</v>
      </c>
      <c r="F52">
        <v>80</v>
      </c>
      <c r="G52" t="s">
        <v>61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Log'!$E$2:$V$70,
    MATCH(1,
      ('Golf Log'!$A$2:$A$70=$A52)*
      ('Golf Log'!$B$2:$B$70=$B52)*
      ('Golf Log'!$C$2:$C$70=$C52),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Log'!$E$2:$V$70,
    MATCH(1,
      ('Putt Log'!$A$2:$A$70=$A52)*
      ('Putt Log'!$B$2:$B$70=$B52)*
      ('Putt Log'!$C$2:$C$70=$C52),
    0),
    MATCH($G52,'Putt Log'!$E$1:$V$1,0)
  ),
"")</f>
        <v>1</v>
      </c>
      <c r="P52" t="str" cm="1">
        <f t="array" ref="P52">IF(K52=3,"",
  IFERROR(
    INDEX('Fairway Log'!$E$2:$V$70,
      MATCH(1,
        ('Fairway Log'!$A$2:$A$70=$A52)*
        ('Fairway Log'!$B$2:$B$70=$B52)*
        ('Fairway Log'!$C$2:$C123=$C52),
      0),
      MATCH($G52,'Fairway Log'!$E$1:$V$1,0)
    ),
  "")
)</f>
        <v>→</v>
      </c>
      <c r="Q52" t="str" cm="1">
        <f t="array" ref="Q52">IFERROR(
  INDEX('GIR Log'!$E$2:$V$70,
    MATCH(1,
      ('GIR Log'!$A$2:$A$70=$A52)*
      ('GIR Log'!$B$2:$B$70=$B52)*
      ('GIR Log'!$C$2:$C$70=$C52),
    0),
    MATCH($G52,'GIR Log'!$E$1:$V$1,0)
  ),
"")</f>
        <v>↑</v>
      </c>
    </row>
    <row r="53" spans="1:17" x14ac:dyDescent="0.25">
      <c r="A53" s="20" t="s">
        <v>126</v>
      </c>
      <c r="B53" s="2">
        <v>45653</v>
      </c>
      <c r="C53" t="s">
        <v>2</v>
      </c>
      <c r="D53" t="s">
        <v>72</v>
      </c>
      <c r="E53" s="12" t="s">
        <v>34</v>
      </c>
      <c r="F53">
        <v>80</v>
      </c>
      <c r="G53" t="s">
        <v>62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Log'!$E$2:$V$70,
    MATCH(1,
      ('Golf Log'!$A$2:$A$70=$A53)*
      ('Golf Log'!$B$2:$B$70=$B53)*
      ('Golf Log'!$C$2:$C$70=$C53),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Log'!$E$2:$V$70,
    MATCH(1,
      ('Putt Log'!$A$2:$A$70=$A53)*
      ('Putt Log'!$B$2:$B$70=$B53)*
      ('Putt Log'!$C$2:$C$70=$C53),
    0),
    MATCH($G53,'Putt Log'!$E$1:$V$1,0)
  ),
"")</f>
        <v>2</v>
      </c>
      <c r="P53" t="str" cm="1">
        <f t="array" ref="P53">IF(K53=3,"",
  IFERROR(
    INDEX('Fairway Log'!$E$2:$V$70,
      MATCH(1,
        ('Fairway Log'!$A$2:$A$70=$A53)*
        ('Fairway Log'!$B$2:$B$70=$B53)*
        ('Fairway Log'!$C$2:$C124=$C53),
      0),
      MATCH($G53,'Fairway Log'!$E$1:$V$1,0)
    ),
  "")
)</f>
        <v/>
      </c>
      <c r="Q53" t="str" cm="1">
        <f t="array" ref="Q53">IFERROR(
  INDEX('GIR Log'!$E$2:$V$70,
    MATCH(1,
      ('GIR Log'!$A$2:$A$70=$A53)*
      ('GIR Log'!$B$2:$B$70=$B53)*
      ('GIR Log'!$C$2:$C$70=$C53),
    0),
    MATCH($G53,'GIR Log'!$E$1:$V$1,0)
  ),
"")</f>
        <v>↑</v>
      </c>
    </row>
    <row r="54" spans="1:17" x14ac:dyDescent="0.25">
      <c r="A54" s="20" t="s">
        <v>126</v>
      </c>
      <c r="B54" s="2">
        <v>45653</v>
      </c>
      <c r="C54" t="s">
        <v>2</v>
      </c>
      <c r="D54" t="s">
        <v>72</v>
      </c>
      <c r="E54" s="12" t="s">
        <v>34</v>
      </c>
      <c r="F54">
        <v>80</v>
      </c>
      <c r="G54" t="s">
        <v>63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Log'!$E$2:$V$70,
    MATCH(1,
      ('Golf Log'!$A$2:$A$70=$A54)*
      ('Golf Log'!$B$2:$B$70=$B54)*
      ('Golf Log'!$C$2:$C$70=$C54),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Log'!$E$2:$V$70,
    MATCH(1,
      ('Putt Log'!$A$2:$A$70=$A54)*
      ('Putt Log'!$B$2:$B$70=$B54)*
      ('Putt Log'!$C$2:$C$70=$C54),
    0),
    MATCH($G54,'Putt Log'!$E$1:$V$1,0)
  ),
"")</f>
        <v>2</v>
      </c>
      <c r="P54" cm="1">
        <f t="array" ref="P54">IF(K54=3,"",
  IFERROR(
    INDEX('Fairway Log'!$E$2:$V$70,
      MATCH(1,
        ('Fairway Log'!$A$2:$A$70=$A54)*
        ('Fairway Log'!$B$2:$B$70=$B54)*
        ('Fairway Log'!$C$2:$C125=$C54),
      0),
      MATCH($G54,'Fairway Log'!$E$1:$V$1,0)
    ),
  "")
)</f>
        <v>1</v>
      </c>
      <c r="Q54" t="str" cm="1">
        <f t="array" ref="Q54">IFERROR(
  INDEX('GIR Log'!$E$2:$V$70,
    MATCH(1,
      ('GIR Log'!$A$2:$A$70=$A54)*
      ('GIR Log'!$B$2:$B$70=$B54)*
      ('GIR Log'!$C$2:$C$70=$C54),
    0),
    MATCH($G54,'GIR Log'!$E$1:$V$1,0)
  ),
"")</f>
        <v>↑</v>
      </c>
    </row>
    <row r="55" spans="1:17" x14ac:dyDescent="0.25">
      <c r="A55" s="20" t="s">
        <v>126</v>
      </c>
      <c r="B55" s="2">
        <v>45653</v>
      </c>
      <c r="C55" t="s">
        <v>2</v>
      </c>
      <c r="D55" t="s">
        <v>72</v>
      </c>
      <c r="E55" s="12" t="s">
        <v>34</v>
      </c>
      <c r="F55">
        <v>80</v>
      </c>
      <c r="G55" t="s">
        <v>64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Log'!$E$2:$V$70,
    MATCH(1,
      ('Golf Log'!$A$2:$A$70=$A55)*
      ('Golf Log'!$B$2:$B$70=$B55)*
      ('Golf Log'!$C$2:$C$70=$C55),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Log'!$E$2:$V$70,
    MATCH(1,
      ('Putt Log'!$A$2:$A$70=$A55)*
      ('Putt Log'!$B$2:$B$70=$B55)*
      ('Putt Log'!$C$2:$C$70=$C55),
    0),
    MATCH($G55,'Putt Log'!$E$1:$V$1,0)
  ),
"")</f>
        <v>1</v>
      </c>
      <c r="P55" cm="1">
        <f t="array" ref="P55">IF(K55=3,"",
  IFERROR(
    INDEX('Fairway Log'!$E$2:$V$70,
      MATCH(1,
        ('Fairway Log'!$A$2:$A$70=$A55)*
        ('Fairway Log'!$B$2:$B$70=$B55)*
        ('Fairway Log'!$C$2:$C126=$C55),
      0),
      MATCH($G55,'Fairway Log'!$E$1:$V$1,0)
    ),
  "")
)</f>
        <v>1</v>
      </c>
      <c r="Q55" t="str" cm="1">
        <f t="array" ref="Q55">IFERROR(
  INDEX('GIR Log'!$E$2:$V$70,
    MATCH(1,
      ('GIR Log'!$A$2:$A$70=$A55)*
      ('GIR Log'!$B$2:$B$70=$B55)*
      ('GIR Log'!$C$2:$C$70=$C55),
    0),
    MATCH($G55,'GIR Log'!$E$1:$V$1,0)
  ),
"")</f>
        <v>→</v>
      </c>
    </row>
    <row r="56" spans="1:17" x14ac:dyDescent="0.25">
      <c r="A56" s="20" t="s">
        <v>126</v>
      </c>
      <c r="B56" s="2">
        <v>45649</v>
      </c>
      <c r="C56" s="12" t="s">
        <v>14</v>
      </c>
      <c r="D56" s="12" t="s">
        <v>73</v>
      </c>
      <c r="E56" s="12" t="s">
        <v>40</v>
      </c>
      <c r="F56">
        <v>88</v>
      </c>
      <c r="G56" t="s">
        <v>47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Log'!$E$2:$V$70,
    MATCH(1,
      ('Golf Log'!$A$2:$A$70=$A56)*
      ('Golf Log'!$B$2:$B$70=$B56)*
      ('Golf Log'!$C$2:$C$70=$C56),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Log'!$E$2:$V$70,
    MATCH(1,
      ('Putt Log'!$A$2:$A$70=$A56)*
      ('Putt Log'!$B$2:$B$70=$B56)*
      ('Putt Log'!$C$2:$C$70=$C56),
    0),
    MATCH($G56,'Putt Log'!$E$1:$V$1,0)
  ),
"")</f>
        <v>2</v>
      </c>
      <c r="P56" t="str" cm="1">
        <f t="array" ref="P56">IF(K56=3,"",
  IFERROR(
    INDEX('Fairway Log'!$E$2:$V$70,
      MATCH(1,
        ('Fairway Log'!$A$2:$A$70=$A56)*
        ('Fairway Log'!$B$2:$B$70=$B56)*
        ('Fairway Log'!$C$2:$C127=$C56),
      0),
      MATCH($G56,'Fairway Log'!$E$1:$V$1,0)
    ),
  "")
)</f>
        <v>↓</v>
      </c>
      <c r="Q56" t="str" cm="1">
        <f t="array" ref="Q56">IFERROR(
  INDEX('GIR Log'!$E$2:$V$70,
    MATCH(1,
      ('GIR Log'!$A$2:$A$70=$A56)*
      ('GIR Log'!$B$2:$B$70=$B56)*
      ('GIR Log'!$C$2:$C$70=$C56),
    0),
    MATCH($G56,'GIR Log'!$E$1:$V$1,0)
  ),
"")</f>
        <v>←</v>
      </c>
    </row>
    <row r="57" spans="1:17" x14ac:dyDescent="0.25">
      <c r="A57" s="20" t="s">
        <v>126</v>
      </c>
      <c r="B57" s="2">
        <v>45649</v>
      </c>
      <c r="C57" s="12" t="s">
        <v>14</v>
      </c>
      <c r="D57" s="12" t="s">
        <v>73</v>
      </c>
      <c r="E57" s="12" t="s">
        <v>40</v>
      </c>
      <c r="F57">
        <v>88</v>
      </c>
      <c r="G57" t="s">
        <v>48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Log'!$E$2:$V$70,
    MATCH(1,
      ('Golf Log'!$A$2:$A$70=$A57)*
      ('Golf Log'!$B$2:$B$70=$B57)*
      ('Golf Log'!$C$2:$C$70=$C57),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Log'!$E$2:$V$70,
    MATCH(1,
      ('Putt Log'!$A$2:$A$70=$A57)*
      ('Putt Log'!$B$2:$B$70=$B57)*
      ('Putt Log'!$C$2:$C$70=$C57),
    0),
    MATCH($G57,'Putt Log'!$E$1:$V$1,0)
  ),
"")</f>
        <v>3</v>
      </c>
      <c r="P57" t="str" cm="1">
        <f t="array" ref="P57">IF(K57=3,"",
  IFERROR(
    INDEX('Fairway Log'!$E$2:$V$70,
      MATCH(1,
        ('Fairway Log'!$A$2:$A$70=$A57)*
        ('Fairway Log'!$B$2:$B$70=$B57)*
        ('Fairway Log'!$C$2:$C128=$C57),
      0),
      MATCH($G57,'Fairway Log'!$E$1:$V$1,0)
    ),
  "")
)</f>
        <v/>
      </c>
      <c r="Q57" t="str" cm="1">
        <f t="array" ref="Q57">IFERROR(
  INDEX('GIR Log'!$E$2:$V$70,
    MATCH(1,
      ('GIR Log'!$A$2:$A$70=$A57)*
      ('GIR Log'!$B$2:$B$70=$B57)*
      ('GIR Log'!$C$2:$C$70=$C57),
    0),
    MATCH($G57,'GIR Log'!$E$1:$V$1,0)
  ),
"")</f>
        <v>↓</v>
      </c>
    </row>
    <row r="58" spans="1:17" x14ac:dyDescent="0.25">
      <c r="A58" s="20" t="s">
        <v>126</v>
      </c>
      <c r="B58" s="2">
        <v>45649</v>
      </c>
      <c r="C58" s="12" t="s">
        <v>14</v>
      </c>
      <c r="D58" s="12" t="s">
        <v>73</v>
      </c>
      <c r="E58" s="12" t="s">
        <v>40</v>
      </c>
      <c r="F58">
        <v>88</v>
      </c>
      <c r="G58" t="s">
        <v>49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Log'!$E$2:$V$70,
    MATCH(1,
      ('Golf Log'!$A$2:$A$70=$A58)*
      ('Golf Log'!$B$2:$B$70=$B58)*
      ('Golf Log'!$C$2:$C$70=$C58),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Log'!$E$2:$V$70,
    MATCH(1,
      ('Putt Log'!$A$2:$A$70=$A58)*
      ('Putt Log'!$B$2:$B$70=$B58)*
      ('Putt Log'!$C$2:$C$70=$C58),
    0),
    MATCH($G58,'Putt Log'!$E$1:$V$1,0)
  ),
"")</f>
        <v>2</v>
      </c>
      <c r="P58" t="str" cm="1">
        <f t="array" ref="P58">IF(K58=3,"",
  IFERROR(
    INDEX('Fairway Log'!$E$2:$V$70,
      MATCH(1,
        ('Fairway Log'!$A$2:$A$70=$A58)*
        ('Fairway Log'!$B$2:$B$70=$B58)*
        ('Fairway Log'!$C$2:$C129=$C58),
      0),
      MATCH($G58,'Fairway Log'!$E$1:$V$1,0)
    ),
  "")
)</f>
        <v>→</v>
      </c>
      <c r="Q58" t="str" cm="1">
        <f t="array" ref="Q58">IFERROR(
  INDEX('GIR Log'!$E$2:$V$70,
    MATCH(1,
      ('GIR Log'!$A$2:$A$70=$A58)*
      ('GIR Log'!$B$2:$B$70=$B58)*
      ('GIR Log'!$C$2:$C$70=$C58),
    0),
    MATCH($G58,'GIR Log'!$E$1:$V$1,0)
  ),
"")</f>
        <v>→</v>
      </c>
    </row>
    <row r="59" spans="1:17" x14ac:dyDescent="0.25">
      <c r="A59" s="20" t="s">
        <v>126</v>
      </c>
      <c r="B59" s="2">
        <v>45649</v>
      </c>
      <c r="C59" s="12" t="s">
        <v>14</v>
      </c>
      <c r="D59" s="12" t="s">
        <v>73</v>
      </c>
      <c r="E59" s="12" t="s">
        <v>40</v>
      </c>
      <c r="F59">
        <v>88</v>
      </c>
      <c r="G59" t="s">
        <v>50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Log'!$E$2:$V$70,
    MATCH(1,
      ('Golf Log'!$A$2:$A$70=$A59)*
      ('Golf Log'!$B$2:$B$70=$B59)*
      ('Golf Log'!$C$2:$C$70=$C59),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Log'!$E$2:$V$70,
    MATCH(1,
      ('Putt Log'!$A$2:$A$70=$A59)*
      ('Putt Log'!$B$2:$B$70=$B59)*
      ('Putt Log'!$C$2:$C$70=$C59),
    0),
    MATCH($G59,'Putt Log'!$E$1:$V$1,0)
  ),
"")</f>
        <v>2</v>
      </c>
      <c r="P59" t="str" cm="1">
        <f t="array" ref="P59">IF(K59=3,"",
  IFERROR(
    INDEX('Fairway Log'!$E$2:$V$70,
      MATCH(1,
        ('Fairway Log'!$A$2:$A$70=$A59)*
        ('Fairway Log'!$B$2:$B$70=$B59)*
        ('Fairway Log'!$C$2:$C130=$C59),
      0),
      MATCH($G59,'Fairway Log'!$E$1:$V$1,0)
    ),
  "")
)</f>
        <v>↓</v>
      </c>
      <c r="Q59" t="str" cm="1">
        <f t="array" ref="Q59">IFERROR(
  INDEX('GIR Log'!$E$2:$V$70,
    MATCH(1,
      ('GIR Log'!$A$2:$A$70=$A59)*
      ('GIR Log'!$B$2:$B$70=$B59)*
      ('GIR Log'!$C$2:$C$70=$C59),
    0),
    MATCH($G59,'GIR Log'!$E$1:$V$1,0)
  ),
"")</f>
        <v>↑</v>
      </c>
    </row>
    <row r="60" spans="1:17" x14ac:dyDescent="0.25">
      <c r="A60" s="20" t="s">
        <v>126</v>
      </c>
      <c r="B60" s="2">
        <v>45649</v>
      </c>
      <c r="C60" s="12" t="s">
        <v>14</v>
      </c>
      <c r="D60" s="12" t="s">
        <v>73</v>
      </c>
      <c r="E60" s="12" t="s">
        <v>40</v>
      </c>
      <c r="F60">
        <v>88</v>
      </c>
      <c r="G60" t="s">
        <v>51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Log'!$E$2:$V$70,
    MATCH(1,
      ('Golf Log'!$A$2:$A$70=$A60)*
      ('Golf Log'!$B$2:$B$70=$B60)*
      ('Golf Log'!$C$2:$C$70=$C60),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Log'!$E$2:$V$70,
    MATCH(1,
      ('Putt Log'!$A$2:$A$70=$A60)*
      ('Putt Log'!$B$2:$B$70=$B60)*
      ('Putt Log'!$C$2:$C$70=$C60),
    0),
    MATCH($G60,'Putt Log'!$E$1:$V$1,0)
  ),
"")</f>
        <v>2</v>
      </c>
      <c r="P60" cm="1">
        <f t="array" ref="P60">IF(K60=3,"",
  IFERROR(
    INDEX('Fairway Log'!$E$2:$V$70,
      MATCH(1,
        ('Fairway Log'!$A$2:$A$70=$A60)*
        ('Fairway Log'!$B$2:$B$70=$B60)*
        ('Fairway Log'!$C$2:$C131=$C60),
      0),
      MATCH($G60,'Fairway Log'!$E$1:$V$1,0)
    ),
  "")
)</f>
        <v>0</v>
      </c>
      <c r="Q60" cm="1">
        <f t="array" ref="Q60">IFERROR(
  INDEX('GIR Log'!$E$2:$V$70,
    MATCH(1,
      ('GIR Log'!$A$2:$A$70=$A60)*
      ('GIR Log'!$B$2:$B$70=$B60)*
      ('GIR Log'!$C$2:$C$70=$C60),
    0),
    MATCH($G60,'GIR Log'!$E$1:$V$1,0)
  ),
"")</f>
        <v>0</v>
      </c>
    </row>
    <row r="61" spans="1:17" x14ac:dyDescent="0.25">
      <c r="A61" s="20" t="s">
        <v>126</v>
      </c>
      <c r="B61" s="2">
        <v>45649</v>
      </c>
      <c r="C61" s="12" t="s">
        <v>14</v>
      </c>
      <c r="D61" s="12" t="s">
        <v>73</v>
      </c>
      <c r="E61" s="12" t="s">
        <v>40</v>
      </c>
      <c r="F61">
        <v>88</v>
      </c>
      <c r="G61" t="s">
        <v>52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Log'!$E$2:$V$70,
    MATCH(1,
      ('Golf Log'!$A$2:$A$70=$A61)*
      ('Golf Log'!$B$2:$B$70=$B61)*
      ('Golf Log'!$C$2:$C$70=$C61),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Log'!$E$2:$V$70,
    MATCH(1,
      ('Putt Log'!$A$2:$A$70=$A61)*
      ('Putt Log'!$B$2:$B$70=$B61)*
      ('Putt Log'!$C$2:$C$70=$C61),
    0),
    MATCH($G61,'Putt Log'!$E$1:$V$1,0)
  ),
"")</f>
        <v>2</v>
      </c>
      <c r="P61" t="str" cm="1">
        <f t="array" ref="P61">IF(K61=3,"",
  IFERROR(
    INDEX('Fairway Log'!$E$2:$V$70,
      MATCH(1,
        ('Fairway Log'!$A$2:$A$70=$A61)*
        ('Fairway Log'!$B$2:$B$70=$B61)*
        ('Fairway Log'!$C$2:$C132=$C61),
      0),
      MATCH($G61,'Fairway Log'!$E$1:$V$1,0)
    ),
  "")
)</f>
        <v>←</v>
      </c>
      <c r="Q61" cm="1">
        <f t="array" ref="Q61">IFERROR(
  INDEX('GIR Log'!$E$2:$V$70,
    MATCH(1,
      ('GIR Log'!$A$2:$A$70=$A61)*
      ('GIR Log'!$B$2:$B$70=$B61)*
      ('GIR Log'!$C$2:$C$70=$C61),
    0),
    MATCH($G61,'GIR Log'!$E$1:$V$1,0)
  ),
"")</f>
        <v>1</v>
      </c>
    </row>
    <row r="62" spans="1:17" x14ac:dyDescent="0.25">
      <c r="A62" s="20" t="s">
        <v>126</v>
      </c>
      <c r="B62" s="2">
        <v>45649</v>
      </c>
      <c r="C62" s="12" t="s">
        <v>14</v>
      </c>
      <c r="D62" s="12" t="s">
        <v>73</v>
      </c>
      <c r="E62" s="12" t="s">
        <v>40</v>
      </c>
      <c r="F62">
        <v>88</v>
      </c>
      <c r="G62" t="s">
        <v>53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Log'!$E$2:$V$70,
    MATCH(1,
      ('Golf Log'!$A$2:$A$70=$A62)*
      ('Golf Log'!$B$2:$B$70=$B62)*
      ('Golf Log'!$C$2:$C$70=$C62),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Log'!$E$2:$V$70,
    MATCH(1,
      ('Putt Log'!$A$2:$A$70=$A62)*
      ('Putt Log'!$B$2:$B$70=$B62)*
      ('Putt Log'!$C$2:$C$70=$C62),
    0),
    MATCH($G62,'Putt Log'!$E$1:$V$1,0)
  ),
"")</f>
        <v>2</v>
      </c>
      <c r="P62" t="str" cm="1">
        <f t="array" ref="P62">IF(K62=3,"",
  IFERROR(
    INDEX('Fairway Log'!$E$2:$V$70,
      MATCH(1,
        ('Fairway Log'!$A$2:$A$70=$A62)*
        ('Fairway Log'!$B$2:$B$70=$B62)*
        ('Fairway Log'!$C$2:$C133=$C62),
      0),
      MATCH($G62,'Fairway Log'!$E$1:$V$1,0)
    ),
  "")
)</f>
        <v>→</v>
      </c>
      <c r="Q62" t="str" cm="1">
        <f t="array" ref="Q62">IFERROR(
  INDEX('GIR Log'!$E$2:$V$70,
    MATCH(1,
      ('GIR Log'!$A$2:$A$70=$A62)*
      ('GIR Log'!$B$2:$B$70=$B62)*
      ('GIR Log'!$C$2:$C$70=$C62),
    0),
    MATCH($G62,'GIR Log'!$E$1:$V$1,0)
  ),
"")</f>
        <v>↓</v>
      </c>
    </row>
    <row r="63" spans="1:17" x14ac:dyDescent="0.25">
      <c r="A63" s="20" t="s">
        <v>126</v>
      </c>
      <c r="B63" s="2">
        <v>45649</v>
      </c>
      <c r="C63" s="12" t="s">
        <v>14</v>
      </c>
      <c r="D63" s="12" t="s">
        <v>73</v>
      </c>
      <c r="E63" s="12" t="s">
        <v>40</v>
      </c>
      <c r="F63">
        <v>88</v>
      </c>
      <c r="G63" t="s">
        <v>54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Log'!$E$2:$V$70,
    MATCH(1,
      ('Golf Log'!$A$2:$A$70=$A63)*
      ('Golf Log'!$B$2:$B$70=$B63)*
      ('Golf Log'!$C$2:$C$70=$C63),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Log'!$E$2:$V$70,
    MATCH(1,
      ('Putt Log'!$A$2:$A$70=$A63)*
      ('Putt Log'!$B$2:$B$70=$B63)*
      ('Putt Log'!$C$2:$C$70=$C63),
    0),
    MATCH($G63,'Putt Log'!$E$1:$V$1,0)
  ),
"")</f>
        <v>2</v>
      </c>
      <c r="P63" t="str" cm="1">
        <f t="array" ref="P63">IF(K63=3,"",
  IFERROR(
    INDEX('Fairway Log'!$E$2:$V$70,
      MATCH(1,
        ('Fairway Log'!$A$2:$A$70=$A63)*
        ('Fairway Log'!$B$2:$B$70=$B63)*
        ('Fairway Log'!$C$2:$C134=$C63),
      0),
      MATCH($G63,'Fairway Log'!$E$1:$V$1,0)
    ),
  "")
)</f>
        <v/>
      </c>
      <c r="Q63" t="str" cm="1">
        <f t="array" ref="Q63">IFERROR(
  INDEX('GIR Log'!$E$2:$V$70,
    MATCH(1,
      ('GIR Log'!$A$2:$A$70=$A63)*
      ('GIR Log'!$B$2:$B$70=$B63)*
      ('GIR Log'!$C$2:$C$70=$C63),
    0),
    MATCH($G63,'GIR Log'!$E$1:$V$1,0)
  ),
"")</f>
        <v>↓</v>
      </c>
    </row>
    <row r="64" spans="1:17" x14ac:dyDescent="0.25">
      <c r="A64" s="20" t="s">
        <v>126</v>
      </c>
      <c r="B64" s="2">
        <v>45649</v>
      </c>
      <c r="C64" s="12" t="s">
        <v>14</v>
      </c>
      <c r="D64" s="12" t="s">
        <v>73</v>
      </c>
      <c r="E64" s="12" t="s">
        <v>40</v>
      </c>
      <c r="F64">
        <v>88</v>
      </c>
      <c r="G64" t="s">
        <v>55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Log'!$E$2:$V$70,
    MATCH(1,
      ('Golf Log'!$A$2:$A$70=$A64)*
      ('Golf Log'!$B$2:$B$70=$B64)*
      ('Golf Log'!$C$2:$C$70=$C64),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Log'!$E$2:$V$70,
    MATCH(1,
      ('Putt Log'!$A$2:$A$70=$A64)*
      ('Putt Log'!$B$2:$B$70=$B64)*
      ('Putt Log'!$C$2:$C$70=$C64),
    0),
    MATCH($G64,'Putt Log'!$E$1:$V$1,0)
  ),
"")</f>
        <v>2</v>
      </c>
      <c r="P64" t="str" cm="1">
        <f t="array" ref="P64">IF(K64=3,"",
  IFERROR(
    INDEX('Fairway Log'!$E$2:$V$70,
      MATCH(1,
        ('Fairway Log'!$A$2:$A$70=$A64)*
        ('Fairway Log'!$B$2:$B$70=$B64)*
        ('Fairway Log'!$C$2:$C135=$C64),
      0),
      MATCH($G64,'Fairway Log'!$E$1:$V$1,0)
    ),
  "")
)</f>
        <v>→</v>
      </c>
      <c r="Q64" t="str" cm="1">
        <f t="array" ref="Q64">IFERROR(
  INDEX('GIR Log'!$E$2:$V$70,
    MATCH(1,
      ('GIR Log'!$A$2:$A$70=$A64)*
      ('GIR Log'!$B$2:$B$70=$B64)*
      ('GIR Log'!$C$2:$C$70=$C64),
    0),
    MATCH($G64,'GIR Log'!$E$1:$V$1,0)
  ),
"")</f>
        <v>↓</v>
      </c>
    </row>
    <row r="65" spans="1:17" x14ac:dyDescent="0.25">
      <c r="A65" s="20" t="s">
        <v>126</v>
      </c>
      <c r="B65" s="2">
        <v>45649</v>
      </c>
      <c r="C65" s="12" t="s">
        <v>14</v>
      </c>
      <c r="D65" s="12" t="s">
        <v>73</v>
      </c>
      <c r="E65" s="12" t="s">
        <v>40</v>
      </c>
      <c r="F65">
        <v>88</v>
      </c>
      <c r="G65" t="s">
        <v>56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Log'!$E$2:$V$70,
    MATCH(1,
      ('Golf Log'!$A$2:$A$70=$A65)*
      ('Golf Log'!$B$2:$B$70=$B65)*
      ('Golf Log'!$C$2:$C$70=$C65),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Log'!$E$2:$V$70,
    MATCH(1,
      ('Putt Log'!$A$2:$A$70=$A65)*
      ('Putt Log'!$B$2:$B$70=$B65)*
      ('Putt Log'!$C$2:$C$70=$C65),
    0),
    MATCH($G65,'Putt Log'!$E$1:$V$1,0)
  ),
"")</f>
        <v>1</v>
      </c>
      <c r="P65" t="str" cm="1">
        <f t="array" ref="P65">IF(K65=3,"",
  IFERROR(
    INDEX('Fairway Log'!$E$2:$V$70,
      MATCH(1,
        ('Fairway Log'!$A$2:$A$70=$A65)*
        ('Fairway Log'!$B$2:$B$70=$B65)*
        ('Fairway Log'!$C$2:$C136=$C65),
      0),
      MATCH($G65,'Fairway Log'!$E$1:$V$1,0)
    ),
  "")
)</f>
        <v>←</v>
      </c>
      <c r="Q65" t="str" cm="1">
        <f t="array" ref="Q65">IFERROR(
  INDEX('GIR Log'!$E$2:$V$70,
    MATCH(1,
      ('GIR Log'!$A$2:$A$70=$A65)*
      ('GIR Log'!$B$2:$B$70=$B65)*
      ('GIR Log'!$C$2:$C$70=$C65),
    0),
    MATCH($G65,'GIR Log'!$E$1:$V$1,0)
  ),
"")</f>
        <v>↓</v>
      </c>
    </row>
    <row r="66" spans="1:17" x14ac:dyDescent="0.25">
      <c r="A66" s="20" t="s">
        <v>126</v>
      </c>
      <c r="B66" s="2">
        <v>45649</v>
      </c>
      <c r="C66" s="12" t="s">
        <v>14</v>
      </c>
      <c r="D66" s="12" t="s">
        <v>73</v>
      </c>
      <c r="E66" s="12" t="s">
        <v>40</v>
      </c>
      <c r="F66">
        <v>88</v>
      </c>
      <c r="G66" t="s">
        <v>57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Log'!$E$2:$V$70,
    MATCH(1,
      ('Golf Log'!$A$2:$A$70=$A66)*
      ('Golf Log'!$B$2:$B$70=$B66)*
      ('Golf Log'!$C$2:$C$70=$C66),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Log'!$E$2:$V$70,
    MATCH(1,
      ('Putt Log'!$A$2:$A$70=$A66)*
      ('Putt Log'!$B$2:$B$70=$B66)*
      ('Putt Log'!$C$2:$C$70=$C66),
    0),
    MATCH($G66,'Putt Log'!$E$1:$V$1,0)
  ),
"")</f>
        <v>2</v>
      </c>
      <c r="P66" cm="1">
        <f t="array" ref="P66">IF(K66=3,"",
  IFERROR(
    INDEX('Fairway Log'!$E$2:$V$70,
      MATCH(1,
        ('Fairway Log'!$A$2:$A$70=$A66)*
        ('Fairway Log'!$B$2:$B$70=$B66)*
        ('Fairway Log'!$C$2:$C137=$C66),
      0),
      MATCH($G66,'Fairway Log'!$E$1:$V$1,0)
    ),
  "")
)</f>
        <v>1</v>
      </c>
      <c r="Q66" t="str" cm="1">
        <f t="array" ref="Q66">IFERROR(
  INDEX('GIR Log'!$E$2:$V$70,
    MATCH(1,
      ('GIR Log'!$A$2:$A$70=$A66)*
      ('GIR Log'!$B$2:$B$70=$B66)*
      ('GIR Log'!$C$2:$C$70=$C66),
    0),
    MATCH($G66,'GIR Log'!$E$1:$V$1,0)
  ),
"")</f>
        <v>↓</v>
      </c>
    </row>
    <row r="67" spans="1:17" x14ac:dyDescent="0.25">
      <c r="A67" s="20" t="s">
        <v>126</v>
      </c>
      <c r="B67" s="2">
        <v>45649</v>
      </c>
      <c r="C67" s="12" t="s">
        <v>14</v>
      </c>
      <c r="D67" s="12" t="s">
        <v>73</v>
      </c>
      <c r="E67" s="12" t="s">
        <v>40</v>
      </c>
      <c r="F67">
        <v>88</v>
      </c>
      <c r="G67" t="s">
        <v>58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Log'!$E$2:$V$70,
    MATCH(1,
      ('Golf Log'!$A$2:$A$70=$A67)*
      ('Golf Log'!$B$2:$B$70=$B67)*
      ('Golf Log'!$C$2:$C$70=$C67),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Log'!$E$2:$V$70,
    MATCH(1,
      ('Putt Log'!$A$2:$A$70=$A67)*
      ('Putt Log'!$B$2:$B$70=$B67)*
      ('Putt Log'!$C$2:$C$70=$C67),
    0),
    MATCH($G67,'Putt Log'!$E$1:$V$1,0)
  ),
"")</f>
        <v>2</v>
      </c>
      <c r="P67" cm="1">
        <f t="array" ref="P67">IF(K67=3,"",
  IFERROR(
    INDEX('Fairway Log'!$E$2:$V$70,
      MATCH(1,
        ('Fairway Log'!$A$2:$A$70=$A67)*
        ('Fairway Log'!$B$2:$B$70=$B67)*
        ('Fairway Log'!$C$2:$C138=$C67),
      0),
      MATCH($G67,'Fairway Log'!$E$1:$V$1,0)
    ),
  "")
)</f>
        <v>1</v>
      </c>
      <c r="Q67" t="str" cm="1">
        <f t="array" ref="Q67">IFERROR(
  INDEX('GIR Log'!$E$2:$V$70,
    MATCH(1,
      ('GIR Log'!$A$2:$A$70=$A67)*
      ('GIR Log'!$B$2:$B$70=$B67)*
      ('GIR Log'!$C$2:$C$70=$C67),
    0),
    MATCH($G67,'GIR Log'!$E$1:$V$1,0)
  ),
"")</f>
        <v>←</v>
      </c>
    </row>
    <row r="68" spans="1:17" x14ac:dyDescent="0.25">
      <c r="A68" s="20" t="s">
        <v>126</v>
      </c>
      <c r="B68" s="2">
        <v>45649</v>
      </c>
      <c r="C68" s="12" t="s">
        <v>14</v>
      </c>
      <c r="D68" s="12" t="s">
        <v>73</v>
      </c>
      <c r="E68" s="12" t="s">
        <v>40</v>
      </c>
      <c r="F68">
        <v>88</v>
      </c>
      <c r="G68" t="s">
        <v>59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Log'!$E$2:$V$70,
    MATCH(1,
      ('Golf Log'!$A$2:$A$70=$A68)*
      ('Golf Log'!$B$2:$B$70=$B68)*
      ('Golf Log'!$C$2:$C$70=$C68),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Log'!$E$2:$V$70,
    MATCH(1,
      ('Putt Log'!$A$2:$A$70=$A68)*
      ('Putt Log'!$B$2:$B$70=$B68)*
      ('Putt Log'!$C$2:$C$70=$C68),
    0),
    MATCH($G68,'Putt Log'!$E$1:$V$1,0)
  ),
"")</f>
        <v>1</v>
      </c>
      <c r="P68" cm="1">
        <f t="array" ref="P68">IF(K68=3,"",
  IFERROR(
    INDEX('Fairway Log'!$E$2:$V$70,
      MATCH(1,
        ('Fairway Log'!$A$2:$A$70=$A68)*
        ('Fairway Log'!$B$2:$B$70=$B68)*
        ('Fairway Log'!$C$2:$C139=$C68),
      0),
      MATCH($G68,'Fairway Log'!$E$1:$V$1,0)
    ),
  "")
)</f>
        <v>1</v>
      </c>
      <c r="Q68" t="str" cm="1">
        <f t="array" ref="Q68">IFERROR(
  INDEX('GIR Log'!$E$2:$V$70,
    MATCH(1,
      ('GIR Log'!$A$2:$A$70=$A68)*
      ('GIR Log'!$B$2:$B$70=$B68)*
      ('GIR Log'!$C$2:$C$70=$C68),
    0),
    MATCH($G68,'GIR Log'!$E$1:$V$1,0)
  ),
"")</f>
        <v>↓</v>
      </c>
    </row>
    <row r="69" spans="1:17" x14ac:dyDescent="0.25">
      <c r="A69" s="20" t="s">
        <v>126</v>
      </c>
      <c r="B69" s="2">
        <v>45649</v>
      </c>
      <c r="C69" s="12" t="s">
        <v>14</v>
      </c>
      <c r="D69" s="12" t="s">
        <v>73</v>
      </c>
      <c r="E69" s="12" t="s">
        <v>40</v>
      </c>
      <c r="F69">
        <v>88</v>
      </c>
      <c r="G69" t="s">
        <v>60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Log'!$E$2:$V$70,
    MATCH(1,
      ('Golf Log'!$A$2:$A$70=$A69)*
      ('Golf Log'!$B$2:$B$70=$B69)*
      ('Golf Log'!$C$2:$C$70=$C69),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Log'!$E$2:$V$70,
    MATCH(1,
      ('Putt Log'!$A$2:$A$70=$A69)*
      ('Putt Log'!$B$2:$B$70=$B69)*
      ('Putt Log'!$C$2:$C$70=$C69),
    0),
    MATCH($G69,'Putt Log'!$E$1:$V$1,0)
  ),
"")</f>
        <v>2</v>
      </c>
      <c r="P69" cm="1">
        <f t="array" ref="P69">IF(K69=3,"",
  IFERROR(
    INDEX('Fairway Log'!$E$2:$V$70,
      MATCH(1,
        ('Fairway Log'!$A$2:$A$70=$A69)*
        ('Fairway Log'!$B$2:$B$70=$B69)*
        ('Fairway Log'!$C$2:$C140=$C69),
      0),
      MATCH($G69,'Fairway Log'!$E$1:$V$1,0)
    ),
  "")
)</f>
        <v>1</v>
      </c>
      <c r="Q69" t="str" cm="1">
        <f t="array" ref="Q69">IFERROR(
  INDEX('GIR Log'!$E$2:$V$70,
    MATCH(1,
      ('GIR Log'!$A$2:$A$70=$A69)*
      ('GIR Log'!$B$2:$B$70=$B69)*
      ('GIR Log'!$C$2:$C$70=$C69),
    0),
    MATCH($G69,'GIR Log'!$E$1:$V$1,0)
  ),
"")</f>
        <v>←</v>
      </c>
    </row>
    <row r="70" spans="1:17" x14ac:dyDescent="0.25">
      <c r="A70" s="20" t="s">
        <v>126</v>
      </c>
      <c r="B70" s="2">
        <v>45649</v>
      </c>
      <c r="C70" s="12" t="s">
        <v>14</v>
      </c>
      <c r="D70" s="12" t="s">
        <v>73</v>
      </c>
      <c r="E70" s="12" t="s">
        <v>40</v>
      </c>
      <c r="F70">
        <v>88</v>
      </c>
      <c r="G70" t="s">
        <v>61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Log'!$E$2:$V$70,
    MATCH(1,
      ('Golf Log'!$A$2:$A$70=$A70)*
      ('Golf Log'!$B$2:$B$70=$B70)*
      ('Golf Log'!$C$2:$C$70=$C70),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Log'!$E$2:$V$70,
    MATCH(1,
      ('Putt Log'!$A$2:$A$70=$A70)*
      ('Putt Log'!$B$2:$B$70=$B70)*
      ('Putt Log'!$C$2:$C$70=$C70),
    0),
    MATCH($G70,'Putt Log'!$E$1:$V$1,0)
  ),
"")</f>
        <v>2</v>
      </c>
      <c r="P70" t="str" cm="1">
        <f t="array" ref="P70">IF(K70=3,"",
  IFERROR(
    INDEX('Fairway Log'!$E$2:$V$70,
      MATCH(1,
        ('Fairway Log'!$A$2:$A$70=$A70)*
        ('Fairway Log'!$B$2:$B$70=$B70)*
        ('Fairway Log'!$C$2:$C141=$C70),
      0),
      MATCH($G70,'Fairway Log'!$E$1:$V$1,0)
    ),
  "")
)</f>
        <v/>
      </c>
      <c r="Q70" t="str" cm="1">
        <f t="array" ref="Q70">IFERROR(
  INDEX('GIR Log'!$E$2:$V$70,
    MATCH(1,
      ('GIR Log'!$A$2:$A$70=$A70)*
      ('GIR Log'!$B$2:$B$70=$B70)*
      ('GIR Log'!$C$2:$C$70=$C70),
    0),
    MATCH($G70,'GIR Log'!$E$1:$V$1,0)
  ),
"")</f>
        <v>←</v>
      </c>
    </row>
    <row r="71" spans="1:17" x14ac:dyDescent="0.25">
      <c r="A71" s="20" t="s">
        <v>126</v>
      </c>
      <c r="B71" s="2">
        <v>45649</v>
      </c>
      <c r="C71" s="12" t="s">
        <v>14</v>
      </c>
      <c r="D71" s="12" t="s">
        <v>73</v>
      </c>
      <c r="E71" s="12" t="s">
        <v>40</v>
      </c>
      <c r="F71">
        <v>88</v>
      </c>
      <c r="G71" t="s">
        <v>62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Log'!$E$2:$V$70,
    MATCH(1,
      ('Golf Log'!$A$2:$A$70=$A71)*
      ('Golf Log'!$B$2:$B$70=$B71)*
      ('Golf Log'!$C$2:$C$70=$C71),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Log'!$E$2:$V$70,
    MATCH(1,
      ('Putt Log'!$A$2:$A$70=$A71)*
      ('Putt Log'!$B$2:$B$70=$B71)*
      ('Putt Log'!$C$2:$C$70=$C71),
    0),
    MATCH($G71,'Putt Log'!$E$1:$V$1,0)
  ),
"")</f>
        <v>2</v>
      </c>
      <c r="P71" t="str" cm="1">
        <f t="array" ref="P71">IF(K71=3,"",
  IFERROR(
    INDEX('Fairway Log'!$E$2:$V$70,
      MATCH(1,
        ('Fairway Log'!$A$2:$A$70=$A71)*
        ('Fairway Log'!$B$2:$B$70=$B71)*
        ('Fairway Log'!$C$2:$C142=$C71),
      0),
      MATCH($G71,'Fairway Log'!$E$1:$V$1,0)
    ),
  "")
)</f>
        <v>→</v>
      </c>
      <c r="Q71" t="str" cm="1">
        <f t="array" ref="Q71">IFERROR(
  INDEX('GIR Log'!$E$2:$V$70,
    MATCH(1,
      ('GIR Log'!$A$2:$A$70=$A71)*
      ('GIR Log'!$B$2:$B$70=$B71)*
      ('GIR Log'!$C$2:$C$70=$C71),
    0),
    MATCH($G71,'GIR Log'!$E$1:$V$1,0)
  ),
"")</f>
        <v>↑</v>
      </c>
    </row>
    <row r="72" spans="1:17" x14ac:dyDescent="0.25">
      <c r="A72" s="20" t="s">
        <v>126</v>
      </c>
      <c r="B72" s="2">
        <v>45649</v>
      </c>
      <c r="C72" s="12" t="s">
        <v>14</v>
      </c>
      <c r="D72" s="12" t="s">
        <v>73</v>
      </c>
      <c r="E72" s="12" t="s">
        <v>40</v>
      </c>
      <c r="F72">
        <v>88</v>
      </c>
      <c r="G72" t="s">
        <v>63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Log'!$E$2:$V$70,
    MATCH(1,
      ('Golf Log'!$A$2:$A$70=$A72)*
      ('Golf Log'!$B$2:$B$70=$B72)*
      ('Golf Log'!$C$2:$C$70=$C72),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Log'!$E$2:$V$70,
    MATCH(1,
      ('Putt Log'!$A$2:$A$70=$A72)*
      ('Putt Log'!$B$2:$B$70=$B72)*
      ('Putt Log'!$C$2:$C$70=$C72),
    0),
    MATCH($G72,'Putt Log'!$E$1:$V$1,0)
  ),
"")</f>
        <v>2</v>
      </c>
      <c r="P72" t="str" cm="1">
        <f t="array" ref="P72">IF(K72=3,"",
  IFERROR(
    INDEX('Fairway Log'!$E$2:$V$70,
      MATCH(1,
        ('Fairway Log'!$A$2:$A$70=$A72)*
        ('Fairway Log'!$B$2:$B$70=$B72)*
        ('Fairway Log'!$C$2:$C143=$C72),
      0),
      MATCH($G72,'Fairway Log'!$E$1:$V$1,0)
    ),
  "")
)</f>
        <v/>
      </c>
      <c r="Q72" t="str" cm="1">
        <f t="array" ref="Q72">IFERROR(
  INDEX('GIR Log'!$E$2:$V$70,
    MATCH(1,
      ('GIR Log'!$A$2:$A$70=$A72)*
      ('GIR Log'!$B$2:$B$70=$B72)*
      ('GIR Log'!$C$2:$C$70=$C72),
    0),
    MATCH($G72,'GIR Log'!$E$1:$V$1,0)
  ),
"")</f>
        <v>→</v>
      </c>
    </row>
    <row r="73" spans="1:17" x14ac:dyDescent="0.25">
      <c r="A73" s="20" t="s">
        <v>126</v>
      </c>
      <c r="B73" s="2">
        <v>45649</v>
      </c>
      <c r="C73" s="12" t="s">
        <v>14</v>
      </c>
      <c r="D73" s="12" t="s">
        <v>73</v>
      </c>
      <c r="E73" s="12" t="s">
        <v>40</v>
      </c>
      <c r="F73">
        <v>88</v>
      </c>
      <c r="G73" t="s">
        <v>64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Log'!$E$2:$V$70,
    MATCH(1,
      ('Golf Log'!$A$2:$A$70=$A73)*
      ('Golf Log'!$B$2:$B$70=$B73)*
      ('Golf Log'!$C$2:$C$70=$C73),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Log'!$E$2:$V$70,
    MATCH(1,
      ('Putt Log'!$A$2:$A$70=$A73)*
      ('Putt Log'!$B$2:$B$70=$B73)*
      ('Putt Log'!$C$2:$C$70=$C73),
    0),
    MATCH($G73,'Putt Log'!$E$1:$V$1,0)
  ),
"")</f>
        <v>2</v>
      </c>
      <c r="P73" cm="1">
        <f t="array" ref="P73">IF(K73=3,"",
  IFERROR(
    INDEX('Fairway Log'!$E$2:$V$70,
      MATCH(1,
        ('Fairway Log'!$A$2:$A$70=$A73)*
        ('Fairway Log'!$B$2:$B$70=$B73)*
        ('Fairway Log'!$C$2:$C144=$C73),
      0),
      MATCH($G73,'Fairway Log'!$E$1:$V$1,0)
    ),
  "")
)</f>
        <v>1</v>
      </c>
      <c r="Q73" t="str" cm="1">
        <f t="array" ref="Q73">IFERROR(
  INDEX('GIR Log'!$E$2:$V$70,
    MATCH(1,
      ('GIR Log'!$A$2:$A$70=$A73)*
      ('GIR Log'!$B$2:$B$70=$B73)*
      ('GIR Log'!$C$2:$C$70=$C73),
    0),
    MATCH($G73,'GIR Log'!$E$1:$V$1,0)
  ),
"")</f>
        <v>↓</v>
      </c>
    </row>
    <row r="74" spans="1:17" x14ac:dyDescent="0.25">
      <c r="A74" s="20" t="s">
        <v>126</v>
      </c>
      <c r="B74" s="2">
        <v>45580</v>
      </c>
      <c r="C74" t="s">
        <v>7</v>
      </c>
      <c r="D74" t="s">
        <v>74</v>
      </c>
      <c r="E74" s="12" t="s">
        <v>36</v>
      </c>
      <c r="F74">
        <v>83</v>
      </c>
      <c r="G74" t="s">
        <v>47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Log'!$E$2:$V$70,
    MATCH(1,
      ('Golf Log'!$A$2:$A$70=$A74)*
      ('Golf Log'!$B$2:$B$70=$B74)*
      ('Golf Log'!$C$2:$C$70=$C74),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Log'!$E$2:$V$70,
    MATCH(1,
      ('Putt Log'!$A$2:$A$70=$A74)*
      ('Putt Log'!$B$2:$B$70=$B74)*
      ('Putt Log'!$C$2:$C$70=$C74),
    0),
    MATCH($G74,'Putt Log'!$E$1:$V$1,0)
  ),
"")</f>
        <v>3</v>
      </c>
      <c r="P74" t="str" cm="1">
        <f t="array" ref="P74">IF(K74=3,"",
  IFERROR(
    INDEX('Fairway Log'!$E$2:$V$70,
      MATCH(1,
        ('Fairway Log'!$A$2:$A$70=$A74)*
        ('Fairway Log'!$B$2:$B$70=$B74)*
        ('Fairway Log'!$C$2:$C145=$C74),
      0),
      MATCH($G74,'Fairway Log'!$E$1:$V$1,0)
    ),
  "")
)</f>
        <v>←</v>
      </c>
      <c r="Q74" t="str" cm="1">
        <f t="array" ref="Q74">IFERROR(
  INDEX('GIR Log'!$E$2:$V$70,
    MATCH(1,
      ('GIR Log'!$A$2:$A$70=$A74)*
      ('GIR Log'!$B$2:$B$70=$B74)*
      ('GIR Log'!$C$2:$C$70=$C74),
    0),
    MATCH($G74,'GIR Log'!$E$1:$V$1,0)
  ),
"")</f>
        <v>↑</v>
      </c>
    </row>
    <row r="75" spans="1:17" x14ac:dyDescent="0.25">
      <c r="A75" s="20" t="s">
        <v>126</v>
      </c>
      <c r="B75" s="2">
        <v>45580</v>
      </c>
      <c r="C75" t="s">
        <v>7</v>
      </c>
      <c r="D75" t="s">
        <v>74</v>
      </c>
      <c r="E75" s="12" t="s">
        <v>36</v>
      </c>
      <c r="F75">
        <v>83</v>
      </c>
      <c r="G75" t="s">
        <v>48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Log'!$E$2:$V$70,
    MATCH(1,
      ('Golf Log'!$A$2:$A$70=$A75)*
      ('Golf Log'!$B$2:$B$70=$B75)*
      ('Golf Log'!$C$2:$C$70=$C75),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Log'!$E$2:$V$70,
    MATCH(1,
      ('Putt Log'!$A$2:$A$70=$A75)*
      ('Putt Log'!$B$2:$B$70=$B75)*
      ('Putt Log'!$C$2:$C$70=$C75),
    0),
    MATCH($G75,'Putt Log'!$E$1:$V$1,0)
  ),
"")</f>
        <v>3</v>
      </c>
      <c r="P75" cm="1">
        <f t="array" ref="P75">IF(K75=3,"",
  IFERROR(
    INDEX('Fairway Log'!$E$2:$V$70,
      MATCH(1,
        ('Fairway Log'!$A$2:$A$70=$A75)*
        ('Fairway Log'!$B$2:$B$70=$B75)*
        ('Fairway Log'!$C$2:$C146=$C75),
      0),
      MATCH($G75,'Fairway Log'!$E$1:$V$1,0)
    ),
  "")
)</f>
        <v>1</v>
      </c>
      <c r="Q75" t="str" cm="1">
        <f t="array" ref="Q75">IFERROR(
  INDEX('GIR Log'!$E$2:$V$70,
    MATCH(1,
      ('GIR Log'!$A$2:$A$70=$A75)*
      ('GIR Log'!$B$2:$B$70=$B75)*
      ('GIR Log'!$C$2:$C$70=$C75),
    0),
    MATCH($G75,'GIR Log'!$E$1:$V$1,0)
  ),
"")</f>
        <v>↓</v>
      </c>
    </row>
    <row r="76" spans="1:17" x14ac:dyDescent="0.25">
      <c r="A76" s="20" t="s">
        <v>126</v>
      </c>
      <c r="B76" s="2">
        <v>45580</v>
      </c>
      <c r="C76" t="s">
        <v>7</v>
      </c>
      <c r="D76" t="s">
        <v>74</v>
      </c>
      <c r="E76" s="12" t="s">
        <v>36</v>
      </c>
      <c r="F76">
        <v>83</v>
      </c>
      <c r="G76" t="s">
        <v>49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Log'!$E$2:$V$70,
    MATCH(1,
      ('Golf Log'!$A$2:$A$70=$A76)*
      ('Golf Log'!$B$2:$B$70=$B76)*
      ('Golf Log'!$C$2:$C$70=$C76),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Log'!$E$2:$V$70,
    MATCH(1,
      ('Putt Log'!$A$2:$A$70=$A76)*
      ('Putt Log'!$B$2:$B$70=$B76)*
      ('Putt Log'!$C$2:$C$70=$C76),
    0),
    MATCH($G76,'Putt Log'!$E$1:$V$1,0)
  ),
"")</f>
        <v>1</v>
      </c>
      <c r="P76" t="str" cm="1">
        <f t="array" ref="P76">IF(K76=3,"",
  IFERROR(
    INDEX('Fairway Log'!$E$2:$V$70,
      MATCH(1,
        ('Fairway Log'!$A$2:$A$70=$A76)*
        ('Fairway Log'!$B$2:$B$70=$B76)*
        ('Fairway Log'!$C$2:$C147=$C76),
      0),
      MATCH($G76,'Fairway Log'!$E$1:$V$1,0)
    ),
  "")
)</f>
        <v>→</v>
      </c>
      <c r="Q76" cm="1">
        <f t="array" ref="Q76">IFERROR(
  INDEX('GIR Log'!$E$2:$V$70,
    MATCH(1,
      ('GIR Log'!$A$2:$A$70=$A76)*
      ('GIR Log'!$B$2:$B$70=$B76)*
      ('GIR Log'!$C$2:$C$70=$C76),
    0),
    MATCH($G76,'GIR Log'!$E$1:$V$1,0)
  ),
"")</f>
        <v>1</v>
      </c>
    </row>
    <row r="77" spans="1:17" x14ac:dyDescent="0.25">
      <c r="A77" s="20" t="s">
        <v>126</v>
      </c>
      <c r="B77" s="2">
        <v>45580</v>
      </c>
      <c r="C77" t="s">
        <v>7</v>
      </c>
      <c r="D77" t="s">
        <v>74</v>
      </c>
      <c r="E77" s="12" t="s">
        <v>36</v>
      </c>
      <c r="F77">
        <v>83</v>
      </c>
      <c r="G77" t="s">
        <v>50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Log'!$E$2:$V$70,
    MATCH(1,
      ('Golf Log'!$A$2:$A$70=$A77)*
      ('Golf Log'!$B$2:$B$70=$B77)*
      ('Golf Log'!$C$2:$C$70=$C77),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Log'!$E$2:$V$70,
    MATCH(1,
      ('Putt Log'!$A$2:$A$70=$A77)*
      ('Putt Log'!$B$2:$B$70=$B77)*
      ('Putt Log'!$C$2:$C$70=$C77),
    0),
    MATCH($G77,'Putt Log'!$E$1:$V$1,0)
  ),
"")</f>
        <v>2</v>
      </c>
      <c r="P77" t="str" cm="1">
        <f t="array" ref="P77">IF(K77=3,"",
  IFERROR(
    INDEX('Fairway Log'!$E$2:$V$70,
      MATCH(1,
        ('Fairway Log'!$A$2:$A$70=$A77)*
        ('Fairway Log'!$B$2:$B$70=$B77)*
        ('Fairway Log'!$C$2:$C148=$C77),
      0),
      MATCH($G77,'Fairway Log'!$E$1:$V$1,0)
    ),
  "")
)</f>
        <v/>
      </c>
      <c r="Q77" t="str" cm="1">
        <f t="array" ref="Q77">IFERROR(
  INDEX('GIR Log'!$E$2:$V$70,
    MATCH(1,
      ('GIR Log'!$A$2:$A$70=$A77)*
      ('GIR Log'!$B$2:$B$70=$B77)*
      ('GIR Log'!$C$2:$C$70=$C77),
    0),
    MATCH($G77,'GIR Log'!$E$1:$V$1,0)
  ),
"")</f>
        <v>→</v>
      </c>
    </row>
    <row r="78" spans="1:17" x14ac:dyDescent="0.25">
      <c r="A78" s="20" t="s">
        <v>126</v>
      </c>
      <c r="B78" s="2">
        <v>45580</v>
      </c>
      <c r="C78" t="s">
        <v>7</v>
      </c>
      <c r="D78" t="s">
        <v>74</v>
      </c>
      <c r="E78" s="12" t="s">
        <v>36</v>
      </c>
      <c r="F78">
        <v>83</v>
      </c>
      <c r="G78" t="s">
        <v>51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Log'!$E$2:$V$70,
    MATCH(1,
      ('Golf Log'!$A$2:$A$70=$A78)*
      ('Golf Log'!$B$2:$B$70=$B78)*
      ('Golf Log'!$C$2:$C$70=$C78),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Log'!$E$2:$V$70,
    MATCH(1,
      ('Putt Log'!$A$2:$A$70=$A78)*
      ('Putt Log'!$B$2:$B$70=$B78)*
      ('Putt Log'!$C$2:$C$70=$C78),
    0),
    MATCH($G78,'Putt Log'!$E$1:$V$1,0)
  ),
"")</f>
        <v>1</v>
      </c>
      <c r="P78" cm="1">
        <f t="array" ref="P78">IF(K78=3,"",
  IFERROR(
    INDEX('Fairway Log'!$E$2:$V$70,
      MATCH(1,
        ('Fairway Log'!$A$2:$A$70=$A78)*
        ('Fairway Log'!$B$2:$B$70=$B78)*
        ('Fairway Log'!$C$2:$C149=$C78),
      0),
      MATCH($G78,'Fairway Log'!$E$1:$V$1,0)
    ),
  "")
)</f>
        <v>1</v>
      </c>
      <c r="Q78" cm="1">
        <f t="array" ref="Q78">IFERROR(
  INDEX('GIR Log'!$E$2:$V$70,
    MATCH(1,
      ('GIR Log'!$A$2:$A$70=$A78)*
      ('GIR Log'!$B$2:$B$70=$B78)*
      ('GIR Log'!$C$2:$C$70=$C78),
    0),
    MATCH($G78,'GIR Log'!$E$1:$V$1,0)
  ),
"")</f>
        <v>1</v>
      </c>
    </row>
    <row r="79" spans="1:17" x14ac:dyDescent="0.25">
      <c r="A79" s="20" t="s">
        <v>126</v>
      </c>
      <c r="B79" s="2">
        <v>45580</v>
      </c>
      <c r="C79" t="s">
        <v>7</v>
      </c>
      <c r="D79" t="s">
        <v>74</v>
      </c>
      <c r="E79" s="12" t="s">
        <v>36</v>
      </c>
      <c r="F79">
        <v>83</v>
      </c>
      <c r="G79" t="s">
        <v>52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Log'!$E$2:$V$70,
    MATCH(1,
      ('Golf Log'!$A$2:$A$70=$A79)*
      ('Golf Log'!$B$2:$B$70=$B79)*
      ('Golf Log'!$C$2:$C$70=$C79),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Log'!$E$2:$V$70,
    MATCH(1,
      ('Putt Log'!$A$2:$A$70=$A79)*
      ('Putt Log'!$B$2:$B$70=$B79)*
      ('Putt Log'!$C$2:$C$70=$C79),
    0),
    MATCH($G79,'Putt Log'!$E$1:$V$1,0)
  ),
"")</f>
        <v>1</v>
      </c>
      <c r="P79" t="str" cm="1">
        <f t="array" ref="P79">IF(K79=3,"",
  IFERROR(
    INDEX('Fairway Log'!$E$2:$V$70,
      MATCH(1,
        ('Fairway Log'!$A$2:$A$70=$A79)*
        ('Fairway Log'!$B$2:$B$70=$B79)*
        ('Fairway Log'!$C$2:$C150=$C79),
      0),
      MATCH($G79,'Fairway Log'!$E$1:$V$1,0)
    ),
  "")
)</f>
        <v>→</v>
      </c>
      <c r="Q79" t="str" cm="1">
        <f t="array" ref="Q79">IFERROR(
  INDEX('GIR Log'!$E$2:$V$70,
    MATCH(1,
      ('GIR Log'!$A$2:$A$70=$A79)*
      ('GIR Log'!$B$2:$B$70=$B79)*
      ('GIR Log'!$C$2:$C$70=$C79),
    0),
    MATCH($G79,'GIR Log'!$E$1:$V$1,0)
  ),
"")</f>
        <v>→</v>
      </c>
    </row>
    <row r="80" spans="1:17" x14ac:dyDescent="0.25">
      <c r="A80" s="20" t="s">
        <v>126</v>
      </c>
      <c r="B80" s="2">
        <v>45580</v>
      </c>
      <c r="C80" t="s">
        <v>7</v>
      </c>
      <c r="D80" t="s">
        <v>74</v>
      </c>
      <c r="E80" s="12" t="s">
        <v>36</v>
      </c>
      <c r="F80">
        <v>83</v>
      </c>
      <c r="G80" t="s">
        <v>53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Log'!$E$2:$V$70,
    MATCH(1,
      ('Golf Log'!$A$2:$A$70=$A80)*
      ('Golf Log'!$B$2:$B$70=$B80)*
      ('Golf Log'!$C$2:$C$70=$C80),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Log'!$E$2:$V$70,
    MATCH(1,
      ('Putt Log'!$A$2:$A$70=$A80)*
      ('Putt Log'!$B$2:$B$70=$B80)*
      ('Putt Log'!$C$2:$C$70=$C80),
    0),
    MATCH($G80,'Putt Log'!$E$1:$V$1,0)
  ),
"")</f>
        <v>1</v>
      </c>
      <c r="P80" t="str" cm="1">
        <f t="array" ref="P80">IF(K80=3,"",
  IFERROR(
    INDEX('Fairway Log'!$E$2:$V$70,
      MATCH(1,
        ('Fairway Log'!$A$2:$A$70=$A80)*
        ('Fairway Log'!$B$2:$B$70=$B80)*
        ('Fairway Log'!$C$2:$C151=$C80),
      0),
      MATCH($G80,'Fairway Log'!$E$1:$V$1,0)
    ),
  "")
)</f>
        <v>←</v>
      </c>
      <c r="Q80" cm="1">
        <f t="array" ref="Q80">IFERROR(
  INDEX('GIR Log'!$E$2:$V$70,
    MATCH(1,
      ('GIR Log'!$A$2:$A$70=$A80)*
      ('GIR Log'!$B$2:$B$70=$B80)*
      ('GIR Log'!$C$2:$C$70=$C80),
    0),
    MATCH($G80,'GIR Log'!$E$1:$V$1,0)
  ),
"")</f>
        <v>1</v>
      </c>
    </row>
    <row r="81" spans="1:17" x14ac:dyDescent="0.25">
      <c r="A81" s="20" t="s">
        <v>126</v>
      </c>
      <c r="B81" s="2">
        <v>45580</v>
      </c>
      <c r="C81" t="s">
        <v>7</v>
      </c>
      <c r="D81" t="s">
        <v>74</v>
      </c>
      <c r="E81" s="12" t="s">
        <v>36</v>
      </c>
      <c r="F81">
        <v>83</v>
      </c>
      <c r="G81" t="s">
        <v>54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Log'!$E$2:$V$70,
    MATCH(1,
      ('Golf Log'!$A$2:$A$70=$A81)*
      ('Golf Log'!$B$2:$B$70=$B81)*
      ('Golf Log'!$C$2:$C$70=$C81),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Log'!$E$2:$V$70,
    MATCH(1,
      ('Putt Log'!$A$2:$A$70=$A81)*
      ('Putt Log'!$B$2:$B$70=$B81)*
      ('Putt Log'!$C$2:$C$70=$C81),
    0),
    MATCH($G81,'Putt Log'!$E$1:$V$1,0)
  ),
"")</f>
        <v>1</v>
      </c>
      <c r="P81" t="str" cm="1">
        <f t="array" ref="P81">IF(K81=3,"",
  IFERROR(
    INDEX('Fairway Log'!$E$2:$V$70,
      MATCH(1,
        ('Fairway Log'!$A$2:$A$70=$A81)*
        ('Fairway Log'!$B$2:$B$70=$B81)*
        ('Fairway Log'!$C$2:$C152=$C81),
      0),
      MATCH($G81,'Fairway Log'!$E$1:$V$1,0)
    ),
  "")
)</f>
        <v/>
      </c>
      <c r="Q81" t="str" cm="1">
        <f t="array" ref="Q81">IFERROR(
  INDEX('GIR Log'!$E$2:$V$70,
    MATCH(1,
      ('GIR Log'!$A$2:$A$70=$A81)*
      ('GIR Log'!$B$2:$B$70=$B81)*
      ('GIR Log'!$C$2:$C$70=$C81),
    0),
    MATCH($G81,'GIR Log'!$E$1:$V$1,0)
  ),
"")</f>
        <v>↑</v>
      </c>
    </row>
    <row r="82" spans="1:17" x14ac:dyDescent="0.25">
      <c r="A82" s="20" t="s">
        <v>126</v>
      </c>
      <c r="B82" s="2">
        <v>45580</v>
      </c>
      <c r="C82" t="s">
        <v>7</v>
      </c>
      <c r="D82" t="s">
        <v>74</v>
      </c>
      <c r="E82" s="12" t="s">
        <v>36</v>
      </c>
      <c r="F82">
        <v>83</v>
      </c>
      <c r="G82" t="s">
        <v>55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Log'!$E$2:$V$70,
    MATCH(1,
      ('Golf Log'!$A$2:$A$70=$A82)*
      ('Golf Log'!$B$2:$B$70=$B82)*
      ('Golf Log'!$C$2:$C$70=$C82),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Log'!$E$2:$V$70,
    MATCH(1,
      ('Putt Log'!$A$2:$A$70=$A82)*
      ('Putt Log'!$B$2:$B$70=$B82)*
      ('Putt Log'!$C$2:$C$70=$C82),
    0),
    MATCH($G82,'Putt Log'!$E$1:$V$1,0)
  ),
"")</f>
        <v>2</v>
      </c>
      <c r="P82" cm="1">
        <f t="array" ref="P82">IF(K82=3,"",
  IFERROR(
    INDEX('Fairway Log'!$E$2:$V$70,
      MATCH(1,
        ('Fairway Log'!$A$2:$A$70=$A82)*
        ('Fairway Log'!$B$2:$B$70=$B82)*
        ('Fairway Log'!$C$2:$C153=$C82),
      0),
      MATCH($G82,'Fairway Log'!$E$1:$V$1,0)
    ),
  "")
)</f>
        <v>1</v>
      </c>
      <c r="Q82" cm="1">
        <f t="array" ref="Q82">IFERROR(
  INDEX('GIR Log'!$E$2:$V$70,
    MATCH(1,
      ('GIR Log'!$A$2:$A$70=$A82)*
      ('GIR Log'!$B$2:$B$70=$B82)*
      ('GIR Log'!$C$2:$C$70=$C82),
    0),
    MATCH($G82,'GIR Log'!$E$1:$V$1,0)
  ),
"")</f>
        <v>1</v>
      </c>
    </row>
    <row r="83" spans="1:17" x14ac:dyDescent="0.25">
      <c r="A83" s="20" t="s">
        <v>126</v>
      </c>
      <c r="B83" s="2">
        <v>45580</v>
      </c>
      <c r="C83" t="s">
        <v>7</v>
      </c>
      <c r="D83" t="s">
        <v>74</v>
      </c>
      <c r="E83" s="12" t="s">
        <v>36</v>
      </c>
      <c r="F83">
        <v>83</v>
      </c>
      <c r="G83" t="s">
        <v>56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Log'!$E$2:$V$70,
    MATCH(1,
      ('Golf Log'!$A$2:$A$70=$A83)*
      ('Golf Log'!$B$2:$B$70=$B83)*
      ('Golf Log'!$C$2:$C$70=$C83),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Log'!$E$2:$V$70,
    MATCH(1,
      ('Putt Log'!$A$2:$A$70=$A83)*
      ('Putt Log'!$B$2:$B$70=$B83)*
      ('Putt Log'!$C$2:$C$70=$C83),
    0),
    MATCH($G83,'Putt Log'!$E$1:$V$1,0)
  ),
"")</f>
        <v>1</v>
      </c>
      <c r="P83" cm="1">
        <f t="array" ref="P83">IF(K83=3,"",
  IFERROR(
    INDEX('Fairway Log'!$E$2:$V$70,
      MATCH(1,
        ('Fairway Log'!$A$2:$A$70=$A83)*
        ('Fairway Log'!$B$2:$B$70=$B83)*
        ('Fairway Log'!$C$2:$C154=$C83),
      0),
      MATCH($G83,'Fairway Log'!$E$1:$V$1,0)
    ),
  "")
)</f>
        <v>1</v>
      </c>
      <c r="Q83" t="str" cm="1">
        <f t="array" ref="Q83">IFERROR(
  INDEX('GIR Log'!$E$2:$V$70,
    MATCH(1,
      ('GIR Log'!$A$2:$A$70=$A83)*
      ('GIR Log'!$B$2:$B$70=$B83)*
      ('GIR Log'!$C$2:$C$70=$C83),
    0),
    MATCH($G83,'GIR Log'!$E$1:$V$1,0)
  ),
"")</f>
        <v>↓</v>
      </c>
    </row>
    <row r="84" spans="1:17" x14ac:dyDescent="0.25">
      <c r="A84" s="20" t="s">
        <v>126</v>
      </c>
      <c r="B84" s="2">
        <v>45580</v>
      </c>
      <c r="C84" t="s">
        <v>7</v>
      </c>
      <c r="D84" t="s">
        <v>74</v>
      </c>
      <c r="E84" s="12" t="s">
        <v>36</v>
      </c>
      <c r="F84">
        <v>83</v>
      </c>
      <c r="G84" t="s">
        <v>57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Log'!$E$2:$V$70,
    MATCH(1,
      ('Golf Log'!$A$2:$A$70=$A84)*
      ('Golf Log'!$B$2:$B$70=$B84)*
      ('Golf Log'!$C$2:$C$70=$C84),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Log'!$E$2:$V$70,
    MATCH(1,
      ('Putt Log'!$A$2:$A$70=$A84)*
      ('Putt Log'!$B$2:$B$70=$B84)*
      ('Putt Log'!$C$2:$C$70=$C84),
    0),
    MATCH($G84,'Putt Log'!$E$1:$V$1,0)
  ),
"")</f>
        <v>2</v>
      </c>
      <c r="P84" t="str" cm="1">
        <f t="array" ref="P84">IF(K84=3,"",
  IFERROR(
    INDEX('Fairway Log'!$E$2:$V$70,
      MATCH(1,
        ('Fairway Log'!$A$2:$A$70=$A84)*
        ('Fairway Log'!$B$2:$B$70=$B84)*
        ('Fairway Log'!$C$2:$C155=$C84),
      0),
      MATCH($G84,'Fairway Log'!$E$1:$V$1,0)
    ),
  "")
)</f>
        <v>←</v>
      </c>
      <c r="Q84" t="str" cm="1">
        <f t="array" ref="Q84">IFERROR(
  INDEX('GIR Log'!$E$2:$V$70,
    MATCH(1,
      ('GIR Log'!$A$2:$A$70=$A84)*
      ('GIR Log'!$B$2:$B$70=$B84)*
      ('GIR Log'!$C$2:$C$70=$C84),
    0),
    MATCH($G84,'GIR Log'!$E$1:$V$1,0)
  ),
"")</f>
        <v>↓</v>
      </c>
    </row>
    <row r="85" spans="1:17" x14ac:dyDescent="0.25">
      <c r="A85" s="20" t="s">
        <v>126</v>
      </c>
      <c r="B85" s="2">
        <v>45580</v>
      </c>
      <c r="C85" t="s">
        <v>7</v>
      </c>
      <c r="D85" t="s">
        <v>74</v>
      </c>
      <c r="E85" s="12" t="s">
        <v>36</v>
      </c>
      <c r="F85">
        <v>83</v>
      </c>
      <c r="G85" t="s">
        <v>58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Log'!$E$2:$V$70,
    MATCH(1,
      ('Golf Log'!$A$2:$A$70=$A85)*
      ('Golf Log'!$B$2:$B$70=$B85)*
      ('Golf Log'!$C$2:$C$70=$C85),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Log'!$E$2:$V$70,
    MATCH(1,
      ('Putt Log'!$A$2:$A$70=$A85)*
      ('Putt Log'!$B$2:$B$70=$B85)*
      ('Putt Log'!$C$2:$C$70=$C85),
    0),
    MATCH($G85,'Putt Log'!$E$1:$V$1,0)
  ),
"")</f>
        <v>2</v>
      </c>
      <c r="P85" t="str" cm="1">
        <f t="array" ref="P85">IF(K85=3,"",
  IFERROR(
    INDEX('Fairway Log'!$E$2:$V$70,
      MATCH(1,
        ('Fairway Log'!$A$2:$A$70=$A85)*
        ('Fairway Log'!$B$2:$B$70=$B85)*
        ('Fairway Log'!$C$2:$C156=$C85),
      0),
      MATCH($G85,'Fairway Log'!$E$1:$V$1,0)
    ),
  "")
)</f>
        <v/>
      </c>
      <c r="Q85" t="str" cm="1">
        <f t="array" ref="Q85">IFERROR(
  INDEX('GIR Log'!$E$2:$V$70,
    MATCH(1,
      ('GIR Log'!$A$2:$A$70=$A85)*
      ('GIR Log'!$B$2:$B$70=$B85)*
      ('GIR Log'!$C$2:$C$70=$C85),
    0),
    MATCH($G85,'GIR Log'!$E$1:$V$1,0)
  ),
"")</f>
        <v>←</v>
      </c>
    </row>
    <row r="86" spans="1:17" x14ac:dyDescent="0.25">
      <c r="A86" s="20" t="s">
        <v>126</v>
      </c>
      <c r="B86" s="2">
        <v>45580</v>
      </c>
      <c r="C86" t="s">
        <v>7</v>
      </c>
      <c r="D86" t="s">
        <v>74</v>
      </c>
      <c r="E86" s="12" t="s">
        <v>36</v>
      </c>
      <c r="F86">
        <v>83</v>
      </c>
      <c r="G86" t="s">
        <v>59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Log'!$E$2:$V$70,
    MATCH(1,
      ('Golf Log'!$A$2:$A$70=$A86)*
      ('Golf Log'!$B$2:$B$70=$B86)*
      ('Golf Log'!$C$2:$C$70=$C86),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Log'!$E$2:$V$70,
    MATCH(1,
      ('Putt Log'!$A$2:$A$70=$A86)*
      ('Putt Log'!$B$2:$B$70=$B86)*
      ('Putt Log'!$C$2:$C$70=$C86),
    0),
    MATCH($G86,'Putt Log'!$E$1:$V$1,0)
  ),
"")</f>
        <v>2</v>
      </c>
      <c r="P86" t="str" cm="1">
        <f t="array" ref="P86">IF(K86=3,"",
  IFERROR(
    INDEX('Fairway Log'!$E$2:$V$70,
      MATCH(1,
        ('Fairway Log'!$A$2:$A$70=$A86)*
        ('Fairway Log'!$B$2:$B$70=$B86)*
        ('Fairway Log'!$C$2:$C157=$C86),
      0),
      MATCH($G86,'Fairway Log'!$E$1:$V$1,0)
    ),
  "")
)</f>
        <v>→</v>
      </c>
      <c r="Q86" t="str" cm="1">
        <f t="array" ref="Q86">IFERROR(
  INDEX('GIR Log'!$E$2:$V$70,
    MATCH(1,
      ('GIR Log'!$A$2:$A$70=$A86)*
      ('GIR Log'!$B$2:$B$70=$B86)*
      ('GIR Log'!$C$2:$C$70=$C86),
    0),
    MATCH($G86,'GIR Log'!$E$1:$V$1,0)
  ),
"")</f>
        <v>←</v>
      </c>
    </row>
    <row r="87" spans="1:17" x14ac:dyDescent="0.25">
      <c r="A87" s="20" t="s">
        <v>126</v>
      </c>
      <c r="B87" s="2">
        <v>45580</v>
      </c>
      <c r="C87" t="s">
        <v>7</v>
      </c>
      <c r="D87" t="s">
        <v>74</v>
      </c>
      <c r="E87" s="12" t="s">
        <v>36</v>
      </c>
      <c r="F87">
        <v>83</v>
      </c>
      <c r="G87" t="s">
        <v>60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Log'!$E$2:$V$70,
    MATCH(1,
      ('Golf Log'!$A$2:$A$70=$A87)*
      ('Golf Log'!$B$2:$B$70=$B87)*
      ('Golf Log'!$C$2:$C$70=$C87),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Log'!$E$2:$V$70,
    MATCH(1,
      ('Putt Log'!$A$2:$A$70=$A87)*
      ('Putt Log'!$B$2:$B$70=$B87)*
      ('Putt Log'!$C$2:$C$70=$C87),
    0),
    MATCH($G87,'Putt Log'!$E$1:$V$1,0)
  ),
"")</f>
        <v>2</v>
      </c>
      <c r="P87" cm="1">
        <f t="array" ref="P87">IF(K87=3,"",
  IFERROR(
    INDEX('Fairway Log'!$E$2:$V$70,
      MATCH(1,
        ('Fairway Log'!$A$2:$A$70=$A87)*
        ('Fairway Log'!$B$2:$B$70=$B87)*
        ('Fairway Log'!$C$2:$C158=$C87),
      0),
      MATCH($G87,'Fairway Log'!$E$1:$V$1,0)
    ),
  "")
)</f>
        <v>1</v>
      </c>
      <c r="Q87" t="str" cm="1">
        <f t="array" ref="Q87">IFERROR(
  INDEX('GIR Log'!$E$2:$V$70,
    MATCH(1,
      ('GIR Log'!$A$2:$A$70=$A87)*
      ('GIR Log'!$B$2:$B$70=$B87)*
      ('GIR Log'!$C$2:$C$70=$C87),
    0),
    MATCH($G87,'GIR Log'!$E$1:$V$1,0)
  ),
"")</f>
        <v>↓</v>
      </c>
    </row>
    <row r="88" spans="1:17" x14ac:dyDescent="0.25">
      <c r="A88" s="20" t="s">
        <v>126</v>
      </c>
      <c r="B88" s="2">
        <v>45580</v>
      </c>
      <c r="C88" t="s">
        <v>7</v>
      </c>
      <c r="D88" t="s">
        <v>74</v>
      </c>
      <c r="E88" s="12" t="s">
        <v>36</v>
      </c>
      <c r="F88">
        <v>83</v>
      </c>
      <c r="G88" t="s">
        <v>61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Log'!$E$2:$V$70,
    MATCH(1,
      ('Golf Log'!$A$2:$A$70=$A88)*
      ('Golf Log'!$B$2:$B$70=$B88)*
      ('Golf Log'!$C$2:$C$70=$C88),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Log'!$E$2:$V$70,
    MATCH(1,
      ('Putt Log'!$A$2:$A$70=$A88)*
      ('Putt Log'!$B$2:$B$70=$B88)*
      ('Putt Log'!$C$2:$C$70=$C88),
    0),
    MATCH($G88,'Putt Log'!$E$1:$V$1,0)
  ),
"")</f>
        <v>2</v>
      </c>
      <c r="P88" cm="1">
        <f t="array" ref="P88">IF(K88=3,"",
  IFERROR(
    INDEX('Fairway Log'!$E$2:$V$70,
      MATCH(1,
        ('Fairway Log'!$A$2:$A$70=$A88)*
        ('Fairway Log'!$B$2:$B$70=$B88)*
        ('Fairway Log'!$C$2:$C159=$C88),
      0),
      MATCH($G88,'Fairway Log'!$E$1:$V$1,0)
    ),
  "")
)</f>
        <v>1</v>
      </c>
      <c r="Q88" cm="1">
        <f t="array" ref="Q88">IFERROR(
  INDEX('GIR Log'!$E$2:$V$70,
    MATCH(1,
      ('GIR Log'!$A$2:$A$70=$A88)*
      ('GIR Log'!$B$2:$B$70=$B88)*
      ('GIR Log'!$C$2:$C$70=$C88),
    0),
    MATCH($G88,'GIR Log'!$E$1:$V$1,0)
  ),
"")</f>
        <v>1</v>
      </c>
    </row>
    <row r="89" spans="1:17" x14ac:dyDescent="0.25">
      <c r="A89" s="20" t="s">
        <v>126</v>
      </c>
      <c r="B89" s="2">
        <v>45580</v>
      </c>
      <c r="C89" t="s">
        <v>7</v>
      </c>
      <c r="D89" t="s">
        <v>74</v>
      </c>
      <c r="E89" s="12" t="s">
        <v>36</v>
      </c>
      <c r="F89">
        <v>83</v>
      </c>
      <c r="G89" t="s">
        <v>62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Log'!$E$2:$V$70,
    MATCH(1,
      ('Golf Log'!$A$2:$A$70=$A89)*
      ('Golf Log'!$B$2:$B$70=$B89)*
      ('Golf Log'!$C$2:$C$70=$C89),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Log'!$E$2:$V$70,
    MATCH(1,
      ('Putt Log'!$A$2:$A$70=$A89)*
      ('Putt Log'!$B$2:$B$70=$B89)*
      ('Putt Log'!$C$2:$C$70=$C89),
    0),
    MATCH($G89,'Putt Log'!$E$1:$V$1,0)
  ),
"")</f>
        <v>1</v>
      </c>
      <c r="P89" t="str" cm="1">
        <f t="array" ref="P89">IF(K89=3,"",
  IFERROR(
    INDEX('Fairway Log'!$E$2:$V$70,
      MATCH(1,
        ('Fairway Log'!$A$2:$A$70=$A89)*
        ('Fairway Log'!$B$2:$B$70=$B89)*
        ('Fairway Log'!$C$2:$C160=$C89),
      0),
      MATCH($G89,'Fairway Log'!$E$1:$V$1,0)
    ),
  "")
)</f>
        <v>→</v>
      </c>
      <c r="Q89" cm="1">
        <f t="array" ref="Q89">IFERROR(
  INDEX('GIR Log'!$E$2:$V$70,
    MATCH(1,
      ('GIR Log'!$A$2:$A$70=$A89)*
      ('GIR Log'!$B$2:$B$70=$B89)*
      ('GIR Log'!$C$2:$C$70=$C89),
    0),
    MATCH($G89,'GIR Log'!$E$1:$V$1,0)
  ),
"")</f>
        <v>0</v>
      </c>
    </row>
    <row r="90" spans="1:17" x14ac:dyDescent="0.25">
      <c r="A90" s="20" t="s">
        <v>126</v>
      </c>
      <c r="B90" s="2">
        <v>45580</v>
      </c>
      <c r="C90" t="s">
        <v>7</v>
      </c>
      <c r="D90" t="s">
        <v>74</v>
      </c>
      <c r="E90" s="12" t="s">
        <v>36</v>
      </c>
      <c r="F90">
        <v>83</v>
      </c>
      <c r="G90" t="s">
        <v>63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Log'!$E$2:$V$70,
    MATCH(1,
      ('Golf Log'!$A$2:$A$70=$A90)*
      ('Golf Log'!$B$2:$B$70=$B90)*
      ('Golf Log'!$C$2:$C$70=$C90),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Log'!$E$2:$V$70,
    MATCH(1,
      ('Putt Log'!$A$2:$A$70=$A90)*
      ('Putt Log'!$B$2:$B$70=$B90)*
      ('Putt Log'!$C$2:$C$70=$C90),
    0),
    MATCH($G90,'Putt Log'!$E$1:$V$1,0)
  ),
"")</f>
        <v>1</v>
      </c>
      <c r="P90" t="str" cm="1">
        <f t="array" ref="P90">IF(K90=3,"",
  IFERROR(
    INDEX('Fairway Log'!$E$2:$V$70,
      MATCH(1,
        ('Fairway Log'!$A$2:$A$70=$A90)*
        ('Fairway Log'!$B$2:$B$70=$B90)*
        ('Fairway Log'!$C$2:$C161=$C90),
      0),
      MATCH($G90,'Fairway Log'!$E$1:$V$1,0)
    ),
  "")
)</f>
        <v/>
      </c>
      <c r="Q90" cm="1">
        <f t="array" ref="Q90">IFERROR(
  INDEX('GIR Log'!$E$2:$V$70,
    MATCH(1,
      ('GIR Log'!$A$2:$A$70=$A90)*
      ('GIR Log'!$B$2:$B$70=$B90)*
      ('GIR Log'!$C$2:$C$70=$C90),
    0),
    MATCH($G90,'GIR Log'!$E$1:$V$1,0)
  ),
"")</f>
        <v>0</v>
      </c>
    </row>
    <row r="91" spans="1:17" x14ac:dyDescent="0.25">
      <c r="A91" s="20" t="s">
        <v>126</v>
      </c>
      <c r="B91" s="2">
        <v>45580</v>
      </c>
      <c r="C91" t="s">
        <v>7</v>
      </c>
      <c r="D91" t="s">
        <v>74</v>
      </c>
      <c r="E91" s="12" t="s">
        <v>36</v>
      </c>
      <c r="F91">
        <v>83</v>
      </c>
      <c r="G91" t="s">
        <v>64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Log'!$E$2:$V$70,
    MATCH(1,
      ('Golf Log'!$A$2:$A$70=$A91)*
      ('Golf Log'!$B$2:$B$70=$B91)*
      ('Golf Log'!$C$2:$C$70=$C91),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Log'!$E$2:$V$70,
    MATCH(1,
      ('Putt Log'!$A$2:$A$70=$A91)*
      ('Putt Log'!$B$2:$B$70=$B91)*
      ('Putt Log'!$C$2:$C$70=$C91),
    0),
    MATCH($G91,'Putt Log'!$E$1:$V$1,0)
  ),
"")</f>
        <v>1</v>
      </c>
      <c r="P91" t="str" cm="1">
        <f t="array" ref="P91">IF(K91=3,"",
  IFERROR(
    INDEX('Fairway Log'!$E$2:$V$70,
      MATCH(1,
        ('Fairway Log'!$A$2:$A$70=$A91)*
        ('Fairway Log'!$B$2:$B$70=$B91)*
        ('Fairway Log'!$C$2:$C162=$C91),
      0),
      MATCH($G91,'Fairway Log'!$E$1:$V$1,0)
    ),
  "")
)</f>
        <v>→</v>
      </c>
      <c r="Q91" t="str" cm="1">
        <f t="array" ref="Q91">IFERROR(
  INDEX('GIR Log'!$E$2:$V$70,
    MATCH(1,
      ('GIR Log'!$A$2:$A$70=$A91)*
      ('GIR Log'!$B$2:$B$70=$B91)*
      ('GIR Log'!$C$2:$C$70=$C91),
    0),
    MATCH($G91,'GIR Log'!$E$1:$V$1,0)
  ),
"")</f>
        <v>←</v>
      </c>
    </row>
    <row r="92" spans="1:17" x14ac:dyDescent="0.25">
      <c r="A92" s="20" t="s">
        <v>126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47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Log'!$E$2:$V$70,
    MATCH(1,
      ('Golf Log'!$A$2:$A$70=$A92)*
      ('Golf Log'!$B$2:$B$70=$B92)*
      ('Golf Log'!$C$2:$C$70=$C92),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Log'!$E$2:$V$70,
    MATCH(1,
      ('Putt Log'!$A$2:$A$70=$A92)*
      ('Putt Log'!$B$2:$B$70=$B92)*
      ('Putt Log'!$C$2:$C$70=$C92),
    0),
    MATCH($G92,'Putt Log'!$E$1:$V$1,0)
  ),
"")</f>
        <v>2</v>
      </c>
      <c r="P92" t="str" cm="1">
        <f t="array" ref="P92">IF(K92=3,"",
  IFERROR(
    INDEX('Fairway Log'!$E$2:$V$70,
      MATCH(1,
        ('Fairway Log'!$A$2:$A$70=$A92)*
        ('Fairway Log'!$B$2:$B$70=$B92)*
        ('Fairway Log'!$C$2:$C163=$C92),
      0),
      MATCH($G92,'Fairway Log'!$E$1:$V$1,0)
    ),
  "")
)</f>
        <v>←</v>
      </c>
      <c r="Q92" cm="1">
        <f t="array" ref="Q92">IFERROR(
  INDEX('GIR Log'!$E$2:$V$70,
    MATCH(1,
      ('GIR Log'!$A$2:$A$70=$A92)*
      ('GIR Log'!$B$2:$B$70=$B92)*
      ('GIR Log'!$C$2:$C$70=$C92),
    0),
    MATCH($G92,'GIR Log'!$E$1:$V$1,0)
  ),
"")</f>
        <v>1</v>
      </c>
    </row>
    <row r="93" spans="1:17" x14ac:dyDescent="0.25">
      <c r="A93" s="20" t="s">
        <v>126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48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Log'!$E$2:$V$70,
    MATCH(1,
      ('Golf Log'!$A$2:$A$70=$A93)*
      ('Golf Log'!$B$2:$B$70=$B93)*
      ('Golf Log'!$C$2:$C$70=$C93),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Log'!$E$2:$V$70,
    MATCH(1,
      ('Putt Log'!$A$2:$A$70=$A93)*
      ('Putt Log'!$B$2:$B$70=$B93)*
      ('Putt Log'!$C$2:$C$70=$C93),
    0),
    MATCH($G93,'Putt Log'!$E$1:$V$1,0)
  ),
"")</f>
        <v>2</v>
      </c>
      <c r="P93" t="str" cm="1">
        <f t="array" ref="P93">IF(K93=3,"",
  IFERROR(
    INDEX('Fairway Log'!$E$2:$V$70,
      MATCH(1,
        ('Fairway Log'!$A$2:$A$70=$A93)*
        ('Fairway Log'!$B$2:$B$70=$B93)*
        ('Fairway Log'!$C$2:$C164=$C93),
      0),
      MATCH($G93,'Fairway Log'!$E$1:$V$1,0)
    ),
  "")
)</f>
        <v>→</v>
      </c>
      <c r="Q93" t="str" cm="1">
        <f t="array" ref="Q93">IFERROR(
  INDEX('GIR Log'!$E$2:$V$70,
    MATCH(1,
      ('GIR Log'!$A$2:$A$70=$A93)*
      ('GIR Log'!$B$2:$B$70=$B93)*
      ('GIR Log'!$C$2:$C$70=$C93),
    0),
    MATCH($G93,'GIR Log'!$E$1:$V$1,0)
  ),
"")</f>
        <v>←</v>
      </c>
    </row>
    <row r="94" spans="1:17" x14ac:dyDescent="0.25">
      <c r="A94" s="20" t="s">
        <v>126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49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Log'!$E$2:$V$70,
    MATCH(1,
      ('Golf Log'!$A$2:$A$70=$A94)*
      ('Golf Log'!$B$2:$B$70=$B94)*
      ('Golf Log'!$C$2:$C$70=$C94),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Log'!$E$2:$V$70,
    MATCH(1,
      ('Putt Log'!$A$2:$A$70=$A94)*
      ('Putt Log'!$B$2:$B$70=$B94)*
      ('Putt Log'!$C$2:$C$70=$C94),
    0),
    MATCH($G94,'Putt Log'!$E$1:$V$1,0)
  ),
"")</f>
        <v>0</v>
      </c>
      <c r="P94" t="str" cm="1">
        <f t="array" ref="P94">IF(K94=3,"",
  IFERROR(
    INDEX('Fairway Log'!$E$2:$V$70,
      MATCH(1,
        ('Fairway Log'!$A$2:$A$70=$A94)*
        ('Fairway Log'!$B$2:$B$70=$B94)*
        ('Fairway Log'!$C$2:$C165=$C94),
      0),
      MATCH($G94,'Fairway Log'!$E$1:$V$1,0)
    ),
  "")
)</f>
        <v/>
      </c>
      <c r="Q94" t="str" cm="1">
        <f t="array" ref="Q94">IFERROR(
  INDEX('GIR Log'!$E$2:$V$70,
    MATCH(1,
      ('GIR Log'!$A$2:$A$70=$A94)*
      ('GIR Log'!$B$2:$B$70=$B94)*
      ('GIR Log'!$C$2:$C$70=$C94),
    0),
    MATCH($G94,'GIR Log'!$E$1:$V$1,0)
  ),
"")</f>
        <v>↓</v>
      </c>
    </row>
    <row r="95" spans="1:17" x14ac:dyDescent="0.25">
      <c r="A95" s="20" t="s">
        <v>126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50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Log'!$E$2:$V$70,
    MATCH(1,
      ('Golf Log'!$A$2:$A$70=$A95)*
      ('Golf Log'!$B$2:$B$70=$B95)*
      ('Golf Log'!$C$2:$C$70=$C95),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Log'!$E$2:$V$70,
    MATCH(1,
      ('Putt Log'!$A$2:$A$70=$A95)*
      ('Putt Log'!$B$2:$B$70=$B95)*
      ('Putt Log'!$C$2:$C$70=$C95),
    0),
    MATCH($G95,'Putt Log'!$E$1:$V$1,0)
  ),
"")</f>
        <v>2</v>
      </c>
      <c r="P95" t="str" cm="1">
        <f t="array" ref="P95">IF(K95=3,"",
  IFERROR(
    INDEX('Fairway Log'!$E$2:$V$70,
      MATCH(1,
        ('Fairway Log'!$A$2:$A$70=$A95)*
        ('Fairway Log'!$B$2:$B$70=$B95)*
        ('Fairway Log'!$C$2:$C166=$C95),
      0),
      MATCH($G95,'Fairway Log'!$E$1:$V$1,0)
    ),
  "")
)</f>
        <v>→</v>
      </c>
      <c r="Q95" t="str" cm="1">
        <f t="array" ref="Q95">IFERROR(
  INDEX('GIR Log'!$E$2:$V$70,
    MATCH(1,
      ('GIR Log'!$A$2:$A$70=$A95)*
      ('GIR Log'!$B$2:$B$70=$B95)*
      ('GIR Log'!$C$2:$C$70=$C95),
    0),
    MATCH($G95,'GIR Log'!$E$1:$V$1,0)
  ),
"")</f>
        <v>↓</v>
      </c>
    </row>
    <row r="96" spans="1:17" x14ac:dyDescent="0.25">
      <c r="A96" s="20" t="s">
        <v>126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51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Log'!$E$2:$V$70,
    MATCH(1,
      ('Golf Log'!$A$2:$A$70=$A96)*
      ('Golf Log'!$B$2:$B$70=$B96)*
      ('Golf Log'!$C$2:$C$70=$C96),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Log'!$E$2:$V$70,
    MATCH(1,
      ('Putt Log'!$A$2:$A$70=$A96)*
      ('Putt Log'!$B$2:$B$70=$B96)*
      ('Putt Log'!$C$2:$C$70=$C96),
    0),
    MATCH($G96,'Putt Log'!$E$1:$V$1,0)
  ),
"")</f>
        <v>2</v>
      </c>
      <c r="P96" t="str" cm="1">
        <f t="array" ref="P96">IF(K96=3,"",
  IFERROR(
    INDEX('Fairway Log'!$E$2:$V$70,
      MATCH(1,
        ('Fairway Log'!$A$2:$A$70=$A96)*
        ('Fairway Log'!$B$2:$B$70=$B96)*
        ('Fairway Log'!$C$2:$C167=$C96),
      0),
      MATCH($G96,'Fairway Log'!$E$1:$V$1,0)
    ),
  "")
)</f>
        <v>↑</v>
      </c>
      <c r="Q96" t="str" cm="1">
        <f t="array" ref="Q96">IFERROR(
  INDEX('GIR Log'!$E$2:$V$70,
    MATCH(1,
      ('GIR Log'!$A$2:$A$70=$A96)*
      ('GIR Log'!$B$2:$B$70=$B96)*
      ('GIR Log'!$C$2:$C$70=$C96),
    0),
    MATCH($G96,'GIR Log'!$E$1:$V$1,0)
  ),
"")</f>
        <v>↓</v>
      </c>
    </row>
    <row r="97" spans="1:17" x14ac:dyDescent="0.25">
      <c r="A97" s="20" t="s">
        <v>126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52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Log'!$E$2:$V$70,
    MATCH(1,
      ('Golf Log'!$A$2:$A$70=$A97)*
      ('Golf Log'!$B$2:$B$70=$B97)*
      ('Golf Log'!$C$2:$C$70=$C97),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Log'!$E$2:$V$70,
    MATCH(1,
      ('Putt Log'!$A$2:$A$70=$A97)*
      ('Putt Log'!$B$2:$B$70=$B97)*
      ('Putt Log'!$C$2:$C$70=$C97),
    0),
    MATCH($G97,'Putt Log'!$E$1:$V$1,0)
  ),
"")</f>
        <v>2</v>
      </c>
      <c r="P97" t="str" cm="1">
        <f t="array" ref="P97">IF(K97=3,"",
  IFERROR(
    INDEX('Fairway Log'!$E$2:$V$70,
      MATCH(1,
        ('Fairway Log'!$A$2:$A$70=$A97)*
        ('Fairway Log'!$B$2:$B$70=$B97)*
        ('Fairway Log'!$C$2:$C168=$C97),
      0),
      MATCH($G97,'Fairway Log'!$E$1:$V$1,0)
    ),
  "")
)</f>
        <v/>
      </c>
      <c r="Q97" t="str" cm="1">
        <f t="array" ref="Q97">IFERROR(
  INDEX('GIR Log'!$E$2:$V$70,
    MATCH(1,
      ('GIR Log'!$A$2:$A$70=$A97)*
      ('GIR Log'!$B$2:$B$70=$B97)*
      ('GIR Log'!$C$2:$C$70=$C97),
    0),
    MATCH($G97,'GIR Log'!$E$1:$V$1,0)
  ),
"")</f>
        <v>→</v>
      </c>
    </row>
    <row r="98" spans="1:17" x14ac:dyDescent="0.25">
      <c r="A98" s="20" t="s">
        <v>126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53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Log'!$E$2:$V$70,
    MATCH(1,
      ('Golf Log'!$A$2:$A$70=$A98)*
      ('Golf Log'!$B$2:$B$70=$B98)*
      ('Golf Log'!$C$2:$C$70=$C98),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Log'!$E$2:$V$70,
    MATCH(1,
      ('Putt Log'!$A$2:$A$70=$A98)*
      ('Putt Log'!$B$2:$B$70=$B98)*
      ('Putt Log'!$C$2:$C$70=$C98),
    0),
    MATCH($G98,'Putt Log'!$E$1:$V$1,0)
  ),
"")</f>
        <v>2</v>
      </c>
      <c r="P98" cm="1">
        <f t="array" ref="P98">IF(K98=3,"",
  IFERROR(
    INDEX('Fairway Log'!$E$2:$V$70,
      MATCH(1,
        ('Fairway Log'!$A$2:$A$70=$A98)*
        ('Fairway Log'!$B$2:$B$70=$B98)*
        ('Fairway Log'!$C$2:$C169=$C98),
      0),
      MATCH($G98,'Fairway Log'!$E$1:$V$1,0)
    ),
  "")
)</f>
        <v>1</v>
      </c>
      <c r="Q98" t="str" cm="1">
        <f t="array" ref="Q98">IFERROR(
  INDEX('GIR Log'!$E$2:$V$70,
    MATCH(1,
      ('GIR Log'!$A$2:$A$70=$A98)*
      ('GIR Log'!$B$2:$B$70=$B98)*
      ('GIR Log'!$C$2:$C$70=$C98),
    0),
    MATCH($G98,'GIR Log'!$E$1:$V$1,0)
  ),
"")</f>
        <v>→</v>
      </c>
    </row>
    <row r="99" spans="1:17" x14ac:dyDescent="0.25">
      <c r="A99" s="20" t="s">
        <v>126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54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Log'!$E$2:$V$70,
    MATCH(1,
      ('Golf Log'!$A$2:$A$70=$A99)*
      ('Golf Log'!$B$2:$B$70=$B99)*
      ('Golf Log'!$C$2:$C$70=$C99),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Log'!$E$2:$V$70,
    MATCH(1,
      ('Putt Log'!$A$2:$A$70=$A99)*
      ('Putt Log'!$B$2:$B$70=$B99)*
      ('Putt Log'!$C$2:$C$70=$C99),
    0),
    MATCH($G99,'Putt Log'!$E$1:$V$1,0)
  ),
"")</f>
        <v>2</v>
      </c>
      <c r="P99" cm="1">
        <f t="array" ref="P99">IF(K99=3,"",
  IFERROR(
    INDEX('Fairway Log'!$E$2:$V$70,
      MATCH(1,
        ('Fairway Log'!$A$2:$A$70=$A99)*
        ('Fairway Log'!$B$2:$B$70=$B99)*
        ('Fairway Log'!$C$2:$C170=$C99),
      0),
      MATCH($G99,'Fairway Log'!$E$1:$V$1,0)
    ),
  "")
)</f>
        <v>1</v>
      </c>
      <c r="Q99" cm="1">
        <f t="array" ref="Q99">IFERROR(
  INDEX('GIR Log'!$E$2:$V$70,
    MATCH(1,
      ('GIR Log'!$A$2:$A$70=$A99)*
      ('GIR Log'!$B$2:$B$70=$B99)*
      ('GIR Log'!$C$2:$C$70=$C99),
    0),
    MATCH($G99,'GIR Log'!$E$1:$V$1,0)
  ),
"")</f>
        <v>1</v>
      </c>
    </row>
    <row r="100" spans="1:17" x14ac:dyDescent="0.25">
      <c r="A100" s="20" t="s">
        <v>126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55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Log'!$E$2:$V$70,
    MATCH(1,
      ('Golf Log'!$A$2:$A$70=$A100)*
      ('Golf Log'!$B$2:$B$70=$B100)*
      ('Golf Log'!$C$2:$C$70=$C100),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Log'!$E$2:$V$70,
    MATCH(1,
      ('Putt Log'!$A$2:$A$70=$A100)*
      ('Putt Log'!$B$2:$B$70=$B100)*
      ('Putt Log'!$C$2:$C$70=$C100),
    0),
    MATCH($G100,'Putt Log'!$E$1:$V$1,0)
  ),
"")</f>
        <v>1</v>
      </c>
      <c r="P100" cm="1">
        <f t="array" ref="P100">IF(K100=3,"",
  IFERROR(
    INDEX('Fairway Log'!$E$2:$V$70,
      MATCH(1,
        ('Fairway Log'!$A$2:$A$70=$A100)*
        ('Fairway Log'!$B$2:$B$70=$B100)*
        ('Fairway Log'!$C$2:$C171=$C100),
      0),
      MATCH($G100,'Fairway Log'!$E$1:$V$1,0)
    ),
  "")
)</f>
        <v>1</v>
      </c>
      <c r="Q100" cm="1">
        <f t="array" ref="Q100">IFERROR(
  INDEX('GIR Log'!$E$2:$V$70,
    MATCH(1,
      ('GIR Log'!$A$2:$A$70=$A100)*
      ('GIR Log'!$B$2:$B$70=$B100)*
      ('GIR Log'!$C$2:$C$70=$C100),
    0),
    MATCH($G100,'GIR Log'!$E$1:$V$1,0)
  ),
"")</f>
        <v>1</v>
      </c>
    </row>
    <row r="101" spans="1:17" x14ac:dyDescent="0.25">
      <c r="A101" s="20" t="s">
        <v>126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56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Log'!$E$2:$V$70,
    MATCH(1,
      ('Golf Log'!$A$2:$A$70=$A101)*
      ('Golf Log'!$B$2:$B$70=$B101)*
      ('Golf Log'!$C$2:$C$70=$C101),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Log'!$E$2:$V$70,
    MATCH(1,
      ('Putt Log'!$A$2:$A$70=$A101)*
      ('Putt Log'!$B$2:$B$70=$B101)*
      ('Putt Log'!$C$2:$C$70=$C101),
    0),
    MATCH($G101,'Putt Log'!$E$1:$V$1,0)
  ),
"")</f>
        <v>1</v>
      </c>
      <c r="P101" t="str" cm="1">
        <f t="array" ref="P101">IF(K101=3,"",
  IFERROR(
    INDEX('Fairway Log'!$E$2:$V$70,
      MATCH(1,
        ('Fairway Log'!$A$2:$A$70=$A101)*
        ('Fairway Log'!$B$2:$B$70=$B101)*
        ('Fairway Log'!$C$2:$C172=$C101),
      0),
      MATCH($G101,'Fairway Log'!$E$1:$V$1,0)
    ),
  "")
)</f>
        <v>↑</v>
      </c>
      <c r="Q101" t="str" cm="1">
        <f t="array" ref="Q101">IFERROR(
  INDEX('GIR Log'!$E$2:$V$70,
    MATCH(1,
      ('GIR Log'!$A$2:$A$70=$A101)*
      ('GIR Log'!$B$2:$B$70=$B101)*
      ('GIR Log'!$C$2:$C$70=$C101),
    0),
    MATCH($G101,'GIR Log'!$E$1:$V$1,0)
  ),
"")</f>
        <v>↑</v>
      </c>
    </row>
    <row r="102" spans="1:17" x14ac:dyDescent="0.25">
      <c r="A102" s="20" t="s">
        <v>126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57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Log'!$E$2:$V$70,
    MATCH(1,
      ('Golf Log'!$A$2:$A$70=$A102)*
      ('Golf Log'!$B$2:$B$70=$B102)*
      ('Golf Log'!$C$2:$C$70=$C102),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Log'!$E$2:$V$70,
    MATCH(1,
      ('Putt Log'!$A$2:$A$70=$A102)*
      ('Putt Log'!$B$2:$B$70=$B102)*
      ('Putt Log'!$C$2:$C$70=$C102),
    0),
    MATCH($G102,'Putt Log'!$E$1:$V$1,0)
  ),
"")</f>
        <v>2</v>
      </c>
      <c r="P102" t="str" cm="1">
        <f t="array" ref="P102">IF(K102=3,"",
  IFERROR(
    INDEX('Fairway Log'!$E$2:$V$70,
      MATCH(1,
        ('Fairway Log'!$A$2:$A$70=$A102)*
        ('Fairway Log'!$B$2:$B$70=$B102)*
        ('Fairway Log'!$C$2:$C173=$C102),
      0),
      MATCH($G102,'Fairway Log'!$E$1:$V$1,0)
    ),
  "")
)</f>
        <v/>
      </c>
      <c r="Q102" cm="1">
        <f t="array" ref="Q102">IFERROR(
  INDEX('GIR Log'!$E$2:$V$70,
    MATCH(1,
      ('GIR Log'!$A$2:$A$70=$A102)*
      ('GIR Log'!$B$2:$B$70=$B102)*
      ('GIR Log'!$C$2:$C$70=$C102),
    0),
    MATCH($G102,'GIR Log'!$E$1:$V$1,0)
  ),
"")</f>
        <v>1</v>
      </c>
    </row>
    <row r="103" spans="1:17" x14ac:dyDescent="0.25">
      <c r="A103" s="20" t="s">
        <v>126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58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Log'!$E$2:$V$70,
    MATCH(1,
      ('Golf Log'!$A$2:$A$70=$A103)*
      ('Golf Log'!$B$2:$B$70=$B103)*
      ('Golf Log'!$C$2:$C$70=$C103),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Log'!$E$2:$V$70,
    MATCH(1,
      ('Putt Log'!$A$2:$A$70=$A103)*
      ('Putt Log'!$B$2:$B$70=$B103)*
      ('Putt Log'!$C$2:$C$70=$C103),
    0),
    MATCH($G103,'Putt Log'!$E$1:$V$1,0)
  ),
"")</f>
        <v>1</v>
      </c>
      <c r="P103" t="str" cm="1">
        <f t="array" ref="P103">IF(K103=3,"",
  IFERROR(
    INDEX('Fairway Log'!$E$2:$V$70,
      MATCH(1,
        ('Fairway Log'!$A$2:$A$70=$A103)*
        ('Fairway Log'!$B$2:$B$70=$B103)*
        ('Fairway Log'!$C$2:$C174=$C103),
      0),
      MATCH($G103,'Fairway Log'!$E$1:$V$1,0)
    ),
  "")
)</f>
        <v>→</v>
      </c>
      <c r="Q103" t="str" cm="1">
        <f t="array" ref="Q103">IFERROR(
  INDEX('GIR Log'!$E$2:$V$70,
    MATCH(1,
      ('GIR Log'!$A$2:$A$70=$A103)*
      ('GIR Log'!$B$2:$B$70=$B103)*
      ('GIR Log'!$C$2:$C$70=$C103),
    0),
    MATCH($G103,'GIR Log'!$E$1:$V$1,0)
  ),
"")</f>
        <v>↓</v>
      </c>
    </row>
    <row r="104" spans="1:17" x14ac:dyDescent="0.25">
      <c r="A104" s="20" t="s">
        <v>126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59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Log'!$E$2:$V$70,
    MATCH(1,
      ('Golf Log'!$A$2:$A$70=$A104)*
      ('Golf Log'!$B$2:$B$70=$B104)*
      ('Golf Log'!$C$2:$C$70=$C104),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Log'!$E$2:$V$70,
    MATCH(1,
      ('Putt Log'!$A$2:$A$70=$A104)*
      ('Putt Log'!$B$2:$B$70=$B104)*
      ('Putt Log'!$C$2:$C$70=$C104),
    0),
    MATCH($G104,'Putt Log'!$E$1:$V$1,0)
  ),
"")</f>
        <v>1</v>
      </c>
      <c r="P104" t="str" cm="1">
        <f t="array" ref="P104">IF(K104=3,"",
  IFERROR(
    INDEX('Fairway Log'!$E$2:$V$70,
      MATCH(1,
        ('Fairway Log'!$A$2:$A$70=$A104)*
        ('Fairway Log'!$B$2:$B$70=$B104)*
        ('Fairway Log'!$C$2:$C175=$C104),
      0),
      MATCH($G104,'Fairway Log'!$E$1:$V$1,0)
    ),
  "")
)</f>
        <v>→</v>
      </c>
      <c r="Q104" t="str" cm="1">
        <f t="array" ref="Q104">IFERROR(
  INDEX('GIR Log'!$E$2:$V$70,
    MATCH(1,
      ('GIR Log'!$A$2:$A$70=$A104)*
      ('GIR Log'!$B$2:$B$70=$B104)*
      ('GIR Log'!$C$2:$C$70=$C104),
    0),
    MATCH($G104,'GIR Log'!$E$1:$V$1,0)
  ),
"")</f>
        <v>↓</v>
      </c>
    </row>
    <row r="105" spans="1:17" x14ac:dyDescent="0.25">
      <c r="A105" s="20" t="s">
        <v>126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60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Log'!$E$2:$V$70,
    MATCH(1,
      ('Golf Log'!$A$2:$A$70=$A105)*
      ('Golf Log'!$B$2:$B$70=$B105)*
      ('Golf Log'!$C$2:$C$70=$C105),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Log'!$E$2:$V$70,
    MATCH(1,
      ('Putt Log'!$A$2:$A$70=$A105)*
      ('Putt Log'!$B$2:$B$70=$B105)*
      ('Putt Log'!$C$2:$C$70=$C105),
    0),
    MATCH($G105,'Putt Log'!$E$1:$V$1,0)
  ),
"")</f>
        <v>3</v>
      </c>
      <c r="P105" cm="1">
        <f t="array" ref="P105">IF(K105=3,"",
  IFERROR(
    INDEX('Fairway Log'!$E$2:$V$70,
      MATCH(1,
        ('Fairway Log'!$A$2:$A$70=$A105)*
        ('Fairway Log'!$B$2:$B$70=$B105)*
        ('Fairway Log'!$C$2:$C176=$C105),
      0),
      MATCH($G105,'Fairway Log'!$E$1:$V$1,0)
    ),
  "")
)</f>
        <v>1</v>
      </c>
      <c r="Q105" t="str" cm="1">
        <f t="array" ref="Q105">IFERROR(
  INDEX('GIR Log'!$E$2:$V$70,
    MATCH(1,
      ('GIR Log'!$A$2:$A$70=$A105)*
      ('GIR Log'!$B$2:$B$70=$B105)*
      ('GIR Log'!$C$2:$C$70=$C105),
    0),
    MATCH($G105,'GIR Log'!$E$1:$V$1,0)
  ),
"")</f>
        <v>←</v>
      </c>
    </row>
    <row r="106" spans="1:17" x14ac:dyDescent="0.25">
      <c r="A106" s="20" t="s">
        <v>126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61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Log'!$E$2:$V$70,
    MATCH(1,
      ('Golf Log'!$A$2:$A$70=$A106)*
      ('Golf Log'!$B$2:$B$70=$B106)*
      ('Golf Log'!$C$2:$C$70=$C106),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Log'!$E$2:$V$70,
    MATCH(1,
      ('Putt Log'!$A$2:$A$70=$A106)*
      ('Putt Log'!$B$2:$B$70=$B106)*
      ('Putt Log'!$C$2:$C$70=$C106),
    0),
    MATCH($G106,'Putt Log'!$E$1:$V$1,0)
  ),
"")</f>
        <v>2</v>
      </c>
      <c r="P106" t="str" cm="1">
        <f t="array" ref="P106">IF(K106=3,"",
  IFERROR(
    INDEX('Fairway Log'!$E$2:$V$70,
      MATCH(1,
        ('Fairway Log'!$A$2:$A$70=$A106)*
        ('Fairway Log'!$B$2:$B$70=$B106)*
        ('Fairway Log'!$C$2:$C177=$C106),
      0),
      MATCH($G106,'Fairway Log'!$E$1:$V$1,0)
    ),
  "")
)</f>
        <v/>
      </c>
      <c r="Q106" t="str" cm="1">
        <f t="array" ref="Q106">IFERROR(
  INDEX('GIR Log'!$E$2:$V$70,
    MATCH(1,
      ('GIR Log'!$A$2:$A$70=$A106)*
      ('GIR Log'!$B$2:$B$70=$B106)*
      ('GIR Log'!$C$2:$C$70=$C106),
    0),
    MATCH($G106,'GIR Log'!$E$1:$V$1,0)
  ),
"")</f>
        <v>←</v>
      </c>
    </row>
    <row r="107" spans="1:17" x14ac:dyDescent="0.25">
      <c r="A107" s="20" t="s">
        <v>126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62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Log'!$E$2:$V$70,
    MATCH(1,
      ('Golf Log'!$A$2:$A$70=$A107)*
      ('Golf Log'!$B$2:$B$70=$B107)*
      ('Golf Log'!$C$2:$C$70=$C107),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Log'!$E$2:$V$70,
    MATCH(1,
      ('Putt Log'!$A$2:$A$70=$A107)*
      ('Putt Log'!$B$2:$B$70=$B107)*
      ('Putt Log'!$C$2:$C$70=$C107),
    0),
    MATCH($G107,'Putt Log'!$E$1:$V$1,0)
  ),
"")</f>
        <v>1</v>
      </c>
      <c r="P107" t="str" cm="1">
        <f t="array" ref="P107">IF(K107=3,"",
  IFERROR(
    INDEX('Fairway Log'!$E$2:$V$70,
      MATCH(1,
        ('Fairway Log'!$A$2:$A$70=$A107)*
        ('Fairway Log'!$B$2:$B$70=$B107)*
        ('Fairway Log'!$C$2:$C178=$C107),
      0),
      MATCH($G107,'Fairway Log'!$E$1:$V$1,0)
    ),
  "")
)</f>
        <v>→</v>
      </c>
      <c r="Q107" t="str" cm="1">
        <f t="array" ref="Q107">IFERROR(
  INDEX('GIR Log'!$E$2:$V$70,
    MATCH(1,
      ('GIR Log'!$A$2:$A$70=$A107)*
      ('GIR Log'!$B$2:$B$70=$B107)*
      ('GIR Log'!$C$2:$C$70=$C107),
    0),
    MATCH($G107,'GIR Log'!$E$1:$V$1,0)
  ),
"")</f>
        <v>←</v>
      </c>
    </row>
    <row r="108" spans="1:17" x14ac:dyDescent="0.25">
      <c r="A108" s="20" t="s">
        <v>126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63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Log'!$E$2:$V$70,
    MATCH(1,
      ('Golf Log'!$A$2:$A$70=$A108)*
      ('Golf Log'!$B$2:$B$70=$B108)*
      ('Golf Log'!$C$2:$C$70=$C108),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Log'!$E$2:$V$70,
    MATCH(1,
      ('Putt Log'!$A$2:$A$70=$A108)*
      ('Putt Log'!$B$2:$B$70=$B108)*
      ('Putt Log'!$C$2:$C$70=$C108),
    0),
    MATCH($G108,'Putt Log'!$E$1:$V$1,0)
  ),
"")</f>
        <v>2</v>
      </c>
      <c r="P108" t="str" cm="1">
        <f t="array" ref="P108">IF(K108=3,"",
  IFERROR(
    INDEX('Fairway Log'!$E$2:$V$70,
      MATCH(1,
        ('Fairway Log'!$A$2:$A$70=$A108)*
        ('Fairway Log'!$B$2:$B$70=$B108)*
        ('Fairway Log'!$C$2:$C179=$C108),
      0),
      MATCH($G108,'Fairway Log'!$E$1:$V$1,0)
    ),
  "")
)</f>
        <v>→</v>
      </c>
      <c r="Q108" t="str" cm="1">
        <f t="array" ref="Q108">IFERROR(
  INDEX('GIR Log'!$E$2:$V$70,
    MATCH(1,
      ('GIR Log'!$A$2:$A$70=$A108)*
      ('GIR Log'!$B$2:$B$70=$B108)*
      ('GIR Log'!$C$2:$C$70=$C108),
    0),
    MATCH($G108,'GIR Log'!$E$1:$V$1,0)
  ),
"")</f>
        <v>→</v>
      </c>
    </row>
    <row r="109" spans="1:17" x14ac:dyDescent="0.25">
      <c r="A109" s="20" t="s">
        <v>126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64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Log'!$E$2:$V$70,
    MATCH(1,
      ('Golf Log'!$A$2:$A$70=$A109)*
      ('Golf Log'!$B$2:$B$70=$B109)*
      ('Golf Log'!$C$2:$C$70=$C109),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Log'!$E$2:$V$70,
    MATCH(1,
      ('Putt Log'!$A$2:$A$70=$A109)*
      ('Putt Log'!$B$2:$B$70=$B109)*
      ('Putt Log'!$C$2:$C$70=$C109),
    0),
    MATCH($G109,'Putt Log'!$E$1:$V$1,0)
  ),
"")</f>
        <v>1</v>
      </c>
      <c r="P109" cm="1">
        <f t="array" ref="P109">IF(K109=3,"",
  IFERROR(
    INDEX('Fairway Log'!$E$2:$V$70,
      MATCH(1,
        ('Fairway Log'!$A$2:$A$70=$A109)*
        ('Fairway Log'!$B$2:$B$70=$B109)*
        ('Fairway Log'!$C$2:$C180=$C109),
      0),
      MATCH($G109,'Fairway Log'!$E$1:$V$1,0)
    ),
  "")
)</f>
        <v>1</v>
      </c>
      <c r="Q109" t="str" cm="1">
        <f t="array" ref="Q109">IFERROR(
  INDEX('GIR Log'!$E$2:$V$70,
    MATCH(1,
      ('GIR Log'!$A$2:$A$70=$A109)*
      ('GIR Log'!$B$2:$B$70=$B109)*
      ('GIR Log'!$C$2:$C$70=$C109),
    0),
    MATCH($G109,'GIR Log'!$E$1:$V$1,0)
  ),
"")</f>
        <v>←</v>
      </c>
    </row>
    <row r="110" spans="1:17" x14ac:dyDescent="0.25">
      <c r="A110" s="20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Log'!$E$2:$V$70,
    MATCH(1,
      ('Golf Log'!$A$2:$A$70=$A110)*
      ('Golf Log'!$B$2:$B$70=$B110)*
      ('Golf Log'!$C$2:$C$70=$C110),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Log'!$E$2:$V$70,
    MATCH(1,
      ('Putt Log'!$A$2:$A$70=$A110)*
      ('Putt Log'!$B$2:$B$70=$B110)*
      ('Putt Log'!$C$2:$C$70=$C110),
    0),
    MATCH($G110,'Putt Log'!$E$1:$V$1,0)
  ),
"")</f>
        <v>2</v>
      </c>
      <c r="P110" cm="1">
        <f t="array" ref="P110">IF(K110=3,"",
  IFERROR(
    INDEX('Fairway Log'!$E$2:$V$70,
      MATCH(1,
        ('Fairway Log'!$A$2:$A$70=$A110)*
        ('Fairway Log'!$B$2:$B$70=$B110)*
        ('Fairway Log'!$C$2:$C181=$C110),
      0),
      MATCH($G110,'Fairway Log'!$E$1:$V$1,0)
    ),
  "")
)</f>
        <v>1</v>
      </c>
      <c r="Q110" t="str" cm="1">
        <f t="array" ref="Q110">IFERROR(
  INDEX('GIR Log'!$E$2:$V$70,
    MATCH(1,
      ('GIR Log'!$A$2:$A$70=$A110)*
      ('GIR Log'!$B$2:$B$70=$B110)*
      ('GIR Log'!$C$2:$C$70=$C110),
    0),
    MATCH($G110,'GIR Log'!$E$1:$V$1,0)
  ),
"")</f>
        <v>NC</v>
      </c>
    </row>
    <row r="111" spans="1:17" x14ac:dyDescent="0.25">
      <c r="A111" s="20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Log'!$E$2:$V$70,
    MATCH(1,
      ('Golf Log'!$A$2:$A$70=$A111)*
      ('Golf Log'!$B$2:$B$70=$B111)*
      ('Golf Log'!$C$2:$C$70=$C111),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Log'!$E$2:$V$70,
    MATCH(1,
      ('Putt Log'!$A$2:$A$70=$A111)*
      ('Putt Log'!$B$2:$B$70=$B111)*
      ('Putt Log'!$C$2:$C$70=$C111),
    0),
    MATCH($G111,'Putt Log'!$E$1:$V$1,0)
  ),
"")</f>
        <v>2</v>
      </c>
      <c r="P111" t="str" cm="1">
        <f t="array" ref="P111">IF(K111=3,"",
  IFERROR(
    INDEX('Fairway Log'!$E$2:$V$70,
      MATCH(1,
        ('Fairway Log'!$A$2:$A$70=$A111)*
        ('Fairway Log'!$B$2:$B$70=$B111)*
        ('Fairway Log'!$C$2:$C182=$C111),
      0),
      MATCH($G111,'Fairway Log'!$E$1:$V$1,0)
    ),
  "")
)</f>
        <v>→</v>
      </c>
      <c r="Q111" t="str" cm="1">
        <f t="array" ref="Q111">IFERROR(
  INDEX('GIR Log'!$E$2:$V$70,
    MATCH(1,
      ('GIR Log'!$A$2:$A$70=$A111)*
      ('GIR Log'!$B$2:$B$70=$B111)*
      ('GIR Log'!$C$2:$C$70=$C111),
    0),
    MATCH($G111,'GIR Log'!$E$1:$V$1,0)
  ),
"")</f>
        <v>NC</v>
      </c>
    </row>
    <row r="112" spans="1:17" x14ac:dyDescent="0.25">
      <c r="A112" s="20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Log'!$E$2:$V$70,
    MATCH(1,
      ('Golf Log'!$A$2:$A$70=$A112)*
      ('Golf Log'!$B$2:$B$70=$B112)*
      ('Golf Log'!$C$2:$C$70=$C112),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Log'!$E$2:$V$70,
    MATCH(1,
      ('Putt Log'!$A$2:$A$70=$A112)*
      ('Putt Log'!$B$2:$B$70=$B112)*
      ('Putt Log'!$C$2:$C$70=$C112),
    0),
    MATCH($G112,'Putt Log'!$E$1:$V$1,0)
  ),
"")</f>
        <v>2</v>
      </c>
      <c r="P112" t="str" cm="1">
        <f t="array" ref="P112">IF(K112=3,"",
  IFERROR(
    INDEX('Fairway Log'!$E$2:$V$70,
      MATCH(1,
        ('Fairway Log'!$A$2:$A$70=$A112)*
        ('Fairway Log'!$B$2:$B$70=$B112)*
        ('Fairway Log'!$C$2:$C183=$C112),
      0),
      MATCH($G112,'Fairway Log'!$E$1:$V$1,0)
    ),
  "")
)</f>
        <v>↓</v>
      </c>
      <c r="Q112" t="str" cm="1">
        <f t="array" ref="Q112">IFERROR(
  INDEX('GIR Log'!$E$2:$V$70,
    MATCH(1,
      ('GIR Log'!$A$2:$A$70=$A112)*
      ('GIR Log'!$B$2:$B$70=$B112)*
      ('GIR Log'!$C$2:$C$70=$C112),
    0),
    MATCH($G112,'GIR Log'!$E$1:$V$1,0)
  ),
"")</f>
        <v>NC</v>
      </c>
    </row>
    <row r="113" spans="1:17" x14ac:dyDescent="0.25">
      <c r="A113" s="20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Log'!$E$2:$V$70,
    MATCH(1,
      ('Golf Log'!$A$2:$A$70=$A113)*
      ('Golf Log'!$B$2:$B$70=$B113)*
      ('Golf Log'!$C$2:$C$70=$C113),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Log'!$E$2:$V$70,
    MATCH(1,
      ('Putt Log'!$A$2:$A$70=$A113)*
      ('Putt Log'!$B$2:$B$70=$B113)*
      ('Putt Log'!$C$2:$C$70=$C113),
    0),
    MATCH($G113,'Putt Log'!$E$1:$V$1,0)
  ),
"")</f>
        <v>2</v>
      </c>
      <c r="P113" t="str" cm="1">
        <f t="array" ref="P113">IF(K113=3,"",
  IFERROR(
    INDEX('Fairway Log'!$E$2:$V$70,
      MATCH(1,
        ('Fairway Log'!$A$2:$A$70=$A113)*
        ('Fairway Log'!$B$2:$B$70=$B113)*
        ('Fairway Log'!$C$2:$C184=$C113),
      0),
      MATCH($G113,'Fairway Log'!$E$1:$V$1,0)
    ),
  "")
)</f>
        <v/>
      </c>
      <c r="Q113" t="str" cm="1">
        <f t="array" ref="Q113">IFERROR(
  INDEX('GIR Log'!$E$2:$V$70,
    MATCH(1,
      ('GIR Log'!$A$2:$A$70=$A113)*
      ('GIR Log'!$B$2:$B$70=$B113)*
      ('GIR Log'!$C$2:$C$70=$C113),
    0),
    MATCH($G113,'GIR Log'!$E$1:$V$1,0)
  ),
"")</f>
        <v>→</v>
      </c>
    </row>
    <row r="114" spans="1:17" x14ac:dyDescent="0.25">
      <c r="A114" s="20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Log'!$E$2:$V$70,
    MATCH(1,
      ('Golf Log'!$A$2:$A$70=$A114)*
      ('Golf Log'!$B$2:$B$70=$B114)*
      ('Golf Log'!$C$2:$C$70=$C114),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Log'!$E$2:$V$70,
    MATCH(1,
      ('Putt Log'!$A$2:$A$70=$A114)*
      ('Putt Log'!$B$2:$B$70=$B114)*
      ('Putt Log'!$C$2:$C$70=$C114),
    0),
    MATCH($G114,'Putt Log'!$E$1:$V$1,0)
  ),
"")</f>
        <v>1</v>
      </c>
      <c r="P114" t="str" cm="1">
        <f t="array" ref="P114">IF(K114=3,"",
  IFERROR(
    INDEX('Fairway Log'!$E$2:$V$70,
      MATCH(1,
        ('Fairway Log'!$A$2:$A$70=$A114)*
        ('Fairway Log'!$B$2:$B$70=$B114)*
        ('Fairway Log'!$C$2:$C185=$C114),
      0),
      MATCH($G114,'Fairway Log'!$E$1:$V$1,0)
    ),
  "")
)</f>
        <v>↓</v>
      </c>
      <c r="Q114" t="str" cm="1">
        <f t="array" ref="Q114">IFERROR(
  INDEX('GIR Log'!$E$2:$V$70,
    MATCH(1,
      ('GIR Log'!$A$2:$A$70=$A114)*
      ('GIR Log'!$B$2:$B$70=$B114)*
      ('GIR Log'!$C$2:$C$70=$C114),
    0),
    MATCH($G114,'GIR Log'!$E$1:$V$1,0)
  ),
"")</f>
        <v>NC</v>
      </c>
    </row>
    <row r="115" spans="1:17" x14ac:dyDescent="0.25">
      <c r="A115" s="20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Log'!$E$2:$V$70,
    MATCH(1,
      ('Golf Log'!$A$2:$A$70=$A115)*
      ('Golf Log'!$B$2:$B$70=$B115)*
      ('Golf Log'!$C$2:$C$70=$C115),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Log'!$E$2:$V$70,
    MATCH(1,
      ('Putt Log'!$A$2:$A$70=$A115)*
      ('Putt Log'!$B$2:$B$70=$B115)*
      ('Putt Log'!$C$2:$C$70=$C115),
    0),
    MATCH($G115,'Putt Log'!$E$1:$V$1,0)
  ),
"")</f>
        <v>2</v>
      </c>
      <c r="P115" cm="1">
        <f t="array" ref="P115">IF(K115=3,"",
  IFERROR(
    INDEX('Fairway Log'!$E$2:$V$70,
      MATCH(1,
        ('Fairway Log'!$A$2:$A$70=$A115)*
        ('Fairway Log'!$B$2:$B$70=$B115)*
        ('Fairway Log'!$C$2:$C186=$C115),
      0),
      MATCH($G115,'Fairway Log'!$E$1:$V$1,0)
    ),
  "")
)</f>
        <v>1</v>
      </c>
      <c r="Q115" t="str" cm="1">
        <f t="array" ref="Q115">IFERROR(
  INDEX('GIR Log'!$E$2:$V$70,
    MATCH(1,
      ('GIR Log'!$A$2:$A$70=$A115)*
      ('GIR Log'!$B$2:$B$70=$B115)*
      ('GIR Log'!$C$2:$C$70=$C115),
    0),
    MATCH($G115,'GIR Log'!$E$1:$V$1,0)
  ),
"")</f>
        <v>→</v>
      </c>
    </row>
    <row r="116" spans="1:17" x14ac:dyDescent="0.25">
      <c r="A116" s="20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Log'!$E$2:$V$70,
    MATCH(1,
      ('Golf Log'!$A$2:$A$70=$A116)*
      ('Golf Log'!$B$2:$B$70=$B116)*
      ('Golf Log'!$C$2:$C$70=$C116),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Log'!$E$2:$V$70,
    MATCH(1,
      ('Putt Log'!$A$2:$A$70=$A116)*
      ('Putt Log'!$B$2:$B$70=$B116)*
      ('Putt Log'!$C$2:$C$70=$C116),
    0),
    MATCH($G116,'Putt Log'!$E$1:$V$1,0)
  ),
"")</f>
        <v>2</v>
      </c>
      <c r="P116" t="str" cm="1">
        <f t="array" ref="P116">IF(K116=3,"",
  IFERROR(
    INDEX('Fairway Log'!$E$2:$V$70,
      MATCH(1,
        ('Fairway Log'!$A$2:$A$70=$A116)*
        ('Fairway Log'!$B$2:$B$70=$B116)*
        ('Fairway Log'!$C$2:$C187=$C116),
      0),
      MATCH($G116,'Fairway Log'!$E$1:$V$1,0)
    ),
  "")
)</f>
        <v/>
      </c>
      <c r="Q116" t="str" cm="1">
        <f t="array" ref="Q116">IFERROR(
  INDEX('GIR Log'!$E$2:$V$70,
    MATCH(1,
      ('GIR Log'!$A$2:$A$70=$A116)*
      ('GIR Log'!$B$2:$B$70=$B116)*
      ('GIR Log'!$C$2:$C$70=$C116),
    0),
    MATCH($G116,'GIR Log'!$E$1:$V$1,0)
  ),
"")</f>
        <v>↓</v>
      </c>
    </row>
    <row r="117" spans="1:17" x14ac:dyDescent="0.25">
      <c r="A117" s="20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Log'!$E$2:$V$70,
    MATCH(1,
      ('Golf Log'!$A$2:$A$70=$A117)*
      ('Golf Log'!$B$2:$B$70=$B117)*
      ('Golf Log'!$C$2:$C$70=$C117),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Log'!$E$2:$V$70,
    MATCH(1,
      ('Putt Log'!$A$2:$A$70=$A117)*
      ('Putt Log'!$B$2:$B$70=$B117)*
      ('Putt Log'!$C$2:$C$70=$C117),
    0),
    MATCH($G117,'Putt Log'!$E$1:$V$1,0)
  ),
"")</f>
        <v>2</v>
      </c>
      <c r="P117" t="str" cm="1">
        <f t="array" ref="P117">IF(K117=3,"",
  IFERROR(
    INDEX('Fairway Log'!$E$2:$V$70,
      MATCH(1,
        ('Fairway Log'!$A$2:$A$70=$A117)*
        ('Fairway Log'!$B$2:$B$70=$B117)*
        ('Fairway Log'!$C$2:$C188=$C117),
      0),
      MATCH($G117,'Fairway Log'!$E$1:$V$1,0)
    ),
  "")
)</f>
        <v>→</v>
      </c>
      <c r="Q117" t="str" cm="1">
        <f t="array" ref="Q117">IFERROR(
  INDEX('GIR Log'!$E$2:$V$70,
    MATCH(1,
      ('GIR Log'!$A$2:$A$70=$A117)*
      ('GIR Log'!$B$2:$B$70=$B117)*
      ('GIR Log'!$C$2:$C$70=$C117),
    0),
    MATCH($G117,'GIR Log'!$E$1:$V$1,0)
  ),
"")</f>
        <v>↑</v>
      </c>
    </row>
    <row r="118" spans="1:17" x14ac:dyDescent="0.25">
      <c r="A118" s="20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Log'!$E$2:$V$70,
    MATCH(1,
      ('Golf Log'!$A$2:$A$70=$A118)*
      ('Golf Log'!$B$2:$B$70=$B118)*
      ('Golf Log'!$C$2:$C$70=$C118),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Log'!$E$2:$V$70,
    MATCH(1,
      ('Putt Log'!$A$2:$A$70=$A118)*
      ('Putt Log'!$B$2:$B$70=$B118)*
      ('Putt Log'!$C$2:$C$70=$C118),
    0),
    MATCH($G118,'Putt Log'!$E$1:$V$1,0)
  ),
"")</f>
        <v>1</v>
      </c>
      <c r="P118" t="str" cm="1">
        <f t="array" ref="P118">IF(K118=3,"",
  IFERROR(
    INDEX('Fairway Log'!$E$2:$V$70,
      MATCH(1,
        ('Fairway Log'!$A$2:$A$70=$A118)*
        ('Fairway Log'!$B$2:$B$70=$B118)*
        ('Fairway Log'!$C$2:$C189=$C118),
      0),
      MATCH($G118,'Fairway Log'!$E$1:$V$1,0)
    ),
  "")
)</f>
        <v>→</v>
      </c>
      <c r="Q118" t="str" cm="1">
        <f t="array" ref="Q118">IFERROR(
  INDEX('GIR Log'!$E$2:$V$70,
    MATCH(1,
      ('GIR Log'!$A$2:$A$70=$A118)*
      ('GIR Log'!$B$2:$B$70=$B118)*
      ('GIR Log'!$C$2:$C$70=$C118),
    0),
    MATCH($G118,'GIR Log'!$E$1:$V$1,0)
  ),
"")</f>
        <v>NC</v>
      </c>
    </row>
    <row r="119" spans="1:17" x14ac:dyDescent="0.25">
      <c r="A119" s="20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Log'!$E$2:$V$70,
    MATCH(1,
      ('Golf Log'!$A$2:$A$70=$A119)*
      ('Golf Log'!$B$2:$B$70=$B119)*
      ('Golf Log'!$C$2:$C$70=$C119),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Log'!$E$2:$V$70,
    MATCH(1,
      ('Putt Log'!$A$2:$A$70=$A119)*
      ('Putt Log'!$B$2:$B$70=$B119)*
      ('Putt Log'!$C$2:$C$70=$C119),
    0),
    MATCH($G119,'Putt Log'!$E$1:$V$1,0)
  ),
"")</f>
        <v>2</v>
      </c>
      <c r="P119" cm="1">
        <f t="array" ref="P119">IF(K119=3,"",
  IFERROR(
    INDEX('Fairway Log'!$E$2:$V$70,
      MATCH(1,
        ('Fairway Log'!$A$2:$A$70=$A119)*
        ('Fairway Log'!$B$2:$B$70=$B119)*
        ('Fairway Log'!$C$2:$C190=$C119),
      0),
      MATCH($G119,'Fairway Log'!$E$1:$V$1,0)
    ),
  "")
)</f>
        <v>1</v>
      </c>
      <c r="Q119" cm="1">
        <f t="array" ref="Q119">IFERROR(
  INDEX('GIR Log'!$E$2:$V$70,
    MATCH(1,
      ('GIR Log'!$A$2:$A$70=$A119)*
      ('GIR Log'!$B$2:$B$70=$B119)*
      ('GIR Log'!$C$2:$C$70=$C119),
    0),
    MATCH($G119,'GIR Log'!$E$1:$V$1,0)
  ),
"")</f>
        <v>1</v>
      </c>
    </row>
    <row r="120" spans="1:17" x14ac:dyDescent="0.25">
      <c r="A120" s="20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Log'!$E$2:$V$70,
    MATCH(1,
      ('Golf Log'!$A$2:$A$70=$A120)*
      ('Golf Log'!$B$2:$B$70=$B120)*
      ('Golf Log'!$C$2:$C$70=$C120),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Log'!$E$2:$V$70,
    MATCH(1,
      ('Putt Log'!$A$2:$A$70=$A120)*
      ('Putt Log'!$B$2:$B$70=$B120)*
      ('Putt Log'!$C$2:$C$70=$C120),
    0),
    MATCH($G120,'Putt Log'!$E$1:$V$1,0)
  ),
"")</f>
        <v>2</v>
      </c>
      <c r="P120" t="str" cm="1">
        <f t="array" ref="P120">IF(K120=3,"",
  IFERROR(
    INDEX('Fairway Log'!$E$2:$V$70,
      MATCH(1,
        ('Fairway Log'!$A$2:$A$70=$A120)*
        ('Fairway Log'!$B$2:$B$70=$B120)*
        ('Fairway Log'!$C$2:$C191=$C120),
      0),
      MATCH($G120,'Fairway Log'!$E$1:$V$1,0)
    ),
  "")
)</f>
        <v/>
      </c>
      <c r="Q120" t="str" cm="1">
        <f t="array" ref="Q120">IFERROR(
  INDEX('GIR Log'!$E$2:$V$70,
    MATCH(1,
      ('GIR Log'!$A$2:$A$70=$A120)*
      ('GIR Log'!$B$2:$B$70=$B120)*
      ('GIR Log'!$C$2:$C$70=$C120),
    0),
    MATCH($G120,'GIR Log'!$E$1:$V$1,0)
  ),
"")</f>
        <v>↓</v>
      </c>
    </row>
    <row r="121" spans="1:17" x14ac:dyDescent="0.25">
      <c r="A121" s="20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Log'!$E$2:$V$70,
    MATCH(1,
      ('Golf Log'!$A$2:$A$70=$A121)*
      ('Golf Log'!$B$2:$B$70=$B121)*
      ('Golf Log'!$C$2:$C$70=$C121),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Log'!$E$2:$V$70,
    MATCH(1,
      ('Putt Log'!$A$2:$A$70=$A121)*
      ('Putt Log'!$B$2:$B$70=$B121)*
      ('Putt Log'!$C$2:$C$70=$C121),
    0),
    MATCH($G121,'Putt Log'!$E$1:$V$1,0)
  ),
"")</f>
        <v>2</v>
      </c>
      <c r="P121" cm="1">
        <f t="array" ref="P121">IF(K121=3,"",
  IFERROR(
    INDEX('Fairway Log'!$E$2:$V$70,
      MATCH(1,
        ('Fairway Log'!$A$2:$A$70=$A121)*
        ('Fairway Log'!$B$2:$B$70=$B121)*
        ('Fairway Log'!$C$2:$C192=$C121),
      0),
      MATCH($G121,'Fairway Log'!$E$1:$V$1,0)
    ),
  "")
)</f>
        <v>1</v>
      </c>
      <c r="Q121" cm="1">
        <f t="array" ref="Q121">IFERROR(
  INDEX('GIR Log'!$E$2:$V$70,
    MATCH(1,
      ('GIR Log'!$A$2:$A$70=$A121)*
      ('GIR Log'!$B$2:$B$70=$B121)*
      ('GIR Log'!$C$2:$C$70=$C121),
    0),
    MATCH($G121,'GIR Log'!$E$1:$V$1,0)
  ),
"")</f>
        <v>1</v>
      </c>
    </row>
    <row r="122" spans="1:17" x14ac:dyDescent="0.25">
      <c r="A122" s="20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Log'!$E$2:$V$70,
    MATCH(1,
      ('Golf Log'!$A$2:$A$70=$A122)*
      ('Golf Log'!$B$2:$B$70=$B122)*
      ('Golf Log'!$C$2:$C$70=$C122),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Log'!$E$2:$V$70,
    MATCH(1,
      ('Putt Log'!$A$2:$A$70=$A122)*
      ('Putt Log'!$B$2:$B$70=$B122)*
      ('Putt Log'!$C$2:$C$70=$C122),
    0),
    MATCH($G122,'Putt Log'!$E$1:$V$1,0)
  ),
"")</f>
        <v>2</v>
      </c>
      <c r="P122" t="str" cm="1">
        <f t="array" ref="P122">IF(K122=3,"",
  IFERROR(
    INDEX('Fairway Log'!$E$2:$V$70,
      MATCH(1,
        ('Fairway Log'!$A$2:$A$70=$A122)*
        ('Fairway Log'!$B$2:$B$70=$B122)*
        ('Fairway Log'!$C$2:$C193=$C122),
      0),
      MATCH($G122,'Fairway Log'!$E$1:$V$1,0)
    ),
  "")
)</f>
        <v>→</v>
      </c>
      <c r="Q122" t="str" cm="1">
        <f t="array" ref="Q122">IFERROR(
  INDEX('GIR Log'!$E$2:$V$70,
    MATCH(1,
      ('GIR Log'!$A$2:$A$70=$A122)*
      ('GIR Log'!$B$2:$B$70=$B122)*
      ('GIR Log'!$C$2:$C$70=$C122),
    0),
    MATCH($G122,'GIR Log'!$E$1:$V$1,0)
  ),
"")</f>
        <v>←</v>
      </c>
    </row>
    <row r="123" spans="1:17" x14ac:dyDescent="0.25">
      <c r="A123" s="20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Log'!$E$2:$V$70,
    MATCH(1,
      ('Golf Log'!$A$2:$A$70=$A123)*
      ('Golf Log'!$B$2:$B$70=$B123)*
      ('Golf Log'!$C$2:$C$70=$C123),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Log'!$E$2:$V$70,
    MATCH(1,
      ('Putt Log'!$A$2:$A$70=$A123)*
      ('Putt Log'!$B$2:$B$70=$B123)*
      ('Putt Log'!$C$2:$C$70=$C123),
    0),
    MATCH($G123,'Putt Log'!$E$1:$V$1,0)
  ),
"")</f>
        <v>1</v>
      </c>
      <c r="P123" t="str" cm="1">
        <f t="array" ref="P123">IF(K123=3,"",
  IFERROR(
    INDEX('Fairway Log'!$E$2:$V$70,
      MATCH(1,
        ('Fairway Log'!$A$2:$A$70=$A123)*
        ('Fairway Log'!$B$2:$B$70=$B123)*
        ('Fairway Log'!$C$2:$C194=$C123),
      0),
      MATCH($G123,'Fairway Log'!$E$1:$V$1,0)
    ),
  "")
)</f>
        <v/>
      </c>
      <c r="Q123" t="str" cm="1">
        <f t="array" ref="Q123">IFERROR(
  INDEX('GIR Log'!$E$2:$V$70,
    MATCH(1,
      ('GIR Log'!$A$2:$A$70=$A123)*
      ('GIR Log'!$B$2:$B$70=$B123)*
      ('GIR Log'!$C$2:$C$70=$C123),
    0),
    MATCH($G123,'GIR Log'!$E$1:$V$1,0)
  ),
"")</f>
        <v>↓</v>
      </c>
    </row>
    <row r="124" spans="1:17" x14ac:dyDescent="0.25">
      <c r="A124" s="20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Log'!$E$2:$V$70,
    MATCH(1,
      ('Golf Log'!$A$2:$A$70=$A124)*
      ('Golf Log'!$B$2:$B$70=$B124)*
      ('Golf Log'!$C$2:$C$70=$C124),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Log'!$E$2:$V$70,
    MATCH(1,
      ('Putt Log'!$A$2:$A$70=$A124)*
      ('Putt Log'!$B$2:$B$70=$B124)*
      ('Putt Log'!$C$2:$C$70=$C124),
    0),
    MATCH($G124,'Putt Log'!$E$1:$V$1,0)
  ),
"")</f>
        <v>1</v>
      </c>
      <c r="P124" t="str" cm="1">
        <f t="array" ref="P124">IF(K124=3,"",
  IFERROR(
    INDEX('Fairway Log'!$E$2:$V$70,
      MATCH(1,
        ('Fairway Log'!$A$2:$A$70=$A124)*
        ('Fairway Log'!$B$2:$B$70=$B124)*
        ('Fairway Log'!$C$2:$C195=$C124),
      0),
      MATCH($G124,'Fairway Log'!$E$1:$V$1,0)
    ),
  "")
)</f>
        <v>→</v>
      </c>
      <c r="Q124" t="str" cm="1">
        <f t="array" ref="Q124">IFERROR(
  INDEX('GIR Log'!$E$2:$V$70,
    MATCH(1,
      ('GIR Log'!$A$2:$A$70=$A124)*
      ('GIR Log'!$B$2:$B$70=$B124)*
      ('GIR Log'!$C$2:$C$70=$C124),
    0),
    MATCH($G124,'GIR Log'!$E$1:$V$1,0)
  ),
"")</f>
        <v>→</v>
      </c>
    </row>
    <row r="125" spans="1:17" x14ac:dyDescent="0.25">
      <c r="A125" s="20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Log'!$E$2:$V$70,
    MATCH(1,
      ('Golf Log'!$A$2:$A$70=$A125)*
      ('Golf Log'!$B$2:$B$70=$B125)*
      ('Golf Log'!$C$2:$C$70=$C125),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Log'!$E$2:$V$70,
    MATCH(1,
      ('Putt Log'!$A$2:$A$70=$A125)*
      ('Putt Log'!$B$2:$B$70=$B125)*
      ('Putt Log'!$C$2:$C$70=$C125),
    0),
    MATCH($G125,'Putt Log'!$E$1:$V$1,0)
  ),
"")</f>
        <v>2</v>
      </c>
      <c r="P125" cm="1">
        <f t="array" ref="P125">IF(K125=3,"",
  IFERROR(
    INDEX('Fairway Log'!$E$2:$V$70,
      MATCH(1,
        ('Fairway Log'!$A$2:$A$70=$A125)*
        ('Fairway Log'!$B$2:$B$70=$B125)*
        ('Fairway Log'!$C$2:$C196=$C125),
      0),
      MATCH($G125,'Fairway Log'!$E$1:$V$1,0)
    ),
  "")
)</f>
        <v>1</v>
      </c>
      <c r="Q125" t="str" cm="1">
        <f t="array" ref="Q125">IFERROR(
  INDEX('GIR Log'!$E$2:$V$70,
    MATCH(1,
      ('GIR Log'!$A$2:$A$70=$A125)*
      ('GIR Log'!$B$2:$B$70=$B125)*
      ('GIR Log'!$C$2:$C$70=$C125),
    0),
    MATCH($G125,'GIR Log'!$E$1:$V$1,0)
  ),
"")</f>
        <v>↓</v>
      </c>
    </row>
    <row r="126" spans="1:17" x14ac:dyDescent="0.25">
      <c r="A126" s="20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Log'!$E$2:$V$70,
    MATCH(1,
      ('Golf Log'!$A$2:$A$70=$A126)*
      ('Golf Log'!$B$2:$B$70=$B126)*
      ('Golf Log'!$C$2:$C$70=$C126),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Log'!$E$2:$V$70,
    MATCH(1,
      ('Putt Log'!$A$2:$A$70=$A126)*
      ('Putt Log'!$B$2:$B$70=$B126)*
      ('Putt Log'!$C$2:$C$70=$C126),
    0),
    MATCH($G126,'Putt Log'!$E$1:$V$1,0)
  ),
"")</f>
        <v>2</v>
      </c>
      <c r="P126" cm="1">
        <f t="array" ref="P126">IF(K126=3,"",
  IFERROR(
    INDEX('Fairway Log'!$E$2:$V$70,
      MATCH(1,
        ('Fairway Log'!$A$2:$A$70=$A126)*
        ('Fairway Log'!$B$2:$B$70=$B126)*
        ('Fairway Log'!$C$2:$C197=$C126),
      0),
      MATCH($G126,'Fairway Log'!$E$1:$V$1,0)
    ),
  "")
)</f>
        <v>1</v>
      </c>
      <c r="Q126" t="str" cm="1">
        <f t="array" ref="Q126">IFERROR(
  INDEX('GIR Log'!$E$2:$V$70,
    MATCH(1,
      ('GIR Log'!$A$2:$A$70=$A126)*
      ('GIR Log'!$B$2:$B$70=$B126)*
      ('GIR Log'!$C$2:$C$70=$C126),
    0),
    MATCH($G126,'GIR Log'!$E$1:$V$1,0)
  ),
"")</f>
        <v>←</v>
      </c>
    </row>
    <row r="127" spans="1:17" x14ac:dyDescent="0.25">
      <c r="A127" s="20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Log'!$E$2:$V$70,
    MATCH(1,
      ('Golf Log'!$A$2:$A$70=$A127)*
      ('Golf Log'!$B$2:$B$70=$B127)*
      ('Golf Log'!$C$2:$C$70=$C127),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Log'!$E$2:$V$70,
    MATCH(1,
      ('Putt Log'!$A$2:$A$70=$A127)*
      ('Putt Log'!$B$2:$B$70=$B127)*
      ('Putt Log'!$C$2:$C$70=$C127),
    0),
    MATCH($G127,'Putt Log'!$E$1:$V$1,0)
  ),
"")</f>
        <v>2</v>
      </c>
      <c r="P127" t="str" cm="1">
        <f t="array" ref="P127">IF(K127=3,"",
  IFERROR(
    INDEX('Fairway Log'!$E$2:$V$70,
      MATCH(1,
        ('Fairway Log'!$A$2:$A$70=$A127)*
        ('Fairway Log'!$B$2:$B$70=$B127)*
        ('Fairway Log'!$C$2:$C198=$C127),
      0),
      MATCH($G127,'Fairway Log'!$E$1:$V$1,0)
    ),
  "")
)</f>
        <v>→</v>
      </c>
      <c r="Q127" cm="1">
        <f t="array" ref="Q127">IFERROR(
  INDEX('GIR Log'!$E$2:$V$70,
    MATCH(1,
      ('GIR Log'!$A$2:$A$70=$A127)*
      ('GIR Log'!$B$2:$B$70=$B127)*
      ('GIR Log'!$C$2:$C$70=$C127),
    0),
    MATCH($G127,'GIR Log'!$E$1:$V$1,0)
  ),
"")</f>
        <v>1</v>
      </c>
    </row>
    <row r="128" spans="1:17" x14ac:dyDescent="0.25">
      <c r="A128" s="20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Log'!$E$2:$V$70,
    MATCH(1,
      ('Golf Log'!$A$2:$A$70=$A128)*
      ('Golf Log'!$B$2:$B$70=$B128)*
      ('Golf Log'!$C$2:$C$70=$C128),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Log'!$E$2:$V$70,
    MATCH(1,
      ('Putt Log'!$A$2:$A$70=$A128)*
      ('Putt Log'!$B$2:$B$70=$B128)*
      ('Putt Log'!$C$2:$C$70=$C128),
    0),
    MATCH($G128,'Putt Log'!$E$1:$V$1,0)
  ),
"")</f>
        <v>2</v>
      </c>
      <c r="P128" t="str" cm="1">
        <f t="array" ref="P128">IF(K128=3,"",
  IFERROR(
    INDEX('Fairway Log'!$E$2:$V$70,
      MATCH(1,
        ('Fairway Log'!$A$2:$A$70=$A128)*
        ('Fairway Log'!$B$2:$B$70=$B128)*
        ('Fairway Log'!$C$2:$C199=$C128),
      0),
      MATCH($G128,'Fairway Log'!$E$1:$V$1,0)
    ),
  "")
)</f>
        <v>→</v>
      </c>
      <c r="Q128" t="str" cm="1">
        <f t="array" ref="Q128">IFERROR(
  INDEX('GIR Log'!$E$2:$V$70,
    MATCH(1,
      ('GIR Log'!$A$2:$A$70=$A128)*
      ('GIR Log'!$B$2:$B$70=$B128)*
      ('GIR Log'!$C$2:$C$70=$C128),
    0),
    MATCH($G128,'GIR Log'!$E$1:$V$1,0)
  ),
"")</f>
        <v>NC</v>
      </c>
    </row>
    <row r="129" spans="1:17" x14ac:dyDescent="0.25">
      <c r="A129" s="20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Log'!$E$2:$V$70,
    MATCH(1,
      ('Golf Log'!$A$2:$A$70=$A129)*
      ('Golf Log'!$B$2:$B$70=$B129)*
      ('Golf Log'!$C$2:$C$70=$C129),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Log'!$E$2:$V$70,
    MATCH(1,
      ('Putt Log'!$A$2:$A$70=$A129)*
      ('Putt Log'!$B$2:$B$70=$B129)*
      ('Putt Log'!$C$2:$C$70=$C129),
    0),
    MATCH($G129,'Putt Log'!$E$1:$V$1,0)
  ),
"")</f>
        <v>2</v>
      </c>
      <c r="P129" cm="1">
        <f t="array" ref="P129">IF(K129=3,"",
  IFERROR(
    INDEX('Fairway Log'!$E$2:$V$70,
      MATCH(1,
        ('Fairway Log'!$A$2:$A$70=$A129)*
        ('Fairway Log'!$B$2:$B$70=$B129)*
        ('Fairway Log'!$C$2:$C200=$C129),
      0),
      MATCH($G129,'Fairway Log'!$E$1:$V$1,0)
    ),
  "")
)</f>
        <v>1</v>
      </c>
      <c r="Q129" t="str" cm="1">
        <f t="array" ref="Q129">IFERROR(
  INDEX('GIR Log'!$E$2:$V$70,
    MATCH(1,
      ('GIR Log'!$A$2:$A$70=$A129)*
      ('GIR Log'!$B$2:$B$70=$B129)*
      ('GIR Log'!$C$2:$C$70=$C129),
    0),
    MATCH($G129,'GIR Log'!$E$1:$V$1,0)
  ),
"")</f>
        <v>↓</v>
      </c>
    </row>
    <row r="130" spans="1:17" x14ac:dyDescent="0.25">
      <c r="A130" s="20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Log'!$E$2:$V$70,
    MATCH(1,
      ('Golf Log'!$A$2:$A$70=$A130)*
      ('Golf Log'!$B$2:$B$70=$B130)*
      ('Golf Log'!$C$2:$C$70=$C130),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Log'!$E$2:$V$70,
    MATCH(1,
      ('Putt Log'!$A$2:$A$70=$A130)*
      ('Putt Log'!$B$2:$B$70=$B130)*
      ('Putt Log'!$C$2:$C$70=$C130),
    0),
    MATCH($G130,'Putt Log'!$E$1:$V$1,0)
  ),
"")</f>
        <v>2</v>
      </c>
      <c r="P130" t="str" cm="1">
        <f t="array" ref="P130">IF(K130=3,"",
  IFERROR(
    INDEX('Fairway Log'!$E$2:$V$70,
      MATCH(1,
        ('Fairway Log'!$A$2:$A$70=$A130)*
        ('Fairway Log'!$B$2:$B$70=$B130)*
        ('Fairway Log'!$C$2:$C201=$C130),
      0),
      MATCH($G130,'Fairway Log'!$E$1:$V$1,0)
    ),
  "")
)</f>
        <v/>
      </c>
      <c r="Q130" t="str" cm="1">
        <f t="array" ref="Q130">IFERROR(
  INDEX('GIR Log'!$E$2:$V$70,
    MATCH(1,
      ('GIR Log'!$A$2:$A$70=$A130)*
      ('GIR Log'!$B$2:$B$70=$B130)*
      ('GIR Log'!$C$2:$C$70=$C130),
    0),
    MATCH($G130,'GIR Log'!$E$1:$V$1,0)
  ),
"")</f>
        <v>→</v>
      </c>
    </row>
    <row r="131" spans="1:17" x14ac:dyDescent="0.25">
      <c r="A131" s="20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Log'!$E$2:$V$70,
    MATCH(1,
      ('Golf Log'!$A$2:$A$70=$A131)*
      ('Golf Log'!$B$2:$B$70=$B131)*
      ('Golf Log'!$C$2:$C$70=$C131),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Log'!$E$2:$V$70,
    MATCH(1,
      ('Putt Log'!$A$2:$A$70=$A131)*
      ('Putt Log'!$B$2:$B$70=$B131)*
      ('Putt Log'!$C$2:$C$70=$C131),
    0),
    MATCH($G131,'Putt Log'!$E$1:$V$1,0)
  ),
"")</f>
        <v>2</v>
      </c>
      <c r="P131" t="str" cm="1">
        <f t="array" ref="P131">IF(K131=3,"",
  IFERROR(
    INDEX('Fairway Log'!$E$2:$V$70,
      MATCH(1,
        ('Fairway Log'!$A$2:$A$70=$A131)*
        ('Fairway Log'!$B$2:$B$70=$B131)*
        ('Fairway Log'!$C$2:$C202=$C131),
      0),
      MATCH($G131,'Fairway Log'!$E$1:$V$1,0)
    ),
  "")
)</f>
        <v>↓</v>
      </c>
      <c r="Q131" t="str" cm="1">
        <f t="array" ref="Q131">IFERROR(
  INDEX('GIR Log'!$E$2:$V$70,
    MATCH(1,
      ('GIR Log'!$A$2:$A$70=$A131)*
      ('GIR Log'!$B$2:$B$70=$B131)*
      ('GIR Log'!$C$2:$C$70=$C131),
    0),
    MATCH($G131,'GIR Log'!$E$1:$V$1,0)
  ),
"")</f>
        <v>←</v>
      </c>
    </row>
    <row r="132" spans="1:17" x14ac:dyDescent="0.25">
      <c r="A132" s="20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Log'!$E$2:$V$70,
    MATCH(1,
      ('Golf Log'!$A$2:$A$70=$A132)*
      ('Golf Log'!$B$2:$B$70=$B132)*
      ('Golf Log'!$C$2:$C$70=$C132),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Log'!$E$2:$V$70,
    MATCH(1,
      ('Putt Log'!$A$2:$A$70=$A132)*
      ('Putt Log'!$B$2:$B$70=$B132)*
      ('Putt Log'!$C$2:$C$70=$C132),
    0),
    MATCH($G132,'Putt Log'!$E$1:$V$1,0)
  ),
"")</f>
        <v>1</v>
      </c>
      <c r="P132" t="str" cm="1">
        <f t="array" ref="P132">IF(K132=3,"",
  IFERROR(
    INDEX('Fairway Log'!$E$2:$V$70,
      MATCH(1,
        ('Fairway Log'!$A$2:$A$70=$A132)*
        ('Fairway Log'!$B$2:$B$70=$B132)*
        ('Fairway Log'!$C$2:$C203=$C132),
      0),
      MATCH($G132,'Fairway Log'!$E$1:$V$1,0)
    ),
  "")
)</f>
        <v/>
      </c>
      <c r="Q132" t="str" cm="1">
        <f t="array" ref="Q132">IFERROR(
  INDEX('GIR Log'!$E$2:$V$70,
    MATCH(1,
      ('GIR Log'!$A$2:$A$70=$A132)*
      ('GIR Log'!$B$2:$B$70=$B132)*
      ('GIR Log'!$C$2:$C$70=$C132),
    0),
    MATCH($G132,'GIR Log'!$E$1:$V$1,0)
  ),
"")</f>
        <v>↓</v>
      </c>
    </row>
    <row r="133" spans="1:17" x14ac:dyDescent="0.25">
      <c r="A133" s="20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Log'!$E$2:$V$70,
    MATCH(1,
      ('Golf Log'!$A$2:$A$70=$A133)*
      ('Golf Log'!$B$2:$B$70=$B133)*
      ('Golf Log'!$C$2:$C$70=$C133),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Log'!$E$2:$V$70,
    MATCH(1,
      ('Putt Log'!$A$2:$A$70=$A133)*
      ('Putt Log'!$B$2:$B$70=$B133)*
      ('Putt Log'!$C$2:$C$70=$C133),
    0),
    MATCH($G133,'Putt Log'!$E$1:$V$1,0)
  ),
"")</f>
        <v>2</v>
      </c>
      <c r="P133" t="str" cm="1">
        <f t="array" ref="P133">IF(K133=3,"",
  IFERROR(
    INDEX('Fairway Log'!$E$2:$V$70,
      MATCH(1,
        ('Fairway Log'!$A$2:$A$70=$A133)*
        ('Fairway Log'!$B$2:$B$70=$B133)*
        ('Fairway Log'!$C$2:$C204=$C133),
      0),
      MATCH($G133,'Fairway Log'!$E$1:$V$1,0)
    ),
  "")
)</f>
        <v>←</v>
      </c>
      <c r="Q133" t="str" cm="1">
        <f t="array" ref="Q133">IFERROR(
  INDEX('GIR Log'!$E$2:$V$70,
    MATCH(1,
      ('GIR Log'!$A$2:$A$70=$A133)*
      ('GIR Log'!$B$2:$B$70=$B133)*
      ('GIR Log'!$C$2:$C$70=$C133),
    0),
    MATCH($G133,'GIR Log'!$E$1:$V$1,0)
  ),
"")</f>
        <v>↓</v>
      </c>
    </row>
    <row r="134" spans="1:17" x14ac:dyDescent="0.25">
      <c r="A134" s="20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Log'!$E$2:$V$70,
    MATCH(1,
      ('Golf Log'!$A$2:$A$70=$A134)*
      ('Golf Log'!$B$2:$B$70=$B134)*
      ('Golf Log'!$C$2:$C$70=$C134),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Log'!$E$2:$V$70,
    MATCH(1,
      ('Putt Log'!$A$2:$A$70=$A134)*
      ('Putt Log'!$B$2:$B$70=$B134)*
      ('Putt Log'!$C$2:$C$70=$C134),
    0),
    MATCH($G134,'Putt Log'!$E$1:$V$1,0)
  ),
"")</f>
        <v>2</v>
      </c>
      <c r="P134" t="str" cm="1">
        <f t="array" ref="P134">IF(K134=3,"",
  IFERROR(
    INDEX('Fairway Log'!$E$2:$V$70,
      MATCH(1,
        ('Fairway Log'!$A$2:$A$70=$A134)*
        ('Fairway Log'!$B$2:$B$70=$B134)*
        ('Fairway Log'!$C$2:$C205=$C134),
      0),
      MATCH($G134,'Fairway Log'!$E$1:$V$1,0)
    ),
  "")
)</f>
        <v>←</v>
      </c>
      <c r="Q134" t="str" cm="1">
        <f t="array" ref="Q134">IFERROR(
  INDEX('GIR Log'!$E$2:$V$70,
    MATCH(1,
      ('GIR Log'!$A$2:$A$70=$A134)*
      ('GIR Log'!$B$2:$B$70=$B134)*
      ('GIR Log'!$C$2:$C$70=$C134),
    0),
    MATCH($G134,'GIR Log'!$E$1:$V$1,0)
  ),
"")</f>
        <v>↓</v>
      </c>
    </row>
    <row r="135" spans="1:17" x14ac:dyDescent="0.25">
      <c r="A135" s="20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Log'!$E$2:$V$70,
    MATCH(1,
      ('Golf Log'!$A$2:$A$70=$A135)*
      ('Golf Log'!$B$2:$B$70=$B135)*
      ('Golf Log'!$C$2:$C$70=$C135),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Log'!$E$2:$V$70,
    MATCH(1,
      ('Putt Log'!$A$2:$A$70=$A135)*
      ('Putt Log'!$B$2:$B$70=$B135)*
      ('Putt Log'!$C$2:$C$70=$C135),
    0),
    MATCH($G135,'Putt Log'!$E$1:$V$1,0)
  ),
"")</f>
        <v>2</v>
      </c>
      <c r="P135" cm="1">
        <f t="array" ref="P135">IF(K135=3,"",
  IFERROR(
    INDEX('Fairway Log'!$E$2:$V$70,
      MATCH(1,
        ('Fairway Log'!$A$2:$A$70=$A135)*
        ('Fairway Log'!$B$2:$B$70=$B135)*
        ('Fairway Log'!$C$2:$C206=$C135),
      0),
      MATCH($G135,'Fairway Log'!$E$1:$V$1,0)
    ),
  "")
)</f>
        <v>1</v>
      </c>
      <c r="Q135" t="str" cm="1">
        <f t="array" ref="Q135">IFERROR(
  INDEX('GIR Log'!$E$2:$V$70,
    MATCH(1,
      ('GIR Log'!$A$2:$A$70=$A135)*
      ('GIR Log'!$B$2:$B$70=$B135)*
      ('GIR Log'!$C$2:$C$70=$C135),
    0),
    MATCH($G135,'GIR Log'!$E$1:$V$1,0)
  ),
"")</f>
        <v>↑</v>
      </c>
    </row>
    <row r="136" spans="1:17" x14ac:dyDescent="0.25">
      <c r="A136" s="20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Log'!$E$2:$V$70,
    MATCH(1,
      ('Golf Log'!$A$2:$A$70=$A136)*
      ('Golf Log'!$B$2:$B$70=$B136)*
      ('Golf Log'!$C$2:$C$70=$C136),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Log'!$E$2:$V$70,
    MATCH(1,
      ('Putt Log'!$A$2:$A$70=$A136)*
      ('Putt Log'!$B$2:$B$70=$B136)*
      ('Putt Log'!$C$2:$C$70=$C136),
    0),
    MATCH($G136,'Putt Log'!$E$1:$V$1,0)
  ),
"")</f>
        <v>2</v>
      </c>
      <c r="P136" cm="1">
        <f t="array" ref="P136">IF(K136=3,"",
  IFERROR(
    INDEX('Fairway Log'!$E$2:$V$70,
      MATCH(1,
        ('Fairway Log'!$A$2:$A$70=$A136)*
        ('Fairway Log'!$B$2:$B$70=$B136)*
        ('Fairway Log'!$C$2:$C207=$C136),
      0),
      MATCH($G136,'Fairway Log'!$E$1:$V$1,0)
    ),
  "")
)</f>
        <v>1</v>
      </c>
      <c r="Q136" cm="1">
        <f t="array" ref="Q136">IFERROR(
  INDEX('GIR Log'!$E$2:$V$70,
    MATCH(1,
      ('GIR Log'!$A$2:$A$70=$A136)*
      ('GIR Log'!$B$2:$B$70=$B136)*
      ('GIR Log'!$C$2:$C$70=$C136),
    0),
    MATCH($G136,'GIR Log'!$E$1:$V$1,0)
  ),
"")</f>
        <v>1</v>
      </c>
    </row>
    <row r="137" spans="1:17" x14ac:dyDescent="0.25">
      <c r="A137" s="20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Log'!$E$2:$V$70,
    MATCH(1,
      ('Golf Log'!$A$2:$A$70=$A137)*
      ('Golf Log'!$B$2:$B$70=$B137)*
      ('Golf Log'!$C$2:$C$70=$C137),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Log'!$E$2:$V$70,
    MATCH(1,
      ('Putt Log'!$A$2:$A$70=$A137)*
      ('Putt Log'!$B$2:$B$70=$B137)*
      ('Putt Log'!$C$2:$C$70=$C137),
    0),
    MATCH($G137,'Putt Log'!$E$1:$V$1,0)
  ),
"")</f>
        <v>1</v>
      </c>
      <c r="P137" t="str" cm="1">
        <f t="array" ref="P137">IF(K137=3,"",
  IFERROR(
    INDEX('Fairway Log'!$E$2:$V$70,
      MATCH(1,
        ('Fairway Log'!$A$2:$A$70=$A137)*
        ('Fairway Log'!$B$2:$B$70=$B137)*
        ('Fairway Log'!$C$2:$C208=$C137),
      0),
      MATCH($G137,'Fairway Log'!$E$1:$V$1,0)
    ),
  "")
)</f>
        <v>→</v>
      </c>
      <c r="Q137" cm="1">
        <f t="array" ref="Q137">IFERROR(
  INDEX('GIR Log'!$E$2:$V$70,
    MATCH(1,
      ('GIR Log'!$A$2:$A$70=$A137)*
      ('GIR Log'!$B$2:$B$70=$B137)*
      ('GIR Log'!$C$2:$C$70=$C137),
    0),
    MATCH($G137,'GIR Log'!$E$1:$V$1,0)
  ),
"")</f>
        <v>1</v>
      </c>
    </row>
    <row r="138" spans="1:17" x14ac:dyDescent="0.25">
      <c r="A138" s="20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Log'!$E$2:$V$70,
    MATCH(1,
      ('Golf Log'!$A$2:$A$70=$A138)*
      ('Golf Log'!$B$2:$B$70=$B138)*
      ('Golf Log'!$C$2:$C$70=$C138),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Log'!$E$2:$V$70,
    MATCH(1,
      ('Putt Log'!$A$2:$A$70=$A138)*
      ('Putt Log'!$B$2:$B$70=$B138)*
      ('Putt Log'!$C$2:$C$70=$C138),
    0),
    MATCH($G138,'Putt Log'!$E$1:$V$1,0)
  ),
"")</f>
        <v>1</v>
      </c>
      <c r="P138" t="str" cm="1">
        <f t="array" ref="P138">IF(K138=3,"",
  IFERROR(
    INDEX('Fairway Log'!$E$2:$V$70,
      MATCH(1,
        ('Fairway Log'!$A$2:$A$70=$A138)*
        ('Fairway Log'!$B$2:$B$70=$B138)*
        ('Fairway Log'!$C$2:$C209=$C138),
      0),
      MATCH($G138,'Fairway Log'!$E$1:$V$1,0)
    ),
  "")
)</f>
        <v>→</v>
      </c>
      <c r="Q138" cm="1">
        <f t="array" ref="Q138">IFERROR(
  INDEX('GIR Log'!$E$2:$V$70,
    MATCH(1,
      ('GIR Log'!$A$2:$A$70=$A138)*
      ('GIR Log'!$B$2:$B$70=$B138)*
      ('GIR Log'!$C$2:$C$70=$C138),
    0),
    MATCH($G138,'GIR Log'!$E$1:$V$1,0)
  ),
"")</f>
        <v>1</v>
      </c>
    </row>
    <row r="139" spans="1:17" x14ac:dyDescent="0.25">
      <c r="A139" s="20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Log'!$E$2:$V$70,
    MATCH(1,
      ('Golf Log'!$A$2:$A$70=$A139)*
      ('Golf Log'!$B$2:$B$70=$B139)*
      ('Golf Log'!$C$2:$C$70=$C139),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Log'!$E$2:$V$70,
    MATCH(1,
      ('Putt Log'!$A$2:$A$70=$A139)*
      ('Putt Log'!$B$2:$B$70=$B139)*
      ('Putt Log'!$C$2:$C$70=$C139),
    0),
    MATCH($G139,'Putt Log'!$E$1:$V$1,0)
  ),
"")</f>
        <v>2</v>
      </c>
      <c r="P139" t="str" cm="1">
        <f t="array" ref="P139">IF(K139=3,"",
  IFERROR(
    INDEX('Fairway Log'!$E$2:$V$70,
      MATCH(1,
        ('Fairway Log'!$A$2:$A$70=$A139)*
        ('Fairway Log'!$B$2:$B$70=$B139)*
        ('Fairway Log'!$C$2:$C210=$C139),
      0),
      MATCH($G139,'Fairway Log'!$E$1:$V$1,0)
    ),
  "")
)</f>
        <v>←</v>
      </c>
      <c r="Q139" t="str" cm="1">
        <f t="array" ref="Q139">IFERROR(
  INDEX('GIR Log'!$E$2:$V$70,
    MATCH(1,
      ('GIR Log'!$A$2:$A$70=$A139)*
      ('GIR Log'!$B$2:$B$70=$B139)*
      ('GIR Log'!$C$2:$C$70=$C139),
    0),
    MATCH($G139,'GIR Log'!$E$1:$V$1,0)
  ),
"")</f>
        <v>←</v>
      </c>
    </row>
    <row r="140" spans="1:17" x14ac:dyDescent="0.25">
      <c r="A140" s="20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Log'!$E$2:$V$70,
    MATCH(1,
      ('Golf Log'!$A$2:$A$70=$A140)*
      ('Golf Log'!$B$2:$B$70=$B140)*
      ('Golf Log'!$C$2:$C$70=$C140),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Log'!$E$2:$V$70,
    MATCH(1,
      ('Putt Log'!$A$2:$A$70=$A140)*
      ('Putt Log'!$B$2:$B$70=$B140)*
      ('Putt Log'!$C$2:$C$70=$C140),
    0),
    MATCH($G140,'Putt Log'!$E$1:$V$1,0)
  ),
"")</f>
        <v>2</v>
      </c>
      <c r="P140" t="str" cm="1">
        <f t="array" ref="P140">IF(K140=3,"",
  IFERROR(
    INDEX('Fairway Log'!$E$2:$V$70,
      MATCH(1,
        ('Fairway Log'!$A$2:$A$70=$A140)*
        ('Fairway Log'!$B$2:$B$70=$B140)*
        ('Fairway Log'!$C$2:$C211=$C140),
      0),
      MATCH($G140,'Fairway Log'!$E$1:$V$1,0)
    ),
  "")
)</f>
        <v>→</v>
      </c>
      <c r="Q140" t="str" cm="1">
        <f t="array" ref="Q140">IFERROR(
  INDEX('GIR Log'!$E$2:$V$70,
    MATCH(1,
      ('GIR Log'!$A$2:$A$70=$A140)*
      ('GIR Log'!$B$2:$B$70=$B140)*
      ('GIR Log'!$C$2:$C$70=$C140),
    0),
    MATCH($G140,'GIR Log'!$E$1:$V$1,0)
  ),
"")</f>
        <v>←</v>
      </c>
    </row>
    <row r="141" spans="1:17" x14ac:dyDescent="0.25">
      <c r="A141" s="20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Log'!$E$2:$V$70,
    MATCH(1,
      ('Golf Log'!$A$2:$A$70=$A141)*
      ('Golf Log'!$B$2:$B$70=$B141)*
      ('Golf Log'!$C$2:$C$70=$C141),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Log'!$E$2:$V$70,
    MATCH(1,
      ('Putt Log'!$A$2:$A$70=$A141)*
      ('Putt Log'!$B$2:$B$70=$B141)*
      ('Putt Log'!$C$2:$C$70=$C141),
    0),
    MATCH($G141,'Putt Log'!$E$1:$V$1,0)
  ),
"")</f>
        <v>2</v>
      </c>
      <c r="P141" t="str" cm="1">
        <f t="array" ref="P141">IF(K141=3,"",
  IFERROR(
    INDEX('Fairway Log'!$E$2:$V$70,
      MATCH(1,
        ('Fairway Log'!$A$2:$A$70=$A141)*
        ('Fairway Log'!$B$2:$B$70=$B141)*
        ('Fairway Log'!$C$2:$C212=$C141),
      0),
      MATCH($G141,'Fairway Log'!$E$1:$V$1,0)
    ),
  "")
)</f>
        <v/>
      </c>
      <c r="Q141" t="str" cm="1">
        <f t="array" ref="Q141">IFERROR(
  INDEX('GIR Log'!$E$2:$V$70,
    MATCH(1,
      ('GIR Log'!$A$2:$A$70=$A141)*
      ('GIR Log'!$B$2:$B$70=$B141)*
      ('GIR Log'!$C$2:$C$70=$C141),
    0),
    MATCH($G141,'GIR Log'!$E$1:$V$1,0)
  ),
"")</f>
        <v>↓</v>
      </c>
    </row>
    <row r="142" spans="1:17" x14ac:dyDescent="0.25">
      <c r="A142" s="20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Log'!$E$2:$V$70,
    MATCH(1,
      ('Golf Log'!$A$2:$A$70=$A142)*
      ('Golf Log'!$B$2:$B$70=$B142)*
      ('Golf Log'!$C$2:$C$70=$C142),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Log'!$E$2:$V$70,
    MATCH(1,
      ('Putt Log'!$A$2:$A$70=$A142)*
      ('Putt Log'!$B$2:$B$70=$B142)*
      ('Putt Log'!$C$2:$C$70=$C142),
    0),
    MATCH($G142,'Putt Log'!$E$1:$V$1,0)
  ),
"")</f>
        <v>2</v>
      </c>
      <c r="P142" cm="1">
        <f t="array" ref="P142">IF(K142=3,"",
  IFERROR(
    INDEX('Fairway Log'!$E$2:$V$70,
      MATCH(1,
        ('Fairway Log'!$A$2:$A$70=$A142)*
        ('Fairway Log'!$B$2:$B$70=$B142)*
        ('Fairway Log'!$C$2:$C213=$C142),
      0),
      MATCH($G142,'Fairway Log'!$E$1:$V$1,0)
    ),
  "")
)</f>
        <v>1</v>
      </c>
      <c r="Q142" t="str" cm="1">
        <f t="array" ref="Q142">IFERROR(
  INDEX('GIR Log'!$E$2:$V$70,
    MATCH(1,
      ('GIR Log'!$A$2:$A$70=$A142)*
      ('GIR Log'!$B$2:$B$70=$B142)*
      ('GIR Log'!$C$2:$C$70=$C142),
    0),
    MATCH($G142,'GIR Log'!$E$1:$V$1,0)
  ),
"")</f>
        <v>↓</v>
      </c>
    </row>
    <row r="143" spans="1:17" x14ac:dyDescent="0.25">
      <c r="A143" s="20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Log'!$E$2:$V$70,
    MATCH(1,
      ('Golf Log'!$A$2:$A$70=$A143)*
      ('Golf Log'!$B$2:$B$70=$B143)*
      ('Golf Log'!$C$2:$C$70=$C143),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Log'!$E$2:$V$70,
    MATCH(1,
      ('Putt Log'!$A$2:$A$70=$A143)*
      ('Putt Log'!$B$2:$B$70=$B143)*
      ('Putt Log'!$C$2:$C$70=$C143),
    0),
    MATCH($G143,'Putt Log'!$E$1:$V$1,0)
  ),
"")</f>
        <v>2</v>
      </c>
      <c r="P143" cm="1">
        <f t="array" ref="P143">IF(K143=3,"",
  IFERROR(
    INDEX('Fairway Log'!$E$2:$V$70,
      MATCH(1,
        ('Fairway Log'!$A$2:$A$70=$A143)*
        ('Fairway Log'!$B$2:$B$70=$B143)*
        ('Fairway Log'!$C$2:$C214=$C143),
      0),
      MATCH($G143,'Fairway Log'!$E$1:$V$1,0)
    ),
  "")
)</f>
        <v>1</v>
      </c>
      <c r="Q143" cm="1">
        <f t="array" ref="Q143">IFERROR(
  INDEX('GIR Log'!$E$2:$V$70,
    MATCH(1,
      ('GIR Log'!$A$2:$A$70=$A143)*
      ('GIR Log'!$B$2:$B$70=$B143)*
      ('GIR Log'!$C$2:$C$70=$C143),
    0),
    MATCH($G143,'GIR Log'!$E$1:$V$1,0)
  ),
"")</f>
        <v>1</v>
      </c>
    </row>
    <row r="144" spans="1:17" x14ac:dyDescent="0.25">
      <c r="A144" s="20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Log'!$E$2:$V$70,
    MATCH(1,
      ('Golf Log'!$A$2:$A$70=$A144)*
      ('Golf Log'!$B$2:$B$70=$B144)*
      ('Golf Log'!$C$2:$C$70=$C144),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Log'!$E$2:$V$70,
    MATCH(1,
      ('Putt Log'!$A$2:$A$70=$A144)*
      ('Putt Log'!$B$2:$B$70=$B144)*
      ('Putt Log'!$C$2:$C$70=$C144),
    0),
    MATCH($G144,'Putt Log'!$E$1:$V$1,0)
  ),
"")</f>
        <v>1</v>
      </c>
      <c r="P144" t="str" cm="1">
        <f t="array" ref="P144">IF(K144=3,"",
  IFERROR(
    INDEX('Fairway Log'!$E$2:$V$70,
      MATCH(1,
        ('Fairway Log'!$A$2:$A$70=$A144)*
        ('Fairway Log'!$B$2:$B$70=$B144)*
        ('Fairway Log'!$C$2:$C215=$C144),
      0),
      MATCH($G144,'Fairway Log'!$E$1:$V$1,0)
    ),
  "")
)</f>
        <v>→</v>
      </c>
      <c r="Q144" t="str" cm="1">
        <f t="array" ref="Q144">IFERROR(
  INDEX('GIR Log'!$E$2:$V$70,
    MATCH(1,
      ('GIR Log'!$A$2:$A$70=$A144)*
      ('GIR Log'!$B$2:$B$70=$B144)*
      ('GIR Log'!$C$2:$C$70=$C144),
    0),
    MATCH($G144,'GIR Log'!$E$1:$V$1,0)
  ),
"")</f>
        <v>→</v>
      </c>
    </row>
    <row r="145" spans="1:17" x14ac:dyDescent="0.25">
      <c r="A145" s="20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Log'!$E$2:$V$70,
    MATCH(1,
      ('Golf Log'!$A$2:$A$70=$A145)*
      ('Golf Log'!$B$2:$B$70=$B145)*
      ('Golf Log'!$C$2:$C$70=$C145),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Log'!$E$2:$V$70,
    MATCH(1,
      ('Putt Log'!$A$2:$A$70=$A145)*
      ('Putt Log'!$B$2:$B$70=$B145)*
      ('Putt Log'!$C$2:$C$70=$C145),
    0),
    MATCH($G145,'Putt Log'!$E$1:$V$1,0)
  ),
"")</f>
        <v>1</v>
      </c>
      <c r="P145" cm="1">
        <f t="array" ref="P145">IF(K145=3,"",
  IFERROR(
    INDEX('Fairway Log'!$E$2:$V$70,
      MATCH(1,
        ('Fairway Log'!$A$2:$A$70=$A145)*
        ('Fairway Log'!$B$2:$B$70=$B145)*
        ('Fairway Log'!$C$2:$C216=$C145),
      0),
      MATCH($G145,'Fairway Log'!$E$1:$V$1,0)
    ),
  "")
)</f>
        <v>1</v>
      </c>
      <c r="Q145" t="str" cm="1">
        <f t="array" ref="Q145">IFERROR(
  INDEX('GIR Log'!$E$2:$V$70,
    MATCH(1,
      ('GIR Log'!$A$2:$A$70=$A145)*
      ('GIR Log'!$B$2:$B$70=$B145)*
      ('GIR Log'!$C$2:$C$70=$C145),
    0),
    MATCH($G145,'GIR Log'!$E$1:$V$1,0)
  ),
"")</f>
        <v>←</v>
      </c>
    </row>
    <row r="146" spans="1:17" x14ac:dyDescent="0.25">
      <c r="A146" s="20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Log'!$E$2:$V$70,
    MATCH(1,
      ('Golf Log'!$A$2:$A$70=$A146)*
      ('Golf Log'!$B$2:$B$70=$B146)*
      ('Golf Log'!$C$2:$C$70=$C146),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Log'!$E$2:$V$70,
    MATCH(1,
      ('Putt Log'!$A$2:$A$70=$A146)*
      ('Putt Log'!$B$2:$B$70=$B146)*
      ('Putt Log'!$C$2:$C$70=$C146),
    0),
    MATCH($G146,'Putt Log'!$E$1:$V$1,0)
  ),
"")</f>
        <v>2</v>
      </c>
      <c r="P146" t="str" cm="1">
        <f t="array" ref="P146">IF(K146=3,"",
  IFERROR(
    INDEX('Fairway Log'!$E$2:$V$70,
      MATCH(1,
        ('Fairway Log'!$A$2:$A$70=$A146)*
        ('Fairway Log'!$B$2:$B$70=$B146)*
        ('Fairway Log'!$C$2:$C217=$C146),
      0),
      MATCH($G146,'Fairway Log'!$E$1:$V$1,0)
    ),
  "")
)</f>
        <v>←</v>
      </c>
      <c r="Q146" cm="1">
        <f t="array" ref="Q146">IFERROR(
  INDEX('GIR Log'!$E$2:$V$70,
    MATCH(1,
      ('GIR Log'!$A$2:$A$70=$A146)*
      ('GIR Log'!$B$2:$B$70=$B146)*
      ('GIR Log'!$C$2:$C$70=$C146),
    0),
    MATCH($G146,'GIR Log'!$E$1:$V$1,0)
  ),
"")</f>
        <v>1</v>
      </c>
    </row>
    <row r="147" spans="1:17" x14ac:dyDescent="0.25">
      <c r="A147" s="20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Log'!$E$2:$V$70,
    MATCH(1,
      ('Golf Log'!$A$2:$A$70=$A147)*
      ('Golf Log'!$B$2:$B$70=$B147)*
      ('Golf Log'!$C$2:$C$70=$C147),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Log'!$E$2:$V$70,
    MATCH(1,
      ('Putt Log'!$A$2:$A$70=$A147)*
      ('Putt Log'!$B$2:$B$70=$B147)*
      ('Putt Log'!$C$2:$C$70=$C147),
    0),
    MATCH($G147,'Putt Log'!$E$1:$V$1,0)
  ),
"")</f>
        <v>2</v>
      </c>
      <c r="P147" t="str" cm="1">
        <f t="array" ref="P147">IF(K147=3,"",
  IFERROR(
    INDEX('Fairway Log'!$E$2:$V$70,
      MATCH(1,
        ('Fairway Log'!$A$2:$A$70=$A147)*
        ('Fairway Log'!$B$2:$B$70=$B147)*
        ('Fairway Log'!$C$2:$C218=$C147),
      0),
      MATCH($G147,'Fairway Log'!$E$1:$V$1,0)
    ),
  "")
)</f>
        <v>→</v>
      </c>
      <c r="Q147" cm="1">
        <f t="array" ref="Q147">IFERROR(
  INDEX('GIR Log'!$E$2:$V$70,
    MATCH(1,
      ('GIR Log'!$A$2:$A$70=$A147)*
      ('GIR Log'!$B$2:$B$70=$B147)*
      ('GIR Log'!$C$2:$C$70=$C147),
    0),
    MATCH($G147,'GIR Log'!$E$1:$V$1,0)
  ),
"")</f>
        <v>1</v>
      </c>
    </row>
    <row r="148" spans="1:17" x14ac:dyDescent="0.25">
      <c r="A148" s="20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Log'!$E$2:$V$70,
    MATCH(1,
      ('Golf Log'!$A$2:$A$70=$A148)*
      ('Golf Log'!$B$2:$B$70=$B148)*
      ('Golf Log'!$C$2:$C$70=$C148),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Log'!$E$2:$V$70,
    MATCH(1,
      ('Putt Log'!$A$2:$A$70=$A148)*
      ('Putt Log'!$B$2:$B$70=$B148)*
      ('Putt Log'!$C$2:$C$70=$C148),
    0),
    MATCH($G148,'Putt Log'!$E$1:$V$1,0)
  ),
"")</f>
        <v>2</v>
      </c>
      <c r="P148" t="str" cm="1">
        <f t="array" ref="P148">IF(K148=3,"",
  IFERROR(
    INDEX('Fairway Log'!$E$2:$V$70,
      MATCH(1,
        ('Fairway Log'!$A$2:$A$70=$A148)*
        ('Fairway Log'!$B$2:$B$70=$B148)*
        ('Fairway Log'!$C$2:$C219=$C148),
      0),
      MATCH($G148,'Fairway Log'!$E$1:$V$1,0)
    ),
  "")
)</f>
        <v/>
      </c>
      <c r="Q148" t="str" cm="1">
        <f t="array" ref="Q148">IFERROR(
  INDEX('GIR Log'!$E$2:$V$70,
    MATCH(1,
      ('GIR Log'!$A$2:$A$70=$A148)*
      ('GIR Log'!$B$2:$B$70=$B148)*
      ('GIR Log'!$C$2:$C$70=$C148),
    0),
    MATCH($G148,'GIR Log'!$E$1:$V$1,0)
  ),
"")</f>
        <v>↓</v>
      </c>
    </row>
    <row r="149" spans="1:17" x14ac:dyDescent="0.25">
      <c r="A149" s="20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Log'!$E$2:$V$70,
    MATCH(1,
      ('Golf Log'!$A$2:$A$70=$A149)*
      ('Golf Log'!$B$2:$B$70=$B149)*
      ('Golf Log'!$C$2:$C$70=$C149),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Log'!$E$2:$V$70,
    MATCH(1,
      ('Putt Log'!$A$2:$A$70=$A149)*
      ('Putt Log'!$B$2:$B$70=$B149)*
      ('Putt Log'!$C$2:$C$70=$C149),
    0),
    MATCH($G149,'Putt Log'!$E$1:$V$1,0)
  ),
"")</f>
        <v>1</v>
      </c>
      <c r="P149" t="str" cm="1">
        <f t="array" ref="P149">IF(K149=3,"",
  IFERROR(
    INDEX('Fairway Log'!$E$2:$V$70,
      MATCH(1,
        ('Fairway Log'!$A$2:$A$70=$A149)*
        ('Fairway Log'!$B$2:$B$70=$B149)*
        ('Fairway Log'!$C$2:$C220=$C149),
      0),
      MATCH($G149,'Fairway Log'!$E$1:$V$1,0)
    ),
  "")
)</f>
        <v>→</v>
      </c>
      <c r="Q149" t="str" cm="1">
        <f t="array" ref="Q149">IFERROR(
  INDEX('GIR Log'!$E$2:$V$70,
    MATCH(1,
      ('GIR Log'!$A$2:$A$70=$A149)*
      ('GIR Log'!$B$2:$B$70=$B149)*
      ('GIR Log'!$C$2:$C$70=$C149),
    0),
    MATCH($G149,'GIR Log'!$E$1:$V$1,0)
  ),
"")</f>
        <v>→</v>
      </c>
    </row>
    <row r="150" spans="1:17" x14ac:dyDescent="0.25">
      <c r="A150" s="20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Log'!$E$2:$V$70,
    MATCH(1,
      ('Golf Log'!$A$2:$A$70=$A150)*
      ('Golf Log'!$B$2:$B$70=$B150)*
      ('Golf Log'!$C$2:$C$70=$C150),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Log'!$E$2:$V$70,
    MATCH(1,
      ('Putt Log'!$A$2:$A$70=$A150)*
      ('Putt Log'!$B$2:$B$70=$B150)*
      ('Putt Log'!$C$2:$C$70=$C150),
    0),
    MATCH($G150,'Putt Log'!$E$1:$V$1,0)
  ),
"")</f>
        <v>1</v>
      </c>
      <c r="P150" t="str" cm="1">
        <f t="array" ref="P150">IF(K150=3,"",
  IFERROR(
    INDEX('Fairway Log'!$E$2:$V$70,
      MATCH(1,
        ('Fairway Log'!$A$2:$A$70=$A150)*
        ('Fairway Log'!$B$2:$B$70=$B150)*
        ('Fairway Log'!$C$2:$C221=$C150),
      0),
      MATCH($G150,'Fairway Log'!$E$1:$V$1,0)
    ),
  "")
)</f>
        <v>→</v>
      </c>
      <c r="Q150" t="str" cm="1">
        <f t="array" ref="Q150">IFERROR(
  INDEX('GIR Log'!$E$2:$V$70,
    MATCH(1,
      ('GIR Log'!$A$2:$A$70=$A150)*
      ('GIR Log'!$B$2:$B$70=$B150)*
      ('GIR Log'!$C$2:$C$70=$C150),
    0),
    MATCH($G150,'GIR Log'!$E$1:$V$1,0)
  ),
"")</f>
        <v>→</v>
      </c>
    </row>
    <row r="151" spans="1:17" x14ac:dyDescent="0.25">
      <c r="A151" s="20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Log'!$E$2:$V$70,
    MATCH(1,
      ('Golf Log'!$A$2:$A$70=$A151)*
      ('Golf Log'!$B$2:$B$70=$B151)*
      ('Golf Log'!$C$2:$C$70=$C151),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Log'!$E$2:$V$70,
    MATCH(1,
      ('Putt Log'!$A$2:$A$70=$A151)*
      ('Putt Log'!$B$2:$B$70=$B151)*
      ('Putt Log'!$C$2:$C$70=$C151),
    0),
    MATCH($G151,'Putt Log'!$E$1:$V$1,0)
  ),
"")</f>
        <v>2</v>
      </c>
      <c r="P151" t="str" cm="1">
        <f t="array" ref="P151">IF(K151=3,"",
  IFERROR(
    INDEX('Fairway Log'!$E$2:$V$70,
      MATCH(1,
        ('Fairway Log'!$A$2:$A$70=$A151)*
        ('Fairway Log'!$B$2:$B$70=$B151)*
        ('Fairway Log'!$C$2:$C222=$C151),
      0),
      MATCH($G151,'Fairway Log'!$E$1:$V$1,0)
    ),
  "")
)</f>
        <v/>
      </c>
      <c r="Q151" t="str" cm="1">
        <f t="array" ref="Q151">IFERROR(
  INDEX('GIR Log'!$E$2:$V$70,
    MATCH(1,
      ('GIR Log'!$A$2:$A$70=$A151)*
      ('GIR Log'!$B$2:$B$70=$B151)*
      ('GIR Log'!$C$2:$C$70=$C151),
    0),
    MATCH($G151,'GIR Log'!$E$1:$V$1,0)
  ),
"")</f>
        <v>→</v>
      </c>
    </row>
    <row r="152" spans="1:17" x14ac:dyDescent="0.25">
      <c r="A152" s="20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Log'!$E$2:$V$70,
    MATCH(1,
      ('Golf Log'!$A$2:$A$70=$A152)*
      ('Golf Log'!$B$2:$B$70=$B152)*
      ('Golf Log'!$C$2:$C$70=$C152),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Log'!$E$2:$V$70,
    MATCH(1,
      ('Putt Log'!$A$2:$A$70=$A152)*
      ('Putt Log'!$B$2:$B$70=$B152)*
      ('Putt Log'!$C$2:$C$70=$C152),
    0),
    MATCH($G152,'Putt Log'!$E$1:$V$1,0)
  ),
"")</f>
        <v>1</v>
      </c>
      <c r="P152" cm="1">
        <f t="array" ref="P152">IF(K152=3,"",
  IFERROR(
    INDEX('Fairway Log'!$E$2:$V$70,
      MATCH(1,
        ('Fairway Log'!$A$2:$A$70=$A152)*
        ('Fairway Log'!$B$2:$B$70=$B152)*
        ('Fairway Log'!$C$2:$C223=$C152),
      0),
      MATCH($G152,'Fairway Log'!$E$1:$V$1,0)
    ),
  "")
)</f>
        <v>1</v>
      </c>
      <c r="Q152" t="str" cm="1">
        <f t="array" ref="Q152">IFERROR(
  INDEX('GIR Log'!$E$2:$V$70,
    MATCH(1,
      ('GIR Log'!$A$2:$A$70=$A152)*
      ('GIR Log'!$B$2:$B$70=$B152)*
      ('GIR Log'!$C$2:$C$70=$C152),
    0),
    MATCH($G152,'GIR Log'!$E$1:$V$1,0)
  ),
"")</f>
        <v>→</v>
      </c>
    </row>
    <row r="153" spans="1:17" x14ac:dyDescent="0.25">
      <c r="A153" s="20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Log'!$E$2:$V$70,
    MATCH(1,
      ('Golf Log'!$A$2:$A$70=$A153)*
      ('Golf Log'!$B$2:$B$70=$B153)*
      ('Golf Log'!$C$2:$C$70=$C153),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Log'!$E$2:$V$70,
    MATCH(1,
      ('Putt Log'!$A$2:$A$70=$A153)*
      ('Putt Log'!$B$2:$B$70=$B153)*
      ('Putt Log'!$C$2:$C$70=$C153),
    0),
    MATCH($G153,'Putt Log'!$E$1:$V$1,0)
  ),
"")</f>
        <v>2</v>
      </c>
      <c r="P153" cm="1">
        <f t="array" ref="P153">IF(K153=3,"",
  IFERROR(
    INDEX('Fairway Log'!$E$2:$V$70,
      MATCH(1,
        ('Fairway Log'!$A$2:$A$70=$A153)*
        ('Fairway Log'!$B$2:$B$70=$B153)*
        ('Fairway Log'!$C$2:$C224=$C153),
      0),
      MATCH($G153,'Fairway Log'!$E$1:$V$1,0)
    ),
  "")
)</f>
        <v>1</v>
      </c>
      <c r="Q153" t="str" cm="1">
        <f t="array" ref="Q153">IFERROR(
  INDEX('GIR Log'!$E$2:$V$70,
    MATCH(1,
      ('GIR Log'!$A$2:$A$70=$A153)*
      ('GIR Log'!$B$2:$B$70=$B153)*
      ('GIR Log'!$C$2:$C$70=$C153),
    0),
    MATCH($G153,'GIR Log'!$E$1:$V$1,0)
  ),
"")</f>
        <v>→</v>
      </c>
    </row>
    <row r="154" spans="1:17" x14ac:dyDescent="0.25">
      <c r="A154" s="20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Log'!$E$2:$V$70,
    MATCH(1,
      ('Golf Log'!$A$2:$A$70=$A154)*
      ('Golf Log'!$B$2:$B$70=$B154)*
      ('Golf Log'!$C$2:$C$70=$C154),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Log'!$E$2:$V$70,
    MATCH(1,
      ('Putt Log'!$A$2:$A$70=$A154)*
      ('Putt Log'!$B$2:$B$70=$B154)*
      ('Putt Log'!$C$2:$C$70=$C154),
    0),
    MATCH($G154,'Putt Log'!$E$1:$V$1,0)
  ),
"")</f>
        <v>1</v>
      </c>
      <c r="P154" t="str" cm="1">
        <f t="array" ref="P154">IF(K154=3,"",
  IFERROR(
    INDEX('Fairway Log'!$E$2:$V$70,
      MATCH(1,
        ('Fairway Log'!$A$2:$A$70=$A154)*
        ('Fairway Log'!$B$2:$B$70=$B154)*
        ('Fairway Log'!$C$2:$C225=$C154),
      0),
      MATCH($G154,'Fairway Log'!$E$1:$V$1,0)
    ),
  "")
)</f>
        <v>→</v>
      </c>
      <c r="Q154" t="str" cm="1">
        <f t="array" ref="Q154">IFERROR(
  INDEX('GIR Log'!$E$2:$V$70,
    MATCH(1,
      ('GIR Log'!$A$2:$A$70=$A154)*
      ('GIR Log'!$B$2:$B$70=$B154)*
      ('GIR Log'!$C$2:$C$70=$C154),
    0),
    MATCH($G154,'GIR Log'!$E$1:$V$1,0)
  ),
"")</f>
        <v>→</v>
      </c>
    </row>
    <row r="155" spans="1:17" x14ac:dyDescent="0.25">
      <c r="A155" s="20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Log'!$E$2:$V$70,
    MATCH(1,
      ('Golf Log'!$A$2:$A$70=$A155)*
      ('Golf Log'!$B$2:$B$70=$B155)*
      ('Golf Log'!$C$2:$C$70=$C155),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Log'!$E$2:$V$70,
    MATCH(1,
      ('Putt Log'!$A$2:$A$70=$A155)*
      ('Putt Log'!$B$2:$B$70=$B155)*
      ('Putt Log'!$C$2:$C$70=$C155),
    0),
    MATCH($G155,'Putt Log'!$E$1:$V$1,0)
  ),
"")</f>
        <v>1</v>
      </c>
      <c r="P155" cm="1">
        <f t="array" ref="P155">IF(K155=3,"",
  IFERROR(
    INDEX('Fairway Log'!$E$2:$V$70,
      MATCH(1,
        ('Fairway Log'!$A$2:$A$70=$A155)*
        ('Fairway Log'!$B$2:$B$70=$B155)*
        ('Fairway Log'!$C$2:$C226=$C155),
      0),
      MATCH($G155,'Fairway Log'!$E$1:$V$1,0)
    ),
  "")
)</f>
        <v>1</v>
      </c>
      <c r="Q155" t="str" cm="1">
        <f t="array" ref="Q155">IFERROR(
  INDEX('GIR Log'!$E$2:$V$70,
    MATCH(1,
      ('GIR Log'!$A$2:$A$70=$A155)*
      ('GIR Log'!$B$2:$B$70=$B155)*
      ('GIR Log'!$C$2:$C$70=$C155),
    0),
    MATCH($G155,'GIR Log'!$E$1:$V$1,0)
  ),
"")</f>
        <v>→</v>
      </c>
    </row>
    <row r="156" spans="1:17" x14ac:dyDescent="0.25">
      <c r="A156" s="20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Log'!$E$2:$V$70,
    MATCH(1,
      ('Golf Log'!$A$2:$A$70=$A156)*
      ('Golf Log'!$B$2:$B$70=$B156)*
      ('Golf Log'!$C$2:$C$70=$C156),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Log'!$E$2:$V$70,
    MATCH(1,
      ('Putt Log'!$A$2:$A$70=$A156)*
      ('Putt Log'!$B$2:$B$70=$B156)*
      ('Putt Log'!$C$2:$C$70=$C156),
    0),
    MATCH($G156,'Putt Log'!$E$1:$V$1,0)
  ),
"")</f>
        <v>1</v>
      </c>
      <c r="P156" t="str" cm="1">
        <f t="array" ref="P156">IF(K156=3,"",
  IFERROR(
    INDEX('Fairway Log'!$E$2:$V$70,
      MATCH(1,
        ('Fairway Log'!$A$2:$A$70=$A156)*
        ('Fairway Log'!$B$2:$B$70=$B156)*
        ('Fairway Log'!$C$2:$C227=$C156),
      0),
      MATCH($G156,'Fairway Log'!$E$1:$V$1,0)
    ),
  "")
)</f>
        <v/>
      </c>
      <c r="Q156" cm="1">
        <f t="array" ref="Q156">IFERROR(
  INDEX('GIR Log'!$E$2:$V$70,
    MATCH(1,
      ('GIR Log'!$A$2:$A$70=$A156)*
      ('GIR Log'!$B$2:$B$70=$B156)*
      ('GIR Log'!$C$2:$C$70=$C156),
    0),
    MATCH($G156,'GIR Log'!$E$1:$V$1,0)
  ),
"")</f>
        <v>0</v>
      </c>
    </row>
    <row r="157" spans="1:17" x14ac:dyDescent="0.25">
      <c r="A157" s="20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Log'!$E$2:$V$70,
    MATCH(1,
      ('Golf Log'!$A$2:$A$70=$A157)*
      ('Golf Log'!$B$2:$B$70=$B157)*
      ('Golf Log'!$C$2:$C$70=$C157),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Log'!$E$2:$V$70,
    MATCH(1,
      ('Putt Log'!$A$2:$A$70=$A157)*
      ('Putt Log'!$B$2:$B$70=$B157)*
      ('Putt Log'!$C$2:$C$70=$C157),
    0),
    MATCH($G157,'Putt Log'!$E$1:$V$1,0)
  ),
"")</f>
        <v>2</v>
      </c>
      <c r="P157" cm="1">
        <f t="array" ref="P157">IF(K157=3,"",
  IFERROR(
    INDEX('Fairway Log'!$E$2:$V$70,
      MATCH(1,
        ('Fairway Log'!$A$2:$A$70=$A157)*
        ('Fairway Log'!$B$2:$B$70=$B157)*
        ('Fairway Log'!$C$2:$C228=$C157),
      0),
      MATCH($G157,'Fairway Log'!$E$1:$V$1,0)
    ),
  "")
)</f>
        <v>1</v>
      </c>
      <c r="Q157" cm="1">
        <f t="array" ref="Q157">IFERROR(
  INDEX('GIR Log'!$E$2:$V$70,
    MATCH(1,
      ('GIR Log'!$A$2:$A$70=$A157)*
      ('GIR Log'!$B$2:$B$70=$B157)*
      ('GIR Log'!$C$2:$C$70=$C157),
    0),
    MATCH($G157,'GIR Log'!$E$1:$V$1,0)
  ),
"")</f>
        <v>1</v>
      </c>
    </row>
    <row r="158" spans="1:17" x14ac:dyDescent="0.25">
      <c r="A158" s="20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Log'!$E$2:$V$70,
    MATCH(1,
      ('Golf Log'!$A$2:$A$70=$A158)*
      ('Golf Log'!$B$2:$B$70=$B158)*
      ('Golf Log'!$C$2:$C$70=$C158),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Log'!$E$2:$V$70,
    MATCH(1,
      ('Putt Log'!$A$2:$A$70=$A158)*
      ('Putt Log'!$B$2:$B$70=$B158)*
      ('Putt Log'!$C$2:$C$70=$C158),
    0),
    MATCH($G158,'Putt Log'!$E$1:$V$1,0)
  ),
"")</f>
        <v>2</v>
      </c>
      <c r="P158" t="str" cm="1">
        <f t="array" ref="P158">IF(K158=3,"",
  IFERROR(
    INDEX('Fairway Log'!$E$2:$V$70,
      MATCH(1,
        ('Fairway Log'!$A$2:$A$70=$A158)*
        ('Fairway Log'!$B$2:$B$70=$B158)*
        ('Fairway Log'!$C$2:$C229=$C158),
      0),
      MATCH($G158,'Fairway Log'!$E$1:$V$1,0)
    ),
  "")
)</f>
        <v>→</v>
      </c>
      <c r="Q158" cm="1">
        <f t="array" ref="Q158">IFERROR(
  INDEX('GIR Log'!$E$2:$V$70,
    MATCH(1,
      ('GIR Log'!$A$2:$A$70=$A158)*
      ('GIR Log'!$B$2:$B$70=$B158)*
      ('GIR Log'!$C$2:$C$70=$C158),
    0),
    MATCH($G158,'GIR Log'!$E$1:$V$1,0)
  ),
"")</f>
        <v>0</v>
      </c>
    </row>
    <row r="159" spans="1:17" x14ac:dyDescent="0.25">
      <c r="A159" s="20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Log'!$E$2:$V$70,
    MATCH(1,
      ('Golf Log'!$A$2:$A$70=$A159)*
      ('Golf Log'!$B$2:$B$70=$B159)*
      ('Golf Log'!$C$2:$C$70=$C159),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Log'!$E$2:$V$70,
    MATCH(1,
      ('Putt Log'!$A$2:$A$70=$A159)*
      ('Putt Log'!$B$2:$B$70=$B159)*
      ('Putt Log'!$C$2:$C$70=$C159),
    0),
    MATCH($G159,'Putt Log'!$E$1:$V$1,0)
  ),
"")</f>
        <v>2</v>
      </c>
      <c r="P159" t="str" cm="1">
        <f t="array" ref="P159">IF(K159=3,"",
  IFERROR(
    INDEX('Fairway Log'!$E$2:$V$70,
      MATCH(1,
        ('Fairway Log'!$A$2:$A$70=$A159)*
        ('Fairway Log'!$B$2:$B$70=$B159)*
        ('Fairway Log'!$C$2:$C230=$C159),
      0),
      MATCH($G159,'Fairway Log'!$E$1:$V$1,0)
    ),
  "")
)</f>
        <v>→</v>
      </c>
      <c r="Q159" cm="1">
        <f t="array" ref="Q159">IFERROR(
  INDEX('GIR Log'!$E$2:$V$70,
    MATCH(1,
      ('GIR Log'!$A$2:$A$70=$A159)*
      ('GIR Log'!$B$2:$B$70=$B159)*
      ('GIR Log'!$C$2:$C$70=$C159),
    0),
    MATCH($G159,'GIR Log'!$E$1:$V$1,0)
  ),
"")</f>
        <v>1</v>
      </c>
    </row>
    <row r="160" spans="1:17" x14ac:dyDescent="0.25">
      <c r="A160" s="20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Log'!$E$2:$V$70,
    MATCH(1,
      ('Golf Log'!$A$2:$A$70=$A160)*
      ('Golf Log'!$B$2:$B$70=$B160)*
      ('Golf Log'!$C$2:$C$70=$C160),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Log'!$E$2:$V$70,
    MATCH(1,
      ('Putt Log'!$A$2:$A$70=$A160)*
      ('Putt Log'!$B$2:$B$70=$B160)*
      ('Putt Log'!$C$2:$C$70=$C160),
    0),
    MATCH($G160,'Putt Log'!$E$1:$V$1,0)
  ),
"")</f>
        <v>2</v>
      </c>
      <c r="P160" t="str" cm="1">
        <f t="array" ref="P160">IF(K160=3,"",
  IFERROR(
    INDEX('Fairway Log'!$E$2:$V$70,
      MATCH(1,
        ('Fairway Log'!$A$2:$A$70=$A160)*
        ('Fairway Log'!$B$2:$B$70=$B160)*
        ('Fairway Log'!$C$2:$C231=$C160),
      0),
      MATCH($G160,'Fairway Log'!$E$1:$V$1,0)
    ),
  "")
)</f>
        <v/>
      </c>
      <c r="Q160" cm="1">
        <f t="array" ref="Q160">IFERROR(
  INDEX('GIR Log'!$E$2:$V$70,
    MATCH(1,
      ('GIR Log'!$A$2:$A$70=$A160)*
      ('GIR Log'!$B$2:$B$70=$B160)*
      ('GIR Log'!$C$2:$C$70=$C160),
    0),
    MATCH($G160,'GIR Log'!$E$1:$V$1,0)
  ),
"")</f>
        <v>0</v>
      </c>
    </row>
    <row r="161" spans="1:17" x14ac:dyDescent="0.25">
      <c r="A161" s="20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Log'!$E$2:$V$70,
    MATCH(1,
      ('Golf Log'!$A$2:$A$70=$A161)*
      ('Golf Log'!$B$2:$B$70=$B161)*
      ('Golf Log'!$C$2:$C$70=$C161),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Log'!$E$2:$V$70,
    MATCH(1,
      ('Putt Log'!$A$2:$A$70=$A161)*
      ('Putt Log'!$B$2:$B$70=$B161)*
      ('Putt Log'!$C$2:$C$70=$C161),
    0),
    MATCH($G161,'Putt Log'!$E$1:$V$1,0)
  ),
"")</f>
        <v>1</v>
      </c>
      <c r="P161" cm="1">
        <f t="array" ref="P161">IF(K161=3,"",
  IFERROR(
    INDEX('Fairway Log'!$E$2:$V$70,
      MATCH(1,
        ('Fairway Log'!$A$2:$A$70=$A161)*
        ('Fairway Log'!$B$2:$B$70=$B161)*
        ('Fairway Log'!$C$2:$C232=$C161),
      0),
      MATCH($G161,'Fairway Log'!$E$1:$V$1,0)
    ),
  "")
)</f>
        <v>1</v>
      </c>
      <c r="Q161" cm="1">
        <f t="array" ref="Q161">IFERROR(
  INDEX('GIR Log'!$E$2:$V$70,
    MATCH(1,
      ('GIR Log'!$A$2:$A$70=$A161)*
      ('GIR Log'!$B$2:$B$70=$B161)*
      ('GIR Log'!$C$2:$C$70=$C161),
    0),
    MATCH($G161,'GIR Log'!$E$1:$V$1,0)
  ),
"")</f>
        <v>0</v>
      </c>
    </row>
    <row r="162" spans="1:17" x14ac:dyDescent="0.25">
      <c r="A162" s="20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Log'!$E$2:$V$70,
    MATCH(1,
      ('Golf Log'!$A$2:$A$70=$A162)*
      ('Golf Log'!$B$2:$B$70=$B162)*
      ('Golf Log'!$C$2:$C$70=$C162),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Log'!$E$2:$V$70,
    MATCH(1,
      ('Putt Log'!$A$2:$A$70=$A162)*
      ('Putt Log'!$B$2:$B$70=$B162)*
      ('Putt Log'!$C$2:$C$70=$C162),
    0),
    MATCH($G162,'Putt Log'!$E$1:$V$1,0)
  ),
"")</f>
        <v>2</v>
      </c>
      <c r="P162" cm="1">
        <f t="array" ref="P162">IF(K162=3,"",
  IFERROR(
    INDEX('Fairway Log'!$E$2:$V$70,
      MATCH(1,
        ('Fairway Log'!$A$2:$A$70=$A162)*
        ('Fairway Log'!$B$2:$B$70=$B162)*
        ('Fairway Log'!$C$2:$C233=$C162),
      0),
      MATCH($G162,'Fairway Log'!$E$1:$V$1,0)
    ),
  "")
)</f>
        <v>1</v>
      </c>
      <c r="Q162" cm="1">
        <f t="array" ref="Q162">IFERROR(
  INDEX('GIR Log'!$E$2:$V$70,
    MATCH(1,
      ('GIR Log'!$A$2:$A$70=$A162)*
      ('GIR Log'!$B$2:$B$70=$B162)*
      ('GIR Log'!$C$2:$C$70=$C162),
    0),
    MATCH($G162,'GIR Log'!$E$1:$V$1,0)
  ),
"")</f>
        <v>0</v>
      </c>
    </row>
    <row r="163" spans="1:17" x14ac:dyDescent="0.25">
      <c r="A163" s="20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Log'!$E$2:$V$70,
    MATCH(1,
      ('Golf Log'!$A$2:$A$70=$A163)*
      ('Golf Log'!$B$2:$B$70=$B163)*
      ('Golf Log'!$C$2:$C$70=$C163),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Log'!$E$2:$V$70,
    MATCH(1,
      ('Putt Log'!$A$2:$A$70=$A163)*
      ('Putt Log'!$B$2:$B$70=$B163)*
      ('Putt Log'!$C$2:$C$70=$C163),
    0),
    MATCH($G163,'Putt Log'!$E$1:$V$1,0)
  ),
"")</f>
        <v>2</v>
      </c>
      <c r="P163" t="str" cm="1">
        <f t="array" ref="P163">IF(K163=3,"",
  IFERROR(
    INDEX('Fairway Log'!$E$2:$V$70,
      MATCH(1,
        ('Fairway Log'!$A$2:$A$70=$A163)*
        ('Fairway Log'!$B$2:$B$70=$B163)*
        ('Fairway Log'!$C$2:$C234=$C163),
      0),
      MATCH($G163,'Fairway Log'!$E$1:$V$1,0)
    ),
  "")
)</f>
        <v>→</v>
      </c>
      <c r="Q163" cm="1">
        <f t="array" ref="Q163">IFERROR(
  INDEX('GIR Log'!$E$2:$V$70,
    MATCH(1,
      ('GIR Log'!$A$2:$A$70=$A163)*
      ('GIR Log'!$B$2:$B$70=$B163)*
      ('GIR Log'!$C$2:$C$70=$C163),
    0),
    MATCH($G163,'GIR Log'!$E$1:$V$1,0)
  ),
"")</f>
        <v>0</v>
      </c>
    </row>
    <row r="164" spans="1:17" x14ac:dyDescent="0.25">
      <c r="A164" s="20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Log'!$E$2:$V$70,
    MATCH(1,
      ('Golf Log'!$A$2:$A$70=$A164)*
      ('Golf Log'!$B$2:$B$70=$B164)*
      ('Golf Log'!$C$2:$C$70=$C164),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Log'!$E$2:$V$70,
    MATCH(1,
      ('Putt Log'!$A$2:$A$70=$A164)*
      ('Putt Log'!$B$2:$B$70=$B164)*
      ('Putt Log'!$C$2:$C$70=$C164),
    0),
    MATCH($G164,'Putt Log'!$E$1:$V$1,0)
  ),
"")</f>
        <v>1</v>
      </c>
      <c r="P164" cm="1">
        <f t="array" ref="P164">IF(K164=3,"",
  IFERROR(
    INDEX('Fairway Log'!$E$2:$V$70,
      MATCH(1,
        ('Fairway Log'!$A$2:$A$70=$A164)*
        ('Fairway Log'!$B$2:$B$70=$B164)*
        ('Fairway Log'!$C$2:$C235=$C164),
      0),
      MATCH($G164,'Fairway Log'!$E$1:$V$1,0)
    ),
  "")
)</f>
        <v>1</v>
      </c>
      <c r="Q164" cm="1">
        <f t="array" ref="Q164">IFERROR(
  INDEX('GIR Log'!$E$2:$V$70,
    MATCH(1,
      ('GIR Log'!$A$2:$A$70=$A164)*
      ('GIR Log'!$B$2:$B$70=$B164)*
      ('GIR Log'!$C$2:$C$70=$C164),
    0),
    MATCH($G164,'GIR Log'!$E$1:$V$1,0)
  ),
"")</f>
        <v>0</v>
      </c>
    </row>
    <row r="165" spans="1:17" x14ac:dyDescent="0.25">
      <c r="A165" s="20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Log'!$E$2:$V$70,
    MATCH(1,
      ('Golf Log'!$A$2:$A$70=$A165)*
      ('Golf Log'!$B$2:$B$70=$B165)*
      ('Golf Log'!$C$2:$C$70=$C165),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Log'!$E$2:$V$70,
    MATCH(1,
      ('Putt Log'!$A$2:$A$70=$A165)*
      ('Putt Log'!$B$2:$B$70=$B165)*
      ('Putt Log'!$C$2:$C$70=$C165),
    0),
    MATCH($G165,'Putt Log'!$E$1:$V$1,0)
  ),
"")</f>
        <v>1</v>
      </c>
      <c r="P165" cm="1">
        <f t="array" ref="P165">IF(K165=3,"",
  IFERROR(
    INDEX('Fairway Log'!$E$2:$V$70,
      MATCH(1,
        ('Fairway Log'!$A$2:$A$70=$A165)*
        ('Fairway Log'!$B$2:$B$70=$B165)*
        ('Fairway Log'!$C$2:$C236=$C165),
      0),
      MATCH($G165,'Fairway Log'!$E$1:$V$1,0)
    ),
  "")
)</f>
        <v>1</v>
      </c>
      <c r="Q165" cm="1">
        <f t="array" ref="Q165">IFERROR(
  INDEX('GIR Log'!$E$2:$V$70,
    MATCH(1,
      ('GIR Log'!$A$2:$A$70=$A165)*
      ('GIR Log'!$B$2:$B$70=$B165)*
      ('GIR Log'!$C$2:$C$70=$C165),
    0),
    MATCH($G165,'GIR Log'!$E$1:$V$1,0)
  ),
"")</f>
        <v>0</v>
      </c>
    </row>
    <row r="166" spans="1:17" x14ac:dyDescent="0.25">
      <c r="A166" s="20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Log'!$E$2:$V$70,
    MATCH(1,
      ('Golf Log'!$A$2:$A$70=$A166)*
      ('Golf Log'!$B$2:$B$70=$B166)*
      ('Golf Log'!$C$2:$C$70=$C166),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Log'!$E$2:$V$70,
    MATCH(1,
      ('Putt Log'!$A$2:$A$70=$A166)*
      ('Putt Log'!$B$2:$B$70=$B166)*
      ('Putt Log'!$C$2:$C$70=$C166),
    0),
    MATCH($G166,'Putt Log'!$E$1:$V$1,0)
  ),
"")</f>
        <v>2</v>
      </c>
      <c r="P166" t="str" cm="1">
        <f t="array" ref="P166">IF(K166=3,"",
  IFERROR(
    INDEX('Fairway Log'!$E$2:$V$70,
      MATCH(1,
        ('Fairway Log'!$A$2:$A$70=$A166)*
        ('Fairway Log'!$B$2:$B$70=$B166)*
        ('Fairway Log'!$C$2:$C237=$C166),
      0),
      MATCH($G166,'Fairway Log'!$E$1:$V$1,0)
    ),
  "")
)</f>
        <v/>
      </c>
      <c r="Q166" cm="1">
        <f t="array" ref="Q166">IFERROR(
  INDEX('GIR Log'!$E$2:$V$70,
    MATCH(1,
      ('GIR Log'!$A$2:$A$70=$A166)*
      ('GIR Log'!$B$2:$B$70=$B166)*
      ('GIR Log'!$C$2:$C$70=$C166),
    0),
    MATCH($G166,'GIR Log'!$E$1:$V$1,0)
  ),
"")</f>
        <v>0</v>
      </c>
    </row>
    <row r="167" spans="1:17" x14ac:dyDescent="0.25">
      <c r="A167" s="20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Log'!$E$2:$V$70,
    MATCH(1,
      ('Golf Log'!$A$2:$A$70=$A167)*
      ('Golf Log'!$B$2:$B$70=$B167)*
      ('Golf Log'!$C$2:$C$70=$C167),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Log'!$E$2:$V$70,
    MATCH(1,
      ('Putt Log'!$A$2:$A$70=$A167)*
      ('Putt Log'!$B$2:$B$70=$B167)*
      ('Putt Log'!$C$2:$C$70=$C167),
    0),
    MATCH($G167,'Putt Log'!$E$1:$V$1,0)
  ),
"")</f>
        <v>1</v>
      </c>
      <c r="P167" cm="1">
        <f t="array" ref="P167">IF(K167=3,"",
  IFERROR(
    INDEX('Fairway Log'!$E$2:$V$70,
      MATCH(1,
        ('Fairway Log'!$A$2:$A$70=$A167)*
        ('Fairway Log'!$B$2:$B$70=$B167)*
        ('Fairway Log'!$C$2:$C238=$C167),
      0),
      MATCH($G167,'Fairway Log'!$E$1:$V$1,0)
    ),
  "")
)</f>
        <v>1</v>
      </c>
      <c r="Q167" cm="1">
        <f t="array" ref="Q167">IFERROR(
  INDEX('GIR Log'!$E$2:$V$70,
    MATCH(1,
      ('GIR Log'!$A$2:$A$70=$A167)*
      ('GIR Log'!$B$2:$B$70=$B167)*
      ('GIR Log'!$C$2:$C$70=$C167),
    0),
    MATCH($G167,'GIR Log'!$E$1:$V$1,0)
  ),
"")</f>
        <v>1</v>
      </c>
    </row>
    <row r="168" spans="1:17" x14ac:dyDescent="0.25">
      <c r="A168" s="20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Log'!$E$2:$V$70,
    MATCH(1,
      ('Golf Log'!$A$2:$A$70=$A168)*
      ('Golf Log'!$B$2:$B$70=$B168)*
      ('Golf Log'!$C$2:$C$70=$C168),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Log'!$E$2:$V$70,
    MATCH(1,
      ('Putt Log'!$A$2:$A$70=$A168)*
      ('Putt Log'!$B$2:$B$70=$B168)*
      ('Putt Log'!$C$2:$C$70=$C168),
    0),
    MATCH($G168,'Putt Log'!$E$1:$V$1,0)
  ),
"")</f>
        <v>2</v>
      </c>
      <c r="P168" t="str" cm="1">
        <f t="array" ref="P168">IF(K168=3,"",
  IFERROR(
    INDEX('Fairway Log'!$E$2:$V$70,
      MATCH(1,
        ('Fairway Log'!$A$2:$A$70=$A168)*
        ('Fairway Log'!$B$2:$B$70=$B168)*
        ('Fairway Log'!$C$2:$C239=$C168),
      0),
      MATCH($G168,'Fairway Log'!$E$1:$V$1,0)
    ),
  "")
)</f>
        <v/>
      </c>
      <c r="Q168" cm="1">
        <f t="array" ref="Q168">IFERROR(
  INDEX('GIR Log'!$E$2:$V$70,
    MATCH(1,
      ('GIR Log'!$A$2:$A$70=$A168)*
      ('GIR Log'!$B$2:$B$70=$B168)*
      ('GIR Log'!$C$2:$C$70=$C168),
    0),
    MATCH($G168,'GIR Log'!$E$1:$V$1,0)
  ),
"")</f>
        <v>0</v>
      </c>
    </row>
    <row r="169" spans="1:17" x14ac:dyDescent="0.25">
      <c r="A169" s="20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Log'!$E$2:$V$70,
    MATCH(1,
      ('Golf Log'!$A$2:$A$70=$A169)*
      ('Golf Log'!$B$2:$B$70=$B169)*
      ('Golf Log'!$C$2:$C$70=$C169),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Log'!$E$2:$V$70,
    MATCH(1,
      ('Putt Log'!$A$2:$A$70=$A169)*
      ('Putt Log'!$B$2:$B$70=$B169)*
      ('Putt Log'!$C$2:$C$70=$C169),
    0),
    MATCH($G169,'Putt Log'!$E$1:$V$1,0)
  ),
"")</f>
        <v>2</v>
      </c>
      <c r="P169" t="str" cm="1">
        <f t="array" ref="P169">IF(K169=3,"",
  IFERROR(
    INDEX('Fairway Log'!$E$2:$V$70,
      MATCH(1,
        ('Fairway Log'!$A$2:$A$70=$A169)*
        ('Fairway Log'!$B$2:$B$70=$B169)*
        ('Fairway Log'!$C$2:$C240=$C169),
      0),
      MATCH($G169,'Fairway Log'!$E$1:$V$1,0)
    ),
  "")
)</f>
        <v>→</v>
      </c>
      <c r="Q169" cm="1">
        <f t="array" ref="Q169">IFERROR(
  INDEX('GIR Log'!$E$2:$V$70,
    MATCH(1,
      ('GIR Log'!$A$2:$A$70=$A169)*
      ('GIR Log'!$B$2:$B$70=$B169)*
      ('GIR Log'!$C$2:$C$70=$C169),
    0),
    MATCH($G169,'GIR Log'!$E$1:$V$1,0)
  ),
"")</f>
        <v>0</v>
      </c>
    </row>
    <row r="170" spans="1:17" x14ac:dyDescent="0.25">
      <c r="A170" s="20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Log'!$E$2:$V$70,
    MATCH(1,
      ('Golf Log'!$A$2:$A$70=$A170)*
      ('Golf Log'!$B$2:$B$70=$B170)*
      ('Golf Log'!$C$2:$C$70=$C170),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Log'!$E$2:$V$70,
    MATCH(1,
      ('Putt Log'!$A$2:$A$70=$A170)*
      ('Putt Log'!$B$2:$B$70=$B170)*
      ('Putt Log'!$C$2:$C$70=$C170),
    0),
    MATCH($G170,'Putt Log'!$E$1:$V$1,0)
  ),
"")</f>
        <v>2</v>
      </c>
      <c r="P170" t="str" cm="1">
        <f t="array" ref="P170">IF(K170=3,"",
  IFERROR(
    INDEX('Fairway Log'!$E$2:$V$70,
      MATCH(1,
        ('Fairway Log'!$A$2:$A$70=$A170)*
        ('Fairway Log'!$B$2:$B$70=$B170)*
        ('Fairway Log'!$C$2:$C241=$C170),
      0),
      MATCH($G170,'Fairway Log'!$E$1:$V$1,0)
    ),
  "")
)</f>
        <v>→</v>
      </c>
      <c r="Q170" cm="1">
        <f t="array" ref="Q170">IFERROR(
  INDEX('GIR Log'!$E$2:$V$70,
    MATCH(1,
      ('GIR Log'!$A$2:$A$70=$A170)*
      ('GIR Log'!$B$2:$B$70=$B170)*
      ('GIR Log'!$C$2:$C$70=$C170),
    0),
    MATCH($G170,'GIR Log'!$E$1:$V$1,0)
  ),
"")</f>
        <v>0</v>
      </c>
    </row>
    <row r="171" spans="1:17" x14ac:dyDescent="0.25">
      <c r="A171" s="20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Log'!$E$2:$V$70,
    MATCH(1,
      ('Golf Log'!$A$2:$A$70=$A171)*
      ('Golf Log'!$B$2:$B$70=$B171)*
      ('Golf Log'!$C$2:$C$70=$C171),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Log'!$E$2:$V$70,
    MATCH(1,
      ('Putt Log'!$A$2:$A$70=$A171)*
      ('Putt Log'!$B$2:$B$70=$B171)*
      ('Putt Log'!$C$2:$C$70=$C171),
    0),
    MATCH($G171,'Putt Log'!$E$1:$V$1,0)
  ),
"")</f>
        <v>2</v>
      </c>
      <c r="P171" t="str" cm="1">
        <f t="array" ref="P171">IF(K171=3,"",
  IFERROR(
    INDEX('Fairway Log'!$E$2:$V$70,
      MATCH(1,
        ('Fairway Log'!$A$2:$A$70=$A171)*
        ('Fairway Log'!$B$2:$B$70=$B171)*
        ('Fairway Log'!$C$2:$C242=$C171),
      0),
      MATCH($G171,'Fairway Log'!$E$1:$V$1,0)
    ),
  "")
)</f>
        <v>→</v>
      </c>
      <c r="Q171" cm="1">
        <f t="array" ref="Q171">IFERROR(
  INDEX('GIR Log'!$E$2:$V$70,
    MATCH(1,
      ('GIR Log'!$A$2:$A$70=$A171)*
      ('GIR Log'!$B$2:$B$70=$B171)*
      ('GIR Log'!$C$2:$C$70=$C171),
    0),
    MATCH($G171,'GIR Log'!$E$1:$V$1,0)
  ),
"")</f>
        <v>0</v>
      </c>
    </row>
    <row r="172" spans="1:17" x14ac:dyDescent="0.25">
      <c r="A172" s="20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Log'!$E$2:$V$70,
    MATCH(1,
      ('Golf Log'!$A$2:$A$70=$A172)*
      ('Golf Log'!$B$2:$B$70=$B172)*
      ('Golf Log'!$C$2:$C$70=$C172),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Log'!$E$2:$V$70,
    MATCH(1,
      ('Putt Log'!$A$2:$A$70=$A172)*
      ('Putt Log'!$B$2:$B$70=$B172)*
      ('Putt Log'!$C$2:$C$70=$C172),
    0),
    MATCH($G172,'Putt Log'!$E$1:$V$1,0)
  ),
"")</f>
        <v>2</v>
      </c>
      <c r="P172" cm="1">
        <f t="array" ref="P172">IF(K172=3,"",
  IFERROR(
    INDEX('Fairway Log'!$E$2:$V$70,
      MATCH(1,
        ('Fairway Log'!$A$2:$A$70=$A172)*
        ('Fairway Log'!$B$2:$B$70=$B172)*
        ('Fairway Log'!$C$2:$C243=$C172),
      0),
      MATCH($G172,'Fairway Log'!$E$1:$V$1,0)
    ),
  "")
)</f>
        <v>1</v>
      </c>
      <c r="Q172" cm="1">
        <f t="array" ref="Q172">IFERROR(
  INDEX('GIR Log'!$E$2:$V$70,
    MATCH(1,
      ('GIR Log'!$A$2:$A$70=$A172)*
      ('GIR Log'!$B$2:$B$70=$B172)*
      ('GIR Log'!$C$2:$C$70=$C172),
    0),
    MATCH($G172,'GIR Log'!$E$1:$V$1,0)
  ),
"")</f>
        <v>1</v>
      </c>
    </row>
    <row r="173" spans="1:17" x14ac:dyDescent="0.25">
      <c r="A173" s="20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Log'!$E$2:$V$70,
    MATCH(1,
      ('Golf Log'!$A$2:$A$70=$A173)*
      ('Golf Log'!$B$2:$B$70=$B173)*
      ('Golf Log'!$C$2:$C$70=$C173),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Log'!$E$2:$V$70,
    MATCH(1,
      ('Putt Log'!$A$2:$A$70=$A173)*
      ('Putt Log'!$B$2:$B$70=$B173)*
      ('Putt Log'!$C$2:$C$70=$C173),
    0),
    MATCH($G173,'Putt Log'!$E$1:$V$1,0)
  ),
"")</f>
        <v>2</v>
      </c>
      <c r="P173" t="str" cm="1">
        <f t="array" ref="P173">IF(K173=3,"",
  IFERROR(
    INDEX('Fairway Log'!$E$2:$V$70,
      MATCH(1,
        ('Fairway Log'!$A$2:$A$70=$A173)*
        ('Fairway Log'!$B$2:$B$70=$B173)*
        ('Fairway Log'!$C$2:$C244=$C173),
      0),
      MATCH($G173,'Fairway Log'!$E$1:$V$1,0)
    ),
  "")
)</f>
        <v>←</v>
      </c>
      <c r="Q173" cm="1">
        <f t="array" ref="Q173">IFERROR(
  INDEX('GIR Log'!$E$2:$V$70,
    MATCH(1,
      ('GIR Log'!$A$2:$A$70=$A173)*
      ('GIR Log'!$B$2:$B$70=$B173)*
      ('GIR Log'!$C$2:$C$70=$C173),
    0),
    MATCH($G173,'GIR Log'!$E$1:$V$1,0)
  ),
"")</f>
        <v>0</v>
      </c>
    </row>
    <row r="174" spans="1:17" x14ac:dyDescent="0.25">
      <c r="A174" s="20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Log'!$E$2:$V$70,
    MATCH(1,
      ('Golf Log'!$A$2:$A$70=$A174)*
      ('Golf Log'!$B$2:$B$70=$B174)*
      ('Golf Log'!$C$2:$C$70=$C174),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Log'!$E$2:$V$70,
    MATCH(1,
      ('Putt Log'!$A$2:$A$70=$A174)*
      ('Putt Log'!$B$2:$B$70=$B174)*
      ('Putt Log'!$C$2:$C$70=$C174),
    0),
    MATCH($G174,'Putt Log'!$E$1:$V$1,0)
  ),
"")</f>
        <v>1</v>
      </c>
      <c r="P174" t="str" cm="1">
        <f t="array" ref="P174">IF(K174=3,"",
  IFERROR(
    INDEX('Fairway Log'!$E$2:$V$70,
      MATCH(1,
        ('Fairway Log'!$A$2:$A$70=$A174)*
        ('Fairway Log'!$B$2:$B$70=$B174)*
        ('Fairway Log'!$C$2:$C245=$C174),
      0),
      MATCH($G174,'Fairway Log'!$E$1:$V$1,0)
    ),
  "")
)</f>
        <v>←</v>
      </c>
      <c r="Q174" cm="1">
        <f t="array" ref="Q174">IFERROR(
  INDEX('GIR Log'!$E$2:$V$70,
    MATCH(1,
      ('GIR Log'!$A$2:$A$70=$A174)*
      ('GIR Log'!$B$2:$B$70=$B174)*
      ('GIR Log'!$C$2:$C$70=$C174),
    0),
    MATCH($G174,'GIR Log'!$E$1:$V$1,0)
  ),
"")</f>
        <v>0</v>
      </c>
    </row>
    <row r="175" spans="1:17" x14ac:dyDescent="0.25">
      <c r="A175" s="20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Log'!$E$2:$V$70,
    MATCH(1,
      ('Golf Log'!$A$2:$A$70=$A175)*
      ('Golf Log'!$B$2:$B$70=$B175)*
      ('Golf Log'!$C$2:$C$70=$C175),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Log'!$E$2:$V$70,
    MATCH(1,
      ('Putt Log'!$A$2:$A$70=$A175)*
      ('Putt Log'!$B$2:$B$70=$B175)*
      ('Putt Log'!$C$2:$C$70=$C175),
    0),
    MATCH($G175,'Putt Log'!$E$1:$V$1,0)
  ),
"")</f>
        <v>2</v>
      </c>
      <c r="P175" cm="1">
        <f t="array" ref="P175">IF(K175=3,"",
  IFERROR(
    INDEX('Fairway Log'!$E$2:$V$70,
      MATCH(1,
        ('Fairway Log'!$A$2:$A$70=$A175)*
        ('Fairway Log'!$B$2:$B$70=$B175)*
        ('Fairway Log'!$C$2:$C246=$C175),
      0),
      MATCH($G175,'Fairway Log'!$E$1:$V$1,0)
    ),
  "")
)</f>
        <v>1</v>
      </c>
      <c r="Q175" cm="1">
        <f t="array" ref="Q175">IFERROR(
  INDEX('GIR Log'!$E$2:$V$70,
    MATCH(1,
      ('GIR Log'!$A$2:$A$70=$A175)*
      ('GIR Log'!$B$2:$B$70=$B175)*
      ('GIR Log'!$C$2:$C$70=$C175),
    0),
    MATCH($G175,'GIR Log'!$E$1:$V$1,0)
  ),
"")</f>
        <v>0</v>
      </c>
    </row>
    <row r="176" spans="1:17" x14ac:dyDescent="0.25">
      <c r="A176" s="20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Log'!$E$2:$V$70,
    MATCH(1,
      ('Golf Log'!$A$2:$A$70=$A176)*
      ('Golf Log'!$B$2:$B$70=$B176)*
      ('Golf Log'!$C$2:$C$70=$C176),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Log'!$E$2:$V$70,
    MATCH(1,
      ('Putt Log'!$A$2:$A$70=$A176)*
      ('Putt Log'!$B$2:$B$70=$B176)*
      ('Putt Log'!$C$2:$C$70=$C176),
    0),
    MATCH($G176,'Putt Log'!$E$1:$V$1,0)
  ),
"")</f>
        <v>1</v>
      </c>
      <c r="P176" cm="1">
        <f t="array" ref="P176">IF(K176=3,"",
  IFERROR(
    INDEX('Fairway Log'!$E$2:$V$70,
      MATCH(1,
        ('Fairway Log'!$A$2:$A$70=$A176)*
        ('Fairway Log'!$B$2:$B$70=$B176)*
        ('Fairway Log'!$C$2:$C247=$C176),
      0),
      MATCH($G176,'Fairway Log'!$E$1:$V$1,0)
    ),
  "")
)</f>
        <v>1</v>
      </c>
      <c r="Q176" cm="1">
        <f t="array" ref="Q176">IFERROR(
  INDEX('GIR Log'!$E$2:$V$70,
    MATCH(1,
      ('GIR Log'!$A$2:$A$70=$A176)*
      ('GIR Log'!$B$2:$B$70=$B176)*
      ('GIR Log'!$C$2:$C$70=$C176),
    0),
    MATCH($G176,'GIR Log'!$E$1:$V$1,0)
  ),
"")</f>
        <v>1</v>
      </c>
    </row>
    <row r="177" spans="1:17" x14ac:dyDescent="0.25">
      <c r="A177" s="20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Log'!$E$2:$V$70,
    MATCH(1,
      ('Golf Log'!$A$2:$A$70=$A177)*
      ('Golf Log'!$B$2:$B$70=$B177)*
      ('Golf Log'!$C$2:$C$70=$C177),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Log'!$E$2:$V$70,
    MATCH(1,
      ('Putt Log'!$A$2:$A$70=$A177)*
      ('Putt Log'!$B$2:$B$70=$B177)*
      ('Putt Log'!$C$2:$C$70=$C177),
    0),
    MATCH($G177,'Putt Log'!$E$1:$V$1,0)
  ),
"")</f>
        <v>1</v>
      </c>
      <c r="P177" t="str" cm="1">
        <f t="array" ref="P177">IF(K177=3,"",
  IFERROR(
    INDEX('Fairway Log'!$E$2:$V$70,
      MATCH(1,
        ('Fairway Log'!$A$2:$A$70=$A177)*
        ('Fairway Log'!$B$2:$B$70=$B177)*
        ('Fairway Log'!$C$2:$C248=$C177),
      0),
      MATCH($G177,'Fairway Log'!$E$1:$V$1,0)
    ),
  "")
)</f>
        <v/>
      </c>
      <c r="Q177" cm="1">
        <f t="array" ref="Q177">IFERROR(
  INDEX('GIR Log'!$E$2:$V$70,
    MATCH(1,
      ('GIR Log'!$A$2:$A$70=$A177)*
      ('GIR Log'!$B$2:$B$70=$B177)*
      ('GIR Log'!$C$2:$C$70=$C177),
    0),
    MATCH($G177,'GIR Log'!$E$1:$V$1,0)
  ),
"")</f>
        <v>0</v>
      </c>
    </row>
    <row r="178" spans="1:17" x14ac:dyDescent="0.25">
      <c r="A178" s="20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Log'!$E$2:$V$70,
    MATCH(1,
      ('Golf Log'!$A$2:$A$70=$A178)*
      ('Golf Log'!$B$2:$B$70=$B178)*
      ('Golf Log'!$C$2:$C$70=$C178),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Log'!$E$2:$V$70,
    MATCH(1,
      ('Putt Log'!$A$2:$A$70=$A178)*
      ('Putt Log'!$B$2:$B$70=$B178)*
      ('Putt Log'!$C$2:$C$70=$C178),
    0),
    MATCH($G178,'Putt Log'!$E$1:$V$1,0)
  ),
"")</f>
        <v>1</v>
      </c>
      <c r="P178" t="str" cm="1">
        <f t="array" ref="P178">IF(K178=3,"",
  IFERROR(
    INDEX('Fairway Log'!$E$2:$V$70,
      MATCH(1,
        ('Fairway Log'!$A$2:$A$70=$A178)*
        ('Fairway Log'!$B$2:$B$70=$B178)*
        ('Fairway Log'!$C$2:$C249=$C178),
      0),
      MATCH($G178,'Fairway Log'!$E$1:$V$1,0)
    ),
  "")
)</f>
        <v>→</v>
      </c>
      <c r="Q178" cm="1">
        <f t="array" ref="Q178">IFERROR(
  INDEX('GIR Log'!$E$2:$V$70,
    MATCH(1,
      ('GIR Log'!$A$2:$A$70=$A178)*
      ('GIR Log'!$B$2:$B$70=$B178)*
      ('GIR Log'!$C$2:$C$70=$C178),
    0),
    MATCH($G178,'GIR Log'!$E$1:$V$1,0)
  ),
"")</f>
        <v>0</v>
      </c>
    </row>
    <row r="179" spans="1:17" x14ac:dyDescent="0.25">
      <c r="A179" s="20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Log'!$E$2:$V$70,
    MATCH(1,
      ('Golf Log'!$A$2:$A$70=$A179)*
      ('Golf Log'!$B$2:$B$70=$B179)*
      ('Golf Log'!$C$2:$C$70=$C179),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Log'!$E$2:$V$70,
    MATCH(1,
      ('Putt Log'!$A$2:$A$70=$A179)*
      ('Putt Log'!$B$2:$B$70=$B179)*
      ('Putt Log'!$C$2:$C$70=$C179),
    0),
    MATCH($G179,'Putt Log'!$E$1:$V$1,0)
  ),
"")</f>
        <v>1</v>
      </c>
      <c r="P179" cm="1">
        <f t="array" ref="P179">IF(K179=3,"",
  IFERROR(
    INDEX('Fairway Log'!$E$2:$V$70,
      MATCH(1,
        ('Fairway Log'!$A$2:$A$70=$A179)*
        ('Fairway Log'!$B$2:$B$70=$B179)*
        ('Fairway Log'!$C$2:$C250=$C179),
      0),
      MATCH($G179,'Fairway Log'!$E$1:$V$1,0)
    ),
  "")
)</f>
        <v>1</v>
      </c>
      <c r="Q179" cm="1">
        <f t="array" ref="Q179">IFERROR(
  INDEX('GIR Log'!$E$2:$V$70,
    MATCH(1,
      ('GIR Log'!$A$2:$A$70=$A179)*
      ('GIR Log'!$B$2:$B$70=$B179)*
      ('GIR Log'!$C$2:$C$70=$C179),
    0),
    MATCH($G179,'GIR Log'!$E$1:$V$1,0)
  ),
"")</f>
        <v>0</v>
      </c>
    </row>
    <row r="180" spans="1:17" x14ac:dyDescent="0.25">
      <c r="A180" s="20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Log'!$E$2:$V$70,
    MATCH(1,
      ('Golf Log'!$A$2:$A$70=$A180)*
      ('Golf Log'!$B$2:$B$70=$B180)*
      ('Golf Log'!$C$2:$C$70=$C180),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Log'!$E$2:$V$70,
    MATCH(1,
      ('Putt Log'!$A$2:$A$70=$A180)*
      ('Putt Log'!$B$2:$B$70=$B180)*
      ('Putt Log'!$C$2:$C$70=$C180),
    0),
    MATCH($G180,'Putt Log'!$E$1:$V$1,0)
  ),
"")</f>
        <v>1</v>
      </c>
      <c r="P180" cm="1">
        <f t="array" ref="P180">IF(K180=3,"",
  IFERROR(
    INDEX('Fairway Log'!$E$2:$V$70,
      MATCH(1,
        ('Fairway Log'!$A$2:$A$70=$A180)*
        ('Fairway Log'!$B$2:$B$70=$B180)*
        ('Fairway Log'!$C$2:$C251=$C180),
      0),
      MATCH($G180,'Fairway Log'!$E$1:$V$1,0)
    ),
  "")
)</f>
        <v>1</v>
      </c>
      <c r="Q180" cm="1">
        <f t="array" ref="Q180">IFERROR(
  INDEX('GIR Log'!$E$2:$V$70,
    MATCH(1,
      ('GIR Log'!$A$2:$A$70=$A180)*
      ('GIR Log'!$B$2:$B$70=$B180)*
      ('GIR Log'!$C$2:$C$70=$C180),
    0),
    MATCH($G180,'GIR Log'!$E$1:$V$1,0)
  ),
"")</f>
        <v>0</v>
      </c>
    </row>
    <row r="181" spans="1:17" x14ac:dyDescent="0.25">
      <c r="A181" s="20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Log'!$E$2:$V$70,
    MATCH(1,
      ('Golf Log'!$A$2:$A$70=$A181)*
      ('Golf Log'!$B$2:$B$70=$B181)*
      ('Golf Log'!$C$2:$C$70=$C181),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Log'!$E$2:$V$70,
    MATCH(1,
      ('Putt Log'!$A$2:$A$70=$A181)*
      ('Putt Log'!$B$2:$B$70=$B181)*
      ('Putt Log'!$C$2:$C$70=$C181),
    0),
    MATCH($G181,'Putt Log'!$E$1:$V$1,0)
  ),
"")</f>
        <v>2</v>
      </c>
      <c r="P181" cm="1">
        <f t="array" ref="P181">IF(K181=3,"",
  IFERROR(
    INDEX('Fairway Log'!$E$2:$V$70,
      MATCH(1,
        ('Fairway Log'!$A$2:$A$70=$A181)*
        ('Fairway Log'!$B$2:$B$70=$B181)*
        ('Fairway Log'!$C$2:$C252=$C181),
      0),
      MATCH($G181,'Fairway Log'!$E$1:$V$1,0)
    ),
  "")
)</f>
        <v>1</v>
      </c>
      <c r="Q181" cm="1">
        <f t="array" ref="Q181">IFERROR(
  INDEX('GIR Log'!$E$2:$V$70,
    MATCH(1,
      ('GIR Log'!$A$2:$A$70=$A181)*
      ('GIR Log'!$B$2:$B$70=$B181)*
      ('GIR Log'!$C$2:$C$70=$C181),
    0),
    MATCH($G181,'GIR Log'!$E$1:$V$1,0)
  ),
"")</f>
        <v>0</v>
      </c>
    </row>
    <row r="182" spans="1:17" x14ac:dyDescent="0.25">
      <c r="A182" s="20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Log'!$E$2:$V$70,
    MATCH(1,
      ('Golf Log'!$A$2:$A$70=$A182)*
      ('Golf Log'!$B$2:$B$70=$B182)*
      ('Golf Log'!$C$2:$C$70=$C182),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Log'!$E$2:$V$70,
    MATCH(1,
      ('Putt Log'!$A$2:$A$70=$A182)*
      ('Putt Log'!$B$2:$B$70=$B182)*
      ('Putt Log'!$C$2:$C$70=$C182),
    0),
    MATCH($G182,'Putt Log'!$E$1:$V$1,0)
  ),
"")</f>
        <v>2</v>
      </c>
      <c r="P182" cm="1">
        <f t="array" ref="P182">IF(K182=3,"",
  IFERROR(
    INDEX('Fairway Log'!$E$2:$V$70,
      MATCH(1,
        ('Fairway Log'!$A$2:$A$70=$A182)*
        ('Fairway Log'!$B$2:$B$70=$B182)*
        ('Fairway Log'!$C$2:$C253=$C182),
      0),
      MATCH($G182,'Fairway Log'!$E$1:$V$1,0)
    ),
  "")
)</f>
        <v>1</v>
      </c>
      <c r="Q182" t="str" cm="1">
        <f t="array" ref="Q182">IFERROR(
  INDEX('GIR Log'!$E$2:$V$70,
    MATCH(1,
      ('GIR Log'!$A$2:$A$70=$A182)*
      ('GIR Log'!$B$2:$B$70=$B182)*
      ('GIR Log'!$C$2:$C$70=$C182),
    0),
    MATCH($G182,'GIR Log'!$E$1:$V$1,0)
  ),
"")</f>
        <v>↓</v>
      </c>
    </row>
    <row r="183" spans="1:17" x14ac:dyDescent="0.25">
      <c r="A183" s="20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Log'!$E$2:$V$70,
    MATCH(1,
      ('Golf Log'!$A$2:$A$70=$A183)*
      ('Golf Log'!$B$2:$B$70=$B183)*
      ('Golf Log'!$C$2:$C$70=$C183),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Log'!$E$2:$V$70,
    MATCH(1,
      ('Putt Log'!$A$2:$A$70=$A183)*
      ('Putt Log'!$B$2:$B$70=$B183)*
      ('Putt Log'!$C$2:$C$70=$C183),
    0),
    MATCH($G183,'Putt Log'!$E$1:$V$1,0)
  ),
"")</f>
        <v>2</v>
      </c>
      <c r="P183" t="str" cm="1">
        <f t="array" ref="P183">IF(K183=3,"",
  IFERROR(
    INDEX('Fairway Log'!$E$2:$V$70,
      MATCH(1,
        ('Fairway Log'!$A$2:$A$70=$A183)*
        ('Fairway Log'!$B$2:$B$70=$B183)*
        ('Fairway Log'!$C$2:$C254=$C183),
      0),
      MATCH($G183,'Fairway Log'!$E$1:$V$1,0)
    ),
  "")
)</f>
        <v>→</v>
      </c>
      <c r="Q183" cm="1">
        <f t="array" ref="Q183">IFERROR(
  INDEX('GIR Log'!$E$2:$V$70,
    MATCH(1,
      ('GIR Log'!$A$2:$A$70=$A183)*
      ('GIR Log'!$B$2:$B$70=$B183)*
      ('GIR Log'!$C$2:$C$70=$C183),
    0),
    MATCH($G183,'GIR Log'!$E$1:$V$1,0)
  ),
"")</f>
        <v>1</v>
      </c>
    </row>
    <row r="184" spans="1:17" x14ac:dyDescent="0.25">
      <c r="A184" s="20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Log'!$E$2:$V$70,
    MATCH(1,
      ('Golf Log'!$A$2:$A$70=$A184)*
      ('Golf Log'!$B$2:$B$70=$B184)*
      ('Golf Log'!$C$2:$C$70=$C184),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Log'!$E$2:$V$70,
    MATCH(1,
      ('Putt Log'!$A$2:$A$70=$A184)*
      ('Putt Log'!$B$2:$B$70=$B184)*
      ('Putt Log'!$C$2:$C$70=$C184),
    0),
    MATCH($G184,'Putt Log'!$E$1:$V$1,0)
  ),
"")</f>
        <v>2</v>
      </c>
      <c r="P184" t="str" cm="1">
        <f t="array" ref="P184">IF(K184=3,"",
  IFERROR(
    INDEX('Fairway Log'!$E$2:$V$70,
      MATCH(1,
        ('Fairway Log'!$A$2:$A$70=$A184)*
        ('Fairway Log'!$B$2:$B$70=$B184)*
        ('Fairway Log'!$C$2:$C255=$C184),
      0),
      MATCH($G184,'Fairway Log'!$E$1:$V$1,0)
    ),
  "")
)</f>
        <v/>
      </c>
      <c r="Q184" t="str" cm="1">
        <f t="array" ref="Q184">IFERROR(
  INDEX('GIR Log'!$E$2:$V$70,
    MATCH(1,
      ('GIR Log'!$A$2:$A$70=$A184)*
      ('GIR Log'!$B$2:$B$70=$B184)*
      ('GIR Log'!$C$2:$C$70=$C184),
    0),
    MATCH($G184,'GIR Log'!$E$1:$V$1,0)
  ),
"")</f>
        <v>→</v>
      </c>
    </row>
    <row r="185" spans="1:17" x14ac:dyDescent="0.25">
      <c r="A185" s="20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Log'!$E$2:$V$70,
    MATCH(1,
      ('Golf Log'!$A$2:$A$70=$A185)*
      ('Golf Log'!$B$2:$B$70=$B185)*
      ('Golf Log'!$C$2:$C$70=$C185),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Log'!$E$2:$V$70,
    MATCH(1,
      ('Putt Log'!$A$2:$A$70=$A185)*
      ('Putt Log'!$B$2:$B$70=$B185)*
      ('Putt Log'!$C$2:$C$70=$C185),
    0),
    MATCH($G185,'Putt Log'!$E$1:$V$1,0)
  ),
"")</f>
        <v>2</v>
      </c>
      <c r="P185" cm="1">
        <f t="array" ref="P185">IF(K185=3,"",
  IFERROR(
    INDEX('Fairway Log'!$E$2:$V$70,
      MATCH(1,
        ('Fairway Log'!$A$2:$A$70=$A185)*
        ('Fairway Log'!$B$2:$B$70=$B185)*
        ('Fairway Log'!$C$2:$C256=$C185),
      0),
      MATCH($G185,'Fairway Log'!$E$1:$V$1,0)
    ),
  "")
)</f>
        <v>1</v>
      </c>
      <c r="Q185" cm="1">
        <f t="array" ref="Q185">IFERROR(
  INDEX('GIR Log'!$E$2:$V$70,
    MATCH(1,
      ('GIR Log'!$A$2:$A$70=$A185)*
      ('GIR Log'!$B$2:$B$70=$B185)*
      ('GIR Log'!$C$2:$C$70=$C185),
    0),
    MATCH($G185,'GIR Log'!$E$1:$V$1,0)
  ),
"")</f>
        <v>1</v>
      </c>
    </row>
    <row r="186" spans="1:17" x14ac:dyDescent="0.25">
      <c r="A186" s="20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Log'!$E$2:$V$70,
    MATCH(1,
      ('Golf Log'!$A$2:$A$70=$A186)*
      ('Golf Log'!$B$2:$B$70=$B186)*
      ('Golf Log'!$C$2:$C$70=$C186),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Log'!$E$2:$V$70,
    MATCH(1,
      ('Putt Log'!$A$2:$A$70=$A186)*
      ('Putt Log'!$B$2:$B$70=$B186)*
      ('Putt Log'!$C$2:$C$70=$C186),
    0),
    MATCH($G186,'Putt Log'!$E$1:$V$1,0)
  ),
"")</f>
        <v>1</v>
      </c>
      <c r="P186" t="str" cm="1">
        <f t="array" ref="P186">IF(K186=3,"",
  IFERROR(
    INDEX('Fairway Log'!$E$2:$V$70,
      MATCH(1,
        ('Fairway Log'!$A$2:$A$70=$A186)*
        ('Fairway Log'!$B$2:$B$70=$B186)*
        ('Fairway Log'!$C$2:$C257=$C186),
      0),
      MATCH($G186,'Fairway Log'!$E$1:$V$1,0)
    ),
  "")
)</f>
        <v/>
      </c>
      <c r="Q186" t="str" cm="1">
        <f t="array" ref="Q186">IFERROR(
  INDEX('GIR Log'!$E$2:$V$70,
    MATCH(1,
      ('GIR Log'!$A$2:$A$70=$A186)*
      ('GIR Log'!$B$2:$B$70=$B186)*
      ('GIR Log'!$C$2:$C$70=$C186),
    0),
    MATCH($G186,'GIR Log'!$E$1:$V$1,0)
  ),
"")</f>
        <v>→</v>
      </c>
    </row>
    <row r="187" spans="1:17" x14ac:dyDescent="0.25">
      <c r="A187" s="20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Log'!$E$2:$V$70,
    MATCH(1,
      ('Golf Log'!$A$2:$A$70=$A187)*
      ('Golf Log'!$B$2:$B$70=$B187)*
      ('Golf Log'!$C$2:$C$70=$C187),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Log'!$E$2:$V$70,
    MATCH(1,
      ('Putt Log'!$A$2:$A$70=$A187)*
      ('Putt Log'!$B$2:$B$70=$B187)*
      ('Putt Log'!$C$2:$C$70=$C187),
    0),
    MATCH($G187,'Putt Log'!$E$1:$V$1,0)
  ),
"")</f>
        <v>1</v>
      </c>
      <c r="P187" t="str" cm="1">
        <f t="array" ref="P187">IF(K187=3,"",
  IFERROR(
    INDEX('Fairway Log'!$E$2:$V$70,
      MATCH(1,
        ('Fairway Log'!$A$2:$A$70=$A187)*
        ('Fairway Log'!$B$2:$B$70=$B187)*
        ('Fairway Log'!$C$2:$C258=$C187),
      0),
      MATCH($G187,'Fairway Log'!$E$1:$V$1,0)
    ),
  "")
)</f>
        <v>←</v>
      </c>
      <c r="Q187" t="str" cm="1">
        <f t="array" ref="Q187">IFERROR(
  INDEX('GIR Log'!$E$2:$V$70,
    MATCH(1,
      ('GIR Log'!$A$2:$A$70=$A187)*
      ('GIR Log'!$B$2:$B$70=$B187)*
      ('GIR Log'!$C$2:$C$70=$C187),
    0),
    MATCH($G187,'GIR Log'!$E$1:$V$1,0)
  ),
"")</f>
        <v>↓</v>
      </c>
    </row>
    <row r="188" spans="1:17" x14ac:dyDescent="0.25">
      <c r="A188" s="20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Log'!$E$2:$V$70,
    MATCH(1,
      ('Golf Log'!$A$2:$A$70=$A188)*
      ('Golf Log'!$B$2:$B$70=$B188)*
      ('Golf Log'!$C$2:$C$70=$C188),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Log'!$E$2:$V$70,
    MATCH(1,
      ('Putt Log'!$A$2:$A$70=$A188)*
      ('Putt Log'!$B$2:$B$70=$B188)*
      ('Putt Log'!$C$2:$C$70=$C188),
    0),
    MATCH($G188,'Putt Log'!$E$1:$V$1,0)
  ),
"")</f>
        <v>1</v>
      </c>
      <c r="P188" t="str" cm="1">
        <f t="array" ref="P188">IF(K188=3,"",
  IFERROR(
    INDEX('Fairway Log'!$E$2:$V$70,
      MATCH(1,
        ('Fairway Log'!$A$2:$A$70=$A188)*
        ('Fairway Log'!$B$2:$B$70=$B188)*
        ('Fairway Log'!$C$2:$C259=$C188),
      0),
      MATCH($G188,'Fairway Log'!$E$1:$V$1,0)
    ),
  "")
)</f>
        <v>→</v>
      </c>
      <c r="Q188" t="str" cm="1">
        <f t="array" ref="Q188">IFERROR(
  INDEX('GIR Log'!$E$2:$V$70,
    MATCH(1,
      ('GIR Log'!$A$2:$A$70=$A188)*
      ('GIR Log'!$B$2:$B$70=$B188)*
      ('GIR Log'!$C$2:$C$70=$C188),
    0),
    MATCH($G188,'GIR Log'!$E$1:$V$1,0)
  ),
"")</f>
        <v>↓</v>
      </c>
    </row>
    <row r="189" spans="1:17" x14ac:dyDescent="0.25">
      <c r="A189" s="20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Log'!$E$2:$V$70,
    MATCH(1,
      ('Golf Log'!$A$2:$A$70=$A189)*
      ('Golf Log'!$B$2:$B$70=$B189)*
      ('Golf Log'!$C$2:$C$70=$C189),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Log'!$E$2:$V$70,
    MATCH(1,
      ('Putt Log'!$A$2:$A$70=$A189)*
      ('Putt Log'!$B$2:$B$70=$B189)*
      ('Putt Log'!$C$2:$C$70=$C189),
    0),
    MATCH($G189,'Putt Log'!$E$1:$V$1,0)
  ),
"")</f>
        <v>1</v>
      </c>
      <c r="P189" t="str" cm="1">
        <f t="array" ref="P189">IF(K189=3,"",
  IFERROR(
    INDEX('Fairway Log'!$E$2:$V$70,
      MATCH(1,
        ('Fairway Log'!$A$2:$A$70=$A189)*
        ('Fairway Log'!$B$2:$B$70=$B189)*
        ('Fairway Log'!$C$2:$C260=$C189),
      0),
      MATCH($G189,'Fairway Log'!$E$1:$V$1,0)
    ),
  "")
)</f>
        <v>→</v>
      </c>
      <c r="Q189" t="str" cm="1">
        <f t="array" ref="Q189">IFERROR(
  INDEX('GIR Log'!$E$2:$V$70,
    MATCH(1,
      ('GIR Log'!$A$2:$A$70=$A189)*
      ('GIR Log'!$B$2:$B$70=$B189)*
      ('GIR Log'!$C$2:$C$70=$C189),
    0),
    MATCH($G189,'GIR Log'!$E$1:$V$1,0)
  ),
"")</f>
        <v>↑</v>
      </c>
    </row>
    <row r="190" spans="1:17" x14ac:dyDescent="0.25">
      <c r="A190" s="20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Log'!$E$2:$V$70,
    MATCH(1,
      ('Golf Log'!$A$2:$A$70=$A190)*
      ('Golf Log'!$B$2:$B$70=$B190)*
      ('Golf Log'!$C$2:$C$70=$C190),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Log'!$E$2:$V$70,
    MATCH(1,
      ('Putt Log'!$A$2:$A$70=$A190)*
      ('Putt Log'!$B$2:$B$70=$B190)*
      ('Putt Log'!$C$2:$C$70=$C190),
    0),
    MATCH($G190,'Putt Log'!$E$1:$V$1,0)
  ),
"")</f>
        <v>2</v>
      </c>
      <c r="P190" cm="1">
        <f t="array" ref="P190">IF(K190=3,"",
  IFERROR(
    INDEX('Fairway Log'!$E$2:$V$70,
      MATCH(1,
        ('Fairway Log'!$A$2:$A$70=$A190)*
        ('Fairway Log'!$B$2:$B$70=$B190)*
        ('Fairway Log'!$C$2:$C261=$C190),
      0),
      MATCH($G190,'Fairway Log'!$E$1:$V$1,0)
    ),
  "")
)</f>
        <v>1</v>
      </c>
      <c r="Q190" t="str" cm="1">
        <f t="array" ref="Q190">IFERROR(
  INDEX('GIR Log'!$E$2:$V$70,
    MATCH(1,
      ('GIR Log'!$A$2:$A$70=$A190)*
      ('GIR Log'!$B$2:$B$70=$B190)*
      ('GIR Log'!$C$2:$C$70=$C190),
    0),
    MATCH($G190,'GIR Log'!$E$1:$V$1,0)
  ),
"")</f>
        <v>←</v>
      </c>
    </row>
    <row r="191" spans="1:17" x14ac:dyDescent="0.25">
      <c r="A191" s="20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Log'!$E$2:$V$70,
    MATCH(1,
      ('Golf Log'!$A$2:$A$70=$A191)*
      ('Golf Log'!$B$2:$B$70=$B191)*
      ('Golf Log'!$C$2:$C$70=$C191),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Log'!$E$2:$V$70,
    MATCH(1,
      ('Putt Log'!$A$2:$A$70=$A191)*
      ('Putt Log'!$B$2:$B$70=$B191)*
      ('Putt Log'!$C$2:$C$70=$C191),
    0),
    MATCH($G191,'Putt Log'!$E$1:$V$1,0)
  ),
"")</f>
        <v>2</v>
      </c>
      <c r="P191" cm="1">
        <f t="array" ref="P191">IF(K191=3,"",
  IFERROR(
    INDEX('Fairway Log'!$E$2:$V$70,
      MATCH(1,
        ('Fairway Log'!$A$2:$A$70=$A191)*
        ('Fairway Log'!$B$2:$B$70=$B191)*
        ('Fairway Log'!$C$2:$C262=$C191),
      0),
      MATCH($G191,'Fairway Log'!$E$1:$V$1,0)
    ),
  "")
)</f>
        <v>1</v>
      </c>
      <c r="Q191" cm="1">
        <f t="array" ref="Q191">IFERROR(
  INDEX('GIR Log'!$E$2:$V$70,
    MATCH(1,
      ('GIR Log'!$A$2:$A$70=$A191)*
      ('GIR Log'!$B$2:$B$70=$B191)*
      ('GIR Log'!$C$2:$C$70=$C191),
    0),
    MATCH($G191,'GIR Log'!$E$1:$V$1,0)
  ),
"")</f>
        <v>1</v>
      </c>
    </row>
    <row r="192" spans="1:17" x14ac:dyDescent="0.25">
      <c r="A192" s="20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Log'!$E$2:$V$70,
    MATCH(1,
      ('Golf Log'!$A$2:$A$70=$A192)*
      ('Golf Log'!$B$2:$B$70=$B192)*
      ('Golf Log'!$C$2:$C$70=$C192),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Log'!$E$2:$V$70,
    MATCH(1,
      ('Putt Log'!$A$2:$A$70=$A192)*
      ('Putt Log'!$B$2:$B$70=$B192)*
      ('Putt Log'!$C$2:$C$70=$C192),
    0),
    MATCH($G192,'Putt Log'!$E$1:$V$1,0)
  ),
"")</f>
        <v>2</v>
      </c>
      <c r="P192" cm="1">
        <f t="array" ref="P192">IF(K192=3,"",
  IFERROR(
    INDEX('Fairway Log'!$E$2:$V$70,
      MATCH(1,
        ('Fairway Log'!$A$2:$A$70=$A192)*
        ('Fairway Log'!$B$2:$B$70=$B192)*
        ('Fairway Log'!$C$2:$C263=$C192),
      0),
      MATCH($G192,'Fairway Log'!$E$1:$V$1,0)
    ),
  "")
)</f>
        <v>1</v>
      </c>
      <c r="Q192" t="str" cm="1">
        <f t="array" ref="Q192">IFERROR(
  INDEX('GIR Log'!$E$2:$V$70,
    MATCH(1,
      ('GIR Log'!$A$2:$A$70=$A192)*
      ('GIR Log'!$B$2:$B$70=$B192)*
      ('GIR Log'!$C$2:$C$70=$C192),
    0),
    MATCH($G192,'GIR Log'!$E$1:$V$1,0)
  ),
"")</f>
        <v>↓</v>
      </c>
    </row>
    <row r="193" spans="1:17" x14ac:dyDescent="0.25">
      <c r="A193" s="20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Log'!$E$2:$V$70,
    MATCH(1,
      ('Golf Log'!$A$2:$A$70=$A193)*
      ('Golf Log'!$B$2:$B$70=$B193)*
      ('Golf Log'!$C$2:$C$70=$C193),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Log'!$E$2:$V$70,
    MATCH(1,
      ('Putt Log'!$A$2:$A$70=$A193)*
      ('Putt Log'!$B$2:$B$70=$B193)*
      ('Putt Log'!$C$2:$C$70=$C193),
    0),
    MATCH($G193,'Putt Log'!$E$1:$V$1,0)
  ),
"")</f>
        <v>2</v>
      </c>
      <c r="P193" cm="1">
        <f t="array" ref="P193">IF(K193=3,"",
  IFERROR(
    INDEX('Fairway Log'!$E$2:$V$70,
      MATCH(1,
        ('Fairway Log'!$A$2:$A$70=$A193)*
        ('Fairway Log'!$B$2:$B$70=$B193)*
        ('Fairway Log'!$C$2:$C264=$C193),
      0),
      MATCH($G193,'Fairway Log'!$E$1:$V$1,0)
    ),
  "")
)</f>
        <v>1</v>
      </c>
      <c r="Q193" t="str" cm="1">
        <f t="array" ref="Q193">IFERROR(
  INDEX('GIR Log'!$E$2:$V$70,
    MATCH(1,
      ('GIR Log'!$A$2:$A$70=$A193)*
      ('GIR Log'!$B$2:$B$70=$B193)*
      ('GIR Log'!$C$2:$C$70=$C193),
    0),
    MATCH($G193,'GIR Log'!$E$1:$V$1,0)
  ),
"")</f>
        <v>↓</v>
      </c>
    </row>
    <row r="194" spans="1:17" x14ac:dyDescent="0.25">
      <c r="A194" s="20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Log'!$E$2:$V$70,
    MATCH(1,
      ('Golf Log'!$A$2:$A$70=$A194)*
      ('Golf Log'!$B$2:$B$70=$B194)*
      ('Golf Log'!$C$2:$C$70=$C194),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Log'!$E$2:$V$70,
    MATCH(1,
      ('Putt Log'!$A$2:$A$70=$A194)*
      ('Putt Log'!$B$2:$B$70=$B194)*
      ('Putt Log'!$C$2:$C$70=$C194),
    0),
    MATCH($G194,'Putt Log'!$E$1:$V$1,0)
  ),
"")</f>
        <v>2</v>
      </c>
      <c r="P194" cm="1">
        <f t="array" ref="P194">IF(K194=3,"",
  IFERROR(
    INDEX('Fairway Log'!$E$2:$V$70,
      MATCH(1,
        ('Fairway Log'!$A$2:$A$70=$A194)*
        ('Fairway Log'!$B$2:$B$70=$B194)*
        ('Fairway Log'!$C$2:$C265=$C194),
      0),
      MATCH($G194,'Fairway Log'!$E$1:$V$1,0)
    ),
  "")
)</f>
        <v>1</v>
      </c>
      <c r="Q194" cm="1">
        <f t="array" ref="Q194">IFERROR(
  INDEX('GIR Log'!$E$2:$V$70,
    MATCH(1,
      ('GIR Log'!$A$2:$A$70=$A194)*
      ('GIR Log'!$B$2:$B$70=$B194)*
      ('GIR Log'!$C$2:$C$70=$C194),
    0),
    MATCH($G194,'GIR Log'!$E$1:$V$1,0)
  ),
"")</f>
        <v>1</v>
      </c>
    </row>
    <row r="195" spans="1:17" x14ac:dyDescent="0.25">
      <c r="A195" s="20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Log'!$E$2:$V$70,
    MATCH(1,
      ('Golf Log'!$A$2:$A$70=$A195)*
      ('Golf Log'!$B$2:$B$70=$B195)*
      ('Golf Log'!$C$2:$C$70=$C195),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Log'!$E$2:$V$70,
    MATCH(1,
      ('Putt Log'!$A$2:$A$70=$A195)*
      ('Putt Log'!$B$2:$B$70=$B195)*
      ('Putt Log'!$C$2:$C$70=$C195),
    0),
    MATCH($G195,'Putt Log'!$E$1:$V$1,0)
  ),
"")</f>
        <v>1</v>
      </c>
      <c r="P195" t="str" cm="1">
        <f t="array" ref="P195">IF(K195=3,"",
  IFERROR(
    INDEX('Fairway Log'!$E$2:$V$70,
      MATCH(1,
        ('Fairway Log'!$A$2:$A$70=$A195)*
        ('Fairway Log'!$B$2:$B$70=$B195)*
        ('Fairway Log'!$C$2:$C266=$C195),
      0),
      MATCH($G195,'Fairway Log'!$E$1:$V$1,0)
    ),
  "")
)</f>
        <v/>
      </c>
      <c r="Q195" t="str" cm="1">
        <f t="array" ref="Q195">IFERROR(
  INDEX('GIR Log'!$E$2:$V$70,
    MATCH(1,
      ('GIR Log'!$A$2:$A$70=$A195)*
      ('GIR Log'!$B$2:$B$70=$B195)*
      ('GIR Log'!$C$2:$C$70=$C195),
    0),
    MATCH($G195,'GIR Log'!$E$1:$V$1,0)
  ),
"")</f>
        <v>→</v>
      </c>
    </row>
    <row r="196" spans="1:17" x14ac:dyDescent="0.25">
      <c r="A196" s="20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Log'!$E$2:$V$70,
    MATCH(1,
      ('Golf Log'!$A$2:$A$70=$A196)*
      ('Golf Log'!$B$2:$B$70=$B196)*
      ('Golf Log'!$C$2:$C$70=$C196),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Log'!$E$2:$V$70,
    MATCH(1,
      ('Putt Log'!$A$2:$A$70=$A196)*
      ('Putt Log'!$B$2:$B$70=$B196)*
      ('Putt Log'!$C$2:$C$70=$C196),
    0),
    MATCH($G196,'Putt Log'!$E$1:$V$1,0)
  ),
"")</f>
        <v>2</v>
      </c>
      <c r="P196" t="str" cm="1">
        <f t="array" ref="P196">IF(K196=3,"",
  IFERROR(
    INDEX('Fairway Log'!$E$2:$V$70,
      MATCH(1,
        ('Fairway Log'!$A$2:$A$70=$A196)*
        ('Fairway Log'!$B$2:$B$70=$B196)*
        ('Fairway Log'!$C$2:$C267=$C196),
      0),
      MATCH($G196,'Fairway Log'!$E$1:$V$1,0)
    ),
  "")
)</f>
        <v>→</v>
      </c>
      <c r="Q196" t="str" cm="1">
        <f t="array" ref="Q196">IFERROR(
  INDEX('GIR Log'!$E$2:$V$70,
    MATCH(1,
      ('GIR Log'!$A$2:$A$70=$A196)*
      ('GIR Log'!$B$2:$B$70=$B196)*
      ('GIR Log'!$C$2:$C$70=$C196),
    0),
    MATCH($G196,'GIR Log'!$E$1:$V$1,0)
  ),
"")</f>
        <v>↓</v>
      </c>
    </row>
    <row r="197" spans="1:17" x14ac:dyDescent="0.25">
      <c r="A197" s="20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Log'!$E$2:$V$70,
    MATCH(1,
      ('Golf Log'!$A$2:$A$70=$A197)*
      ('Golf Log'!$B$2:$B$70=$B197)*
      ('Golf Log'!$C$2:$C$70=$C197),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Log'!$E$2:$V$70,
    MATCH(1,
      ('Putt Log'!$A$2:$A$70=$A197)*
      ('Putt Log'!$B$2:$B$70=$B197)*
      ('Putt Log'!$C$2:$C$70=$C197),
    0),
    MATCH($G197,'Putt Log'!$E$1:$V$1,0)
  ),
"")</f>
        <v>1</v>
      </c>
      <c r="P197" cm="1">
        <f t="array" ref="P197">IF(K197=3,"",
  IFERROR(
    INDEX('Fairway Log'!$E$2:$V$70,
      MATCH(1,
        ('Fairway Log'!$A$2:$A$70=$A197)*
        ('Fairway Log'!$B$2:$B$70=$B197)*
        ('Fairway Log'!$C$2:$C268=$C197),
      0),
      MATCH($G197,'Fairway Log'!$E$1:$V$1,0)
    ),
  "")
)</f>
        <v>1</v>
      </c>
      <c r="Q197" t="str" cm="1">
        <f t="array" ref="Q197">IFERROR(
  INDEX('GIR Log'!$E$2:$V$70,
    MATCH(1,
      ('GIR Log'!$A$2:$A$70=$A197)*
      ('GIR Log'!$B$2:$B$70=$B197)*
      ('GIR Log'!$C$2:$C$70=$C197),
    0),
    MATCH($G197,'GIR Log'!$E$1:$V$1,0)
  ),
"")</f>
        <v>↑</v>
      </c>
    </row>
    <row r="198" spans="1:17" x14ac:dyDescent="0.25">
      <c r="A198" s="20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Log'!$E$2:$V$70,
    MATCH(1,
      ('Golf Log'!$A$2:$A$70=$A198)*
      ('Golf Log'!$B$2:$B$70=$B198)*
      ('Golf Log'!$C$2:$C$70=$C198),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Log'!$E$2:$V$70,
    MATCH(1,
      ('Putt Log'!$A$2:$A$70=$A198)*
      ('Putt Log'!$B$2:$B$70=$B198)*
      ('Putt Log'!$C$2:$C$70=$C198),
    0),
    MATCH($G198,'Putt Log'!$E$1:$V$1,0)
  ),
"")</f>
        <v>1</v>
      </c>
      <c r="P198" t="str" cm="1">
        <f t="array" ref="P198">IF(K198=3,"",
  IFERROR(
    INDEX('Fairway Log'!$E$2:$V$70,
      MATCH(1,
        ('Fairway Log'!$A$2:$A$70=$A198)*
        ('Fairway Log'!$B$2:$B$70=$B198)*
        ('Fairway Log'!$C$2:$C269=$C198),
      0),
      MATCH($G198,'Fairway Log'!$E$1:$V$1,0)
    ),
  "")
)</f>
        <v>→</v>
      </c>
      <c r="Q198" cm="1">
        <f t="array" ref="Q198">IFERROR(
  INDEX('GIR Log'!$E$2:$V$70,
    MATCH(1,
      ('GIR Log'!$A$2:$A$70=$A198)*
      ('GIR Log'!$B$2:$B$70=$B198)*
      ('GIR Log'!$C$2:$C$70=$C198),
    0),
    MATCH($G198,'GIR Log'!$E$1:$V$1,0)
  ),
"")</f>
        <v>1</v>
      </c>
    </row>
    <row r="199" spans="1:17" x14ac:dyDescent="0.25">
      <c r="A199" s="20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Log'!$E$2:$V$70,
    MATCH(1,
      ('Golf Log'!$A$2:$A$70=$A199)*
      ('Golf Log'!$B$2:$B$70=$B199)*
      ('Golf Log'!$C$2:$C$70=$C199),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Log'!$E$2:$V$70,
    MATCH(1,
      ('Putt Log'!$A$2:$A$70=$A199)*
      ('Putt Log'!$B$2:$B$70=$B199)*
      ('Putt Log'!$C$2:$C$70=$C199),
    0),
    MATCH($G199,'Putt Log'!$E$1:$V$1,0)
  ),
"")</f>
        <v>2</v>
      </c>
      <c r="P199" t="str" cm="1">
        <f t="array" ref="P199">IF(K199=3,"",
  IFERROR(
    INDEX('Fairway Log'!$E$2:$V$70,
      MATCH(1,
        ('Fairway Log'!$A$2:$A$70=$A199)*
        ('Fairway Log'!$B$2:$B$70=$B199)*
        ('Fairway Log'!$C$2:$C270=$C199),
      0),
      MATCH($G199,'Fairway Log'!$E$1:$V$1,0)
    ),
  "")
)</f>
        <v>→</v>
      </c>
      <c r="Q199" t="str" cm="1">
        <f t="array" ref="Q199">IFERROR(
  INDEX('GIR Log'!$E$2:$V$70,
    MATCH(1,
      ('GIR Log'!$A$2:$A$70=$A199)*
      ('GIR Log'!$B$2:$B$70=$B199)*
      ('GIR Log'!$C$2:$C$70=$C199),
    0),
    MATCH($G199,'GIR Log'!$E$1:$V$1,0)
  ),
"")</f>
        <v>↓</v>
      </c>
    </row>
    <row r="200" spans="1:17" x14ac:dyDescent="0.25">
      <c r="A200" s="20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Log'!$E$2:$V$70,
    MATCH(1,
      ('Golf Log'!$A$2:$A$70=$A200)*
      ('Golf Log'!$B$2:$B$70=$B200)*
      ('Golf Log'!$C$2:$C$70=$C200),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Log'!$E$2:$V$70,
    MATCH(1,
      ('Putt Log'!$A$2:$A$70=$A200)*
      ('Putt Log'!$B$2:$B$70=$B200)*
      ('Putt Log'!$C$2:$C$70=$C200),
    0),
    MATCH($G200,'Putt Log'!$E$1:$V$1,0)
  ),
"")</f>
        <v>1</v>
      </c>
      <c r="P200" cm="1">
        <f t="array" ref="P200">IF(K200=3,"",
  IFERROR(
    INDEX('Fairway Log'!$E$2:$V$70,
      MATCH(1,
        ('Fairway Log'!$A$2:$A$70=$A200)*
        ('Fairway Log'!$B$2:$B$70=$B200)*
        ('Fairway Log'!$C$2:$C271=$C200),
      0),
      MATCH($G200,'Fairway Log'!$E$1:$V$1,0)
    ),
  "")
)</f>
        <v>1</v>
      </c>
      <c r="Q200" t="str" cm="1">
        <f t="array" ref="Q200">IFERROR(
  INDEX('GIR Log'!$E$2:$V$70,
    MATCH(1,
      ('GIR Log'!$A$2:$A$70=$A200)*
      ('GIR Log'!$B$2:$B$70=$B200)*
      ('GIR Log'!$C$2:$C$70=$C200),
    0),
    MATCH($G200,'GIR Log'!$E$1:$V$1,0)
  ),
"")</f>
        <v>↓</v>
      </c>
    </row>
    <row r="201" spans="1:17" x14ac:dyDescent="0.25">
      <c r="A201" s="20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Log'!$E$2:$V$70,
    MATCH(1,
      ('Golf Log'!$A$2:$A$70=$A201)*
      ('Golf Log'!$B$2:$B$70=$B201)*
      ('Golf Log'!$C$2:$C$70=$C201),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Log'!$E$2:$V$70,
    MATCH(1,
      ('Putt Log'!$A$2:$A$70=$A201)*
      ('Putt Log'!$B$2:$B$70=$B201)*
      ('Putt Log'!$C$2:$C$70=$C201),
    0),
    MATCH($G201,'Putt Log'!$E$1:$V$1,0)
  ),
"")</f>
        <v>2</v>
      </c>
      <c r="P201" t="str" cm="1">
        <f t="array" ref="P201">IF(K201=3,"",
  IFERROR(
    INDEX('Fairway Log'!$E$2:$V$70,
      MATCH(1,
        ('Fairway Log'!$A$2:$A$70=$A201)*
        ('Fairway Log'!$B$2:$B$70=$B201)*
        ('Fairway Log'!$C$2:$C272=$C201),
      0),
      MATCH($G201,'Fairway Log'!$E$1:$V$1,0)
    ),
  "")
)</f>
        <v>→</v>
      </c>
      <c r="Q201" t="str" cm="1">
        <f t="array" ref="Q201">IFERROR(
  INDEX('GIR Log'!$E$2:$V$70,
    MATCH(1,
      ('GIR Log'!$A$2:$A$70=$A201)*
      ('GIR Log'!$B$2:$B$70=$B201)*
      ('GIR Log'!$C$2:$C$70=$C201),
    0),
    MATCH($G201,'GIR Log'!$E$1:$V$1,0)
  ),
"")</f>
        <v>↓</v>
      </c>
    </row>
    <row r="202" spans="1:17" x14ac:dyDescent="0.25">
      <c r="A202" s="20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Log'!$E$2:$V$70,
    MATCH(1,
      ('Golf Log'!$A$2:$A$70=$A202)*
      ('Golf Log'!$B$2:$B$70=$B202)*
      ('Golf Log'!$C$2:$C$70=$C202),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Log'!$E$2:$V$70,
    MATCH(1,
      ('Putt Log'!$A$2:$A$70=$A202)*
      ('Putt Log'!$B$2:$B$70=$B202)*
      ('Putt Log'!$C$2:$C$70=$C202),
    0),
    MATCH($G202,'Putt Log'!$E$1:$V$1,0)
  ),
"")</f>
        <v>1</v>
      </c>
      <c r="P202" t="str" cm="1">
        <f t="array" ref="P202">IF(K202=3,"",
  IFERROR(
    INDEX('Fairway Log'!$E$2:$V$70,
      MATCH(1,
        ('Fairway Log'!$A$2:$A$70=$A202)*
        ('Fairway Log'!$B$2:$B$70=$B202)*
        ('Fairway Log'!$C$2:$C273=$C202),
      0),
      MATCH($G202,'Fairway Log'!$E$1:$V$1,0)
    ),
  "")
)</f>
        <v/>
      </c>
      <c r="Q202" t="str" cm="1">
        <f t="array" ref="Q202">IFERROR(
  INDEX('GIR Log'!$E$2:$V$70,
    MATCH(1,
      ('GIR Log'!$A$2:$A$70=$A202)*
      ('GIR Log'!$B$2:$B$70=$B202)*
      ('GIR Log'!$C$2:$C$70=$C202),
    0),
    MATCH($G202,'GIR Log'!$E$1:$V$1,0)
  ),
"")</f>
        <v>↓</v>
      </c>
    </row>
    <row r="203" spans="1:17" x14ac:dyDescent="0.25">
      <c r="A203" s="20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Log'!$E$2:$V$70,
    MATCH(1,
      ('Golf Log'!$A$2:$A$70=$A203)*
      ('Golf Log'!$B$2:$B$70=$B203)*
      ('Golf Log'!$C$2:$C$70=$C203),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Log'!$E$2:$V$70,
    MATCH(1,
      ('Putt Log'!$A$2:$A$70=$A203)*
      ('Putt Log'!$B$2:$B$70=$B203)*
      ('Putt Log'!$C$2:$C$70=$C203),
    0),
    MATCH($G203,'Putt Log'!$E$1:$V$1,0)
  ),
"")</f>
        <v>2</v>
      </c>
      <c r="P203" t="str" cm="1">
        <f t="array" ref="P203">IF(K203=3,"",
  IFERROR(
    INDEX('Fairway Log'!$E$2:$V$70,
      MATCH(1,
        ('Fairway Log'!$A$2:$A$70=$A203)*
        ('Fairway Log'!$B$2:$B$70=$B203)*
        ('Fairway Log'!$C$2:$C274=$C203),
      0),
      MATCH($G203,'Fairway Log'!$E$1:$V$1,0)
    ),
  "")
)</f>
        <v>←</v>
      </c>
      <c r="Q203" cm="1">
        <f t="array" ref="Q203">IFERROR(
  INDEX('GIR Log'!$E$2:$V$70,
    MATCH(1,
      ('GIR Log'!$A$2:$A$70=$A203)*
      ('GIR Log'!$B$2:$B$70=$B203)*
      ('GIR Log'!$C$2:$C$70=$C203),
    0),
    MATCH($G203,'GIR Log'!$E$1:$V$1,0)
  ),
"")</f>
        <v>1</v>
      </c>
    </row>
    <row r="204" spans="1:17" x14ac:dyDescent="0.25">
      <c r="A204" s="20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Log'!$E$2:$V$70,
    MATCH(1,
      ('Golf Log'!$A$2:$A$70=$A204)*
      ('Golf Log'!$B$2:$B$70=$B204)*
      ('Golf Log'!$C$2:$C$70=$C204),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Log'!$E$2:$V$70,
    MATCH(1,
      ('Putt Log'!$A$2:$A$70=$A204)*
      ('Putt Log'!$B$2:$B$70=$B204)*
      ('Putt Log'!$C$2:$C$70=$C204),
    0),
    MATCH($G204,'Putt Log'!$E$1:$V$1,0)
  ),
"")</f>
        <v>1</v>
      </c>
      <c r="P204" cm="1">
        <f t="array" ref="P204">IF(K204=3,"",
  IFERROR(
    INDEX('Fairway Log'!$E$2:$V$70,
      MATCH(1,
        ('Fairway Log'!$A$2:$A$70=$A204)*
        ('Fairway Log'!$B$2:$B$70=$B204)*
        ('Fairway Log'!$C$2:$C275=$C204),
      0),
      MATCH($G204,'Fairway Log'!$E$1:$V$1,0)
    ),
  "")
)</f>
        <v>1</v>
      </c>
      <c r="Q204" t="str" cm="1">
        <f t="array" ref="Q204">IFERROR(
  INDEX('GIR Log'!$E$2:$V$70,
    MATCH(1,
      ('GIR Log'!$A$2:$A$70=$A204)*
      ('GIR Log'!$B$2:$B$70=$B204)*
      ('GIR Log'!$C$2:$C$70=$C204),
    0),
    MATCH($G204,'GIR Log'!$E$1:$V$1,0)
  ),
"")</f>
        <v>←</v>
      </c>
    </row>
    <row r="205" spans="1:17" x14ac:dyDescent="0.25">
      <c r="A205" s="20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Log'!$E$2:$V$70,
    MATCH(1,
      ('Golf Log'!$A$2:$A$70=$A205)*
      ('Golf Log'!$B$2:$B$70=$B205)*
      ('Golf Log'!$C$2:$C$70=$C205),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Log'!$E$2:$V$70,
    MATCH(1,
      ('Putt Log'!$A$2:$A$70=$A205)*
      ('Putt Log'!$B$2:$B$70=$B205)*
      ('Putt Log'!$C$2:$C$70=$C205),
    0),
    MATCH($G205,'Putt Log'!$E$1:$V$1,0)
  ),
"")</f>
        <v>2</v>
      </c>
      <c r="P205" t="str" cm="1">
        <f t="array" ref="P205">IF(K205=3,"",
  IFERROR(
    INDEX('Fairway Log'!$E$2:$V$70,
      MATCH(1,
        ('Fairway Log'!$A$2:$A$70=$A205)*
        ('Fairway Log'!$B$2:$B$70=$B205)*
        ('Fairway Log'!$C$2:$C276=$C205),
      0),
      MATCH($G205,'Fairway Log'!$E$1:$V$1,0)
    ),
  "")
)</f>
        <v/>
      </c>
      <c r="Q205" t="str" cm="1">
        <f t="array" ref="Q205">IFERROR(
  INDEX('GIR Log'!$E$2:$V$70,
    MATCH(1,
      ('GIR Log'!$A$2:$A$70=$A205)*
      ('GIR Log'!$B$2:$B$70=$B205)*
      ('GIR Log'!$C$2:$C$70=$C205),
    0),
    MATCH($G205,'GIR Log'!$E$1:$V$1,0)
  ),
"")</f>
        <v>→</v>
      </c>
    </row>
    <row r="206" spans="1:17" x14ac:dyDescent="0.25">
      <c r="A206" s="20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Log'!$E$2:$V$70,
    MATCH(1,
      ('Golf Log'!$A$2:$A$70=$A206)*
      ('Golf Log'!$B$2:$B$70=$B206)*
      ('Golf Log'!$C$2:$C$70=$C206),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Log'!$E$2:$V$70,
    MATCH(1,
      ('Putt Log'!$A$2:$A$70=$A206)*
      ('Putt Log'!$B$2:$B$70=$B206)*
      ('Putt Log'!$C$2:$C$70=$C206),
    0),
    MATCH($G206,'Putt Log'!$E$1:$V$1,0)
  ),
"")</f>
        <v>2</v>
      </c>
      <c r="P206" cm="1">
        <f t="array" ref="P206">IF(K206=3,"",
  IFERROR(
    INDEX('Fairway Log'!$E$2:$V$70,
      MATCH(1,
        ('Fairway Log'!$A$2:$A$70=$A206)*
        ('Fairway Log'!$B$2:$B$70=$B206)*
        ('Fairway Log'!$C$2:$C277=$C206),
      0),
      MATCH($G206,'Fairway Log'!$E$1:$V$1,0)
    ),
  "")
)</f>
        <v>1</v>
      </c>
      <c r="Q206" cm="1">
        <f t="array" ref="Q206">IFERROR(
  INDEX('GIR Log'!$E$2:$V$70,
    MATCH(1,
      ('GIR Log'!$A$2:$A$70=$A206)*
      ('GIR Log'!$B$2:$B$70=$B206)*
      ('GIR Log'!$C$2:$C$70=$C206),
    0),
    MATCH($G206,'GIR Log'!$E$1:$V$1,0)
  ),
"")</f>
        <v>1</v>
      </c>
    </row>
    <row r="207" spans="1:17" x14ac:dyDescent="0.25">
      <c r="A207" s="20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Log'!$E$2:$V$70,
    MATCH(1,
      ('Golf Log'!$A$2:$A$70=$A207)*
      ('Golf Log'!$B$2:$B$70=$B207)*
      ('Golf Log'!$C$2:$C$70=$C207),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Log'!$E$2:$V$70,
    MATCH(1,
      ('Putt Log'!$A$2:$A$70=$A207)*
      ('Putt Log'!$B$2:$B$70=$B207)*
      ('Putt Log'!$C$2:$C$70=$C207),
    0),
    MATCH($G207,'Putt Log'!$E$1:$V$1,0)
  ),
"")</f>
        <v>2</v>
      </c>
      <c r="P207" t="str" cm="1">
        <f t="array" ref="P207">IF(K207=3,"",
  IFERROR(
    INDEX('Fairway Log'!$E$2:$V$70,
      MATCH(1,
        ('Fairway Log'!$A$2:$A$70=$A207)*
        ('Fairway Log'!$B$2:$B$70=$B207)*
        ('Fairway Log'!$C$2:$C278=$C207),
      0),
      MATCH($G207,'Fairway Log'!$E$1:$V$1,0)
    ),
  "")
)</f>
        <v>←</v>
      </c>
      <c r="Q207" t="str" cm="1">
        <f t="array" ref="Q207">IFERROR(
  INDEX('GIR Log'!$E$2:$V$70,
    MATCH(1,
      ('GIR Log'!$A$2:$A$70=$A207)*
      ('GIR Log'!$B$2:$B$70=$B207)*
      ('GIR Log'!$C$2:$C$70=$C207),
    0),
    MATCH($G207,'GIR Log'!$E$1:$V$1,0)
  ),
"")</f>
        <v>→</v>
      </c>
    </row>
    <row r="208" spans="1:17" x14ac:dyDescent="0.25">
      <c r="A208" s="20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Log'!$E$2:$V$70,
    MATCH(1,
      ('Golf Log'!$A$2:$A$70=$A208)*
      ('Golf Log'!$B$2:$B$70=$B208)*
      ('Golf Log'!$C$2:$C$70=$C208),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Log'!$E$2:$V$70,
    MATCH(1,
      ('Putt Log'!$A$2:$A$70=$A208)*
      ('Putt Log'!$B$2:$B$70=$B208)*
      ('Putt Log'!$C$2:$C$70=$C208),
    0),
    MATCH($G208,'Putt Log'!$E$1:$V$1,0)
  ),
"")</f>
        <v>2</v>
      </c>
      <c r="P208" t="str" cm="1">
        <f t="array" ref="P208">IF(K208=3,"",
  IFERROR(
    INDEX('Fairway Log'!$E$2:$V$70,
      MATCH(1,
        ('Fairway Log'!$A$2:$A$70=$A208)*
        ('Fairway Log'!$B$2:$B$70=$B208)*
        ('Fairway Log'!$C$2:$C279=$C208),
      0),
      MATCH($G208,'Fairway Log'!$E$1:$V$1,0)
    ),
  "")
)</f>
        <v>←</v>
      </c>
      <c r="Q208" cm="1">
        <f t="array" ref="Q208">IFERROR(
  INDEX('GIR Log'!$E$2:$V$70,
    MATCH(1,
      ('GIR Log'!$A$2:$A$70=$A208)*
      ('GIR Log'!$B$2:$B$70=$B208)*
      ('GIR Log'!$C$2:$C$70=$C208),
    0),
    MATCH($G208,'GIR Log'!$E$1:$V$1,0)
  ),
"")</f>
        <v>1</v>
      </c>
    </row>
    <row r="209" spans="1:17" x14ac:dyDescent="0.25">
      <c r="A209" s="20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Log'!$E$2:$V$70,
    MATCH(1,
      ('Golf Log'!$A$2:$A$70=$A209)*
      ('Golf Log'!$B$2:$B$70=$B209)*
      ('Golf Log'!$C$2:$C$70=$C209),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Log'!$E$2:$V$70,
    MATCH(1,
      ('Putt Log'!$A$2:$A$70=$A209)*
      ('Putt Log'!$B$2:$B$70=$B209)*
      ('Putt Log'!$C$2:$C$70=$C209),
    0),
    MATCH($G209,'Putt Log'!$E$1:$V$1,0)
  ),
"")</f>
        <v>1</v>
      </c>
      <c r="P209" t="str" cm="1">
        <f t="array" ref="P209">IF(K209=3,"",
  IFERROR(
    INDEX('Fairway Log'!$E$2:$V$70,
      MATCH(1,
        ('Fairway Log'!$A$2:$A$70=$A209)*
        ('Fairway Log'!$B$2:$B$70=$B209)*
        ('Fairway Log'!$C$2:$C280=$C209),
      0),
      MATCH($G209,'Fairway Log'!$E$1:$V$1,0)
    ),
  "")
)</f>
        <v>←</v>
      </c>
      <c r="Q209" t="str" cm="1">
        <f t="array" ref="Q209">IFERROR(
  INDEX('GIR Log'!$E$2:$V$70,
    MATCH(1,
      ('GIR Log'!$A$2:$A$70=$A209)*
      ('GIR Log'!$B$2:$B$70=$B209)*
      ('GIR Log'!$C$2:$C$70=$C209),
    0),
    MATCH($G209,'GIR Log'!$E$1:$V$1,0)
  ),
"")</f>
        <v>NC</v>
      </c>
    </row>
    <row r="210" spans="1:17" x14ac:dyDescent="0.25">
      <c r="A210" s="20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Log'!$E$2:$V$70,
    MATCH(1,
      ('Golf Log'!$A$2:$A$70=$A210)*
      ('Golf Log'!$B$2:$B$70=$B210)*
      ('Golf Log'!$C$2:$C$70=$C210),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Log'!$E$2:$V$70,
    MATCH(1,
      ('Putt Log'!$A$2:$A$70=$A210)*
      ('Putt Log'!$B$2:$B$70=$B210)*
      ('Putt Log'!$C$2:$C$70=$C210),
    0),
    MATCH($G210,'Putt Log'!$E$1:$V$1,0)
  ),
"")</f>
        <v>2</v>
      </c>
      <c r="P210" t="str" cm="1">
        <f t="array" ref="P210">IF(K210=3,"",
  IFERROR(
    INDEX('Fairway Log'!$E$2:$V$70,
      MATCH(1,
        ('Fairway Log'!$A$2:$A$70=$A210)*
        ('Fairway Log'!$B$2:$B$70=$B210)*
        ('Fairway Log'!$C$2:$C281=$C210),
      0),
      MATCH($G210,'Fairway Log'!$E$1:$V$1,0)
    ),
  "")
)</f>
        <v/>
      </c>
      <c r="Q210" t="str" cm="1">
        <f t="array" ref="Q210">IFERROR(
  INDEX('GIR Log'!$E$2:$V$70,
    MATCH(1,
      ('GIR Log'!$A$2:$A$70=$A210)*
      ('GIR Log'!$B$2:$B$70=$B210)*
      ('GIR Log'!$C$2:$C$70=$C210),
    0),
    MATCH($G210,'GIR Log'!$E$1:$V$1,0)
  ),
"")</f>
        <v>↓</v>
      </c>
    </row>
    <row r="211" spans="1:17" x14ac:dyDescent="0.25">
      <c r="A211" s="20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Log'!$E$2:$V$70,
    MATCH(1,
      ('Golf Log'!$A$2:$A$70=$A211)*
      ('Golf Log'!$B$2:$B$70=$B211)*
      ('Golf Log'!$C$2:$C$70=$C211),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Log'!$E$2:$V$70,
    MATCH(1,
      ('Putt Log'!$A$2:$A$70=$A211)*
      ('Putt Log'!$B$2:$B$70=$B211)*
      ('Putt Log'!$C$2:$C$70=$C211),
    0),
    MATCH($G211,'Putt Log'!$E$1:$V$1,0)
  ),
"")</f>
        <v>1</v>
      </c>
      <c r="P211" t="str" cm="1">
        <f t="array" ref="P211">IF(K211=3,"",
  IFERROR(
    INDEX('Fairway Log'!$E$2:$V$70,
      MATCH(1,
        ('Fairway Log'!$A$2:$A$70=$A211)*
        ('Fairway Log'!$B$2:$B$70=$B211)*
        ('Fairway Log'!$C$2:$C282=$C211),
      0),
      MATCH($G211,'Fairway Log'!$E$1:$V$1,0)
    ),
  "")
)</f>
        <v>↑</v>
      </c>
      <c r="Q211" t="str" cm="1">
        <f t="array" ref="Q211">IFERROR(
  INDEX('GIR Log'!$E$2:$V$70,
    MATCH(1,
      ('GIR Log'!$A$2:$A$70=$A211)*
      ('GIR Log'!$B$2:$B$70=$B211)*
      ('GIR Log'!$C$2:$C$70=$C211),
    0),
    MATCH($G211,'GIR Log'!$E$1:$V$1,0)
  ),
"")</f>
        <v>↓</v>
      </c>
    </row>
    <row r="212" spans="1:17" x14ac:dyDescent="0.25">
      <c r="A212" s="20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Log'!$E$2:$V$70,
    MATCH(1,
      ('Golf Log'!$A$2:$A$70=$A212)*
      ('Golf Log'!$B$2:$B$70=$B212)*
      ('Golf Log'!$C$2:$C$70=$C212),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Log'!$E$2:$V$70,
    MATCH(1,
      ('Putt Log'!$A$2:$A$70=$A212)*
      ('Putt Log'!$B$2:$B$70=$B212)*
      ('Putt Log'!$C$2:$C$70=$C212),
    0),
    MATCH($G212,'Putt Log'!$E$1:$V$1,0)
  ),
"")</f>
        <v>2</v>
      </c>
      <c r="P212" t="str" cm="1">
        <f t="array" ref="P212">IF(K212=3,"",
  IFERROR(
    INDEX('Fairway Log'!$E$2:$V$70,
      MATCH(1,
        ('Fairway Log'!$A$2:$A$70=$A212)*
        ('Fairway Log'!$B$2:$B$70=$B212)*
        ('Fairway Log'!$C$2:$C283=$C212),
      0),
      MATCH($G212,'Fairway Log'!$E$1:$V$1,0)
    ),
  "")
)</f>
        <v>→</v>
      </c>
      <c r="Q212" cm="1">
        <f t="array" ref="Q212">IFERROR(
  INDEX('GIR Log'!$E$2:$V$70,
    MATCH(1,
      ('GIR Log'!$A$2:$A$70=$A212)*
      ('GIR Log'!$B$2:$B$70=$B212)*
      ('GIR Log'!$C$2:$C$70=$C212),
    0),
    MATCH($G212,'GIR Log'!$E$1:$V$1,0)
  ),
"")</f>
        <v>1</v>
      </c>
    </row>
    <row r="213" spans="1:17" x14ac:dyDescent="0.25">
      <c r="A213" s="20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Log'!$E$2:$V$70,
    MATCH(1,
      ('Golf Log'!$A$2:$A$70=$A213)*
      ('Golf Log'!$B$2:$B$70=$B213)*
      ('Golf Log'!$C$2:$C$70=$C213),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Log'!$E$2:$V$70,
    MATCH(1,
      ('Putt Log'!$A$2:$A$70=$A213)*
      ('Putt Log'!$B$2:$B$70=$B213)*
      ('Putt Log'!$C$2:$C$70=$C213),
    0),
    MATCH($G213,'Putt Log'!$E$1:$V$1,0)
  ),
"")</f>
        <v>2</v>
      </c>
      <c r="P213" t="str" cm="1">
        <f t="array" ref="P213">IF(K213=3,"",
  IFERROR(
    INDEX('Fairway Log'!$E$2:$V$70,
      MATCH(1,
        ('Fairway Log'!$A$2:$A$70=$A213)*
        ('Fairway Log'!$B$2:$B$70=$B213)*
        ('Fairway Log'!$C$2:$C284=$C213),
      0),
      MATCH($G213,'Fairway Log'!$E$1:$V$1,0)
    ),
  "")
)</f>
        <v>→</v>
      </c>
      <c r="Q213" cm="1">
        <f t="array" ref="Q213">IFERROR(
  INDEX('GIR Log'!$E$2:$V$70,
    MATCH(1,
      ('GIR Log'!$A$2:$A$70=$A213)*
      ('GIR Log'!$B$2:$B$70=$B213)*
      ('GIR Log'!$C$2:$C$70=$C213),
    0),
    MATCH($G213,'GIR Log'!$E$1:$V$1,0)
  ),
"")</f>
        <v>1</v>
      </c>
    </row>
    <row r="214" spans="1:17" x14ac:dyDescent="0.25">
      <c r="A214" s="20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Log'!$E$2:$V$70,
    MATCH(1,
      ('Golf Log'!$A$2:$A$70=$A214)*
      ('Golf Log'!$B$2:$B$70=$B214)*
      ('Golf Log'!$C$2:$C$70=$C214),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Log'!$E$2:$V$70,
    MATCH(1,
      ('Putt Log'!$A$2:$A$70=$A214)*
      ('Putt Log'!$B$2:$B$70=$B214)*
      ('Putt Log'!$C$2:$C$70=$C214),
    0),
    MATCH($G214,'Putt Log'!$E$1:$V$1,0)
  ),
"")</f>
        <v>2</v>
      </c>
      <c r="P214" t="str" cm="1">
        <f t="array" ref="P214">IF(K214=3,"",
  IFERROR(
    INDEX('Fairway Log'!$E$2:$V$70,
      MATCH(1,
        ('Fairway Log'!$A$2:$A$70=$A214)*
        ('Fairway Log'!$B$2:$B$70=$B214)*
        ('Fairway Log'!$C$2:$C285=$C214),
      0),
      MATCH($G214,'Fairway Log'!$E$1:$V$1,0)
    ),
  "")
)</f>
        <v/>
      </c>
      <c r="Q214" t="str" cm="1">
        <f t="array" ref="Q214">IFERROR(
  INDEX('GIR Log'!$E$2:$V$70,
    MATCH(1,
      ('GIR Log'!$A$2:$A$70=$A214)*
      ('GIR Log'!$B$2:$B$70=$B214)*
      ('GIR Log'!$C$2:$C$70=$C214),
    0),
    MATCH($G214,'GIR Log'!$E$1:$V$1,0)
  ),
"")</f>
        <v>→</v>
      </c>
    </row>
    <row r="215" spans="1:17" x14ac:dyDescent="0.25">
      <c r="A215" s="20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Log'!$E$2:$V$70,
    MATCH(1,
      ('Golf Log'!$A$2:$A$70=$A215)*
      ('Golf Log'!$B$2:$B$70=$B215)*
      ('Golf Log'!$C$2:$C$70=$C215),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Log'!$E$2:$V$70,
    MATCH(1,
      ('Putt Log'!$A$2:$A$70=$A215)*
      ('Putt Log'!$B$2:$B$70=$B215)*
      ('Putt Log'!$C$2:$C$70=$C215),
    0),
    MATCH($G215,'Putt Log'!$E$1:$V$1,0)
  ),
"")</f>
        <v>1</v>
      </c>
      <c r="P215" t="str" cm="1">
        <f t="array" ref="P215">IF(K215=3,"",
  IFERROR(
    INDEX('Fairway Log'!$E$2:$V$70,
      MATCH(1,
        ('Fairway Log'!$A$2:$A$70=$A215)*
        ('Fairway Log'!$B$2:$B$70=$B215)*
        ('Fairway Log'!$C$2:$C286=$C215),
      0),
      MATCH($G215,'Fairway Log'!$E$1:$V$1,0)
    ),
  "")
)</f>
        <v>→</v>
      </c>
      <c r="Q215" cm="1">
        <f t="array" ref="Q215">IFERROR(
  INDEX('GIR Log'!$E$2:$V$70,
    MATCH(1,
      ('GIR Log'!$A$2:$A$70=$A215)*
      ('GIR Log'!$B$2:$B$70=$B215)*
      ('GIR Log'!$C$2:$C$70=$C215),
    0),
    MATCH($G215,'GIR Log'!$E$1:$V$1,0)
  ),
"")</f>
        <v>1</v>
      </c>
    </row>
    <row r="216" spans="1:17" x14ac:dyDescent="0.25">
      <c r="A216" s="20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Log'!$E$2:$V$70,
    MATCH(1,
      ('Golf Log'!$A$2:$A$70=$A216)*
      ('Golf Log'!$B$2:$B$70=$B216)*
      ('Golf Log'!$C$2:$C$70=$C216),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Log'!$E$2:$V$70,
    MATCH(1,
      ('Putt Log'!$A$2:$A$70=$A216)*
      ('Putt Log'!$B$2:$B$70=$B216)*
      ('Putt Log'!$C$2:$C$70=$C216),
    0),
    MATCH($G216,'Putt Log'!$E$1:$V$1,0)
  ),
"")</f>
        <v>1</v>
      </c>
      <c r="P216" t="str" cm="1">
        <f t="array" ref="P216">IF(K216=3,"",
  IFERROR(
    INDEX('Fairway Log'!$E$2:$V$70,
      MATCH(1,
        ('Fairway Log'!$A$2:$A$70=$A216)*
        ('Fairway Log'!$B$2:$B$70=$B216)*
        ('Fairway Log'!$C$2:$C287=$C216),
      0),
      MATCH($G216,'Fairway Log'!$E$1:$V$1,0)
    ),
  "")
)</f>
        <v>←</v>
      </c>
      <c r="Q216" t="str" cm="1">
        <f t="array" ref="Q216">IFERROR(
  INDEX('GIR Log'!$E$2:$V$70,
    MATCH(1,
      ('GIR Log'!$A$2:$A$70=$A216)*
      ('GIR Log'!$B$2:$B$70=$B216)*
      ('GIR Log'!$C$2:$C$70=$C216),
    0),
    MATCH($G216,'GIR Log'!$E$1:$V$1,0)
  ),
"")</f>
        <v>↓</v>
      </c>
    </row>
    <row r="217" spans="1:17" x14ac:dyDescent="0.25">
      <c r="A217" s="20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Log'!$E$2:$V$70,
    MATCH(1,
      ('Golf Log'!$A$2:$A$70=$A217)*
      ('Golf Log'!$B$2:$B$70=$B217)*
      ('Golf Log'!$C$2:$C$70=$C217),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Log'!$E$2:$V$70,
    MATCH(1,
      ('Putt Log'!$A$2:$A$70=$A217)*
      ('Putt Log'!$B$2:$B$70=$B217)*
      ('Putt Log'!$C$2:$C$70=$C217),
    0),
    MATCH($G217,'Putt Log'!$E$1:$V$1,0)
  ),
"")</f>
        <v>2</v>
      </c>
      <c r="P217" t="str" cm="1">
        <f t="array" ref="P217">IF(K217=3,"",
  IFERROR(
    INDEX('Fairway Log'!$E$2:$V$70,
      MATCH(1,
        ('Fairway Log'!$A$2:$A$70=$A217)*
        ('Fairway Log'!$B$2:$B$70=$B217)*
        ('Fairway Log'!$C$2:$C288=$C217),
      0),
      MATCH($G217,'Fairway Log'!$E$1:$V$1,0)
    ),
  "")
)</f>
        <v>→</v>
      </c>
      <c r="Q217" t="str" cm="1">
        <f t="array" ref="Q217">IFERROR(
  INDEX('GIR Log'!$E$2:$V$70,
    MATCH(1,
      ('GIR Log'!$A$2:$A$70=$A217)*
      ('GIR Log'!$B$2:$B$70=$B217)*
      ('GIR Log'!$C$2:$C$70=$C217),
    0),
    MATCH($G217,'GIR Log'!$E$1:$V$1,0)
  ),
"")</f>
        <v>↓</v>
      </c>
    </row>
    <row r="218" spans="1:17" x14ac:dyDescent="0.25">
      <c r="A218" s="20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Log'!$E$2:$V$70,
    MATCH(1,
      ('Golf Log'!$A$2:$A$70=$A218)*
      ('Golf Log'!$B$2:$B$70=$B218)*
      ('Golf Log'!$C$2:$C$70=$C218),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Log'!$E$2:$V$70,
    MATCH(1,
      ('Putt Log'!$A$2:$A$70=$A218)*
      ('Putt Log'!$B$2:$B$70=$B218)*
      ('Putt Log'!$C$2:$C$70=$C218),
    0),
    MATCH($G218,'Putt Log'!$E$1:$V$1,0)
  ),
"")</f>
        <v>2</v>
      </c>
      <c r="P218" t="str" cm="1">
        <f t="array" ref="P218">IF(K218=3,"",
  IFERROR(
    INDEX('Fairway Log'!$E$2:$V$70,
      MATCH(1,
        ('Fairway Log'!$A$2:$A$70=$A218)*
        ('Fairway Log'!$B$2:$B$70=$B218)*
        ('Fairway Log'!$C$2:$C289=$C218),
      0),
      MATCH($G218,'Fairway Log'!$E$1:$V$1,0)
    ),
  "")
)</f>
        <v>←</v>
      </c>
      <c r="Q218" t="str" cm="1">
        <f t="array" ref="Q218">IFERROR(
  INDEX('GIR Log'!$E$2:$V$70,
    MATCH(1,
      ('GIR Log'!$A$2:$A$70=$A218)*
      ('GIR Log'!$B$2:$B$70=$B218)*
      ('GIR Log'!$C$2:$C$70=$C218),
    0),
    MATCH($G218,'GIR Log'!$E$1:$V$1,0)
  ),
"")</f>
        <v>→</v>
      </c>
    </row>
    <row r="219" spans="1:17" x14ac:dyDescent="0.25">
      <c r="A219" s="20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Log'!$E$2:$V$70,
    MATCH(1,
      ('Golf Log'!$A$2:$A$70=$A219)*
      ('Golf Log'!$B$2:$B$70=$B219)*
      ('Golf Log'!$C$2:$C$70=$C219),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Log'!$E$2:$V$70,
    MATCH(1,
      ('Putt Log'!$A$2:$A$70=$A219)*
      ('Putt Log'!$B$2:$B$70=$B219)*
      ('Putt Log'!$C$2:$C$70=$C219),
    0),
    MATCH($G219,'Putt Log'!$E$1:$V$1,0)
  ),
"")</f>
        <v>1</v>
      </c>
      <c r="P219" cm="1">
        <f t="array" ref="P219">IF(K219=3,"",
  IFERROR(
    INDEX('Fairway Log'!$E$2:$V$70,
      MATCH(1,
        ('Fairway Log'!$A$2:$A$70=$A219)*
        ('Fairway Log'!$B$2:$B$70=$B219)*
        ('Fairway Log'!$C$2:$C290=$C219),
      0),
      MATCH($G219,'Fairway Log'!$E$1:$V$1,0)
    ),
  "")
)</f>
        <v>1</v>
      </c>
      <c r="Q219" t="str" cm="1">
        <f t="array" ref="Q219">IFERROR(
  INDEX('GIR Log'!$E$2:$V$70,
    MATCH(1,
      ('GIR Log'!$A$2:$A$70=$A219)*
      ('GIR Log'!$B$2:$B$70=$B219)*
      ('GIR Log'!$C$2:$C$70=$C219),
    0),
    MATCH($G219,'GIR Log'!$E$1:$V$1,0)
  ),
"")</f>
        <v>←</v>
      </c>
    </row>
    <row r="220" spans="1:17" x14ac:dyDescent="0.25">
      <c r="A220" s="20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Log'!$E$2:$V$70,
    MATCH(1,
      ('Golf Log'!$A$2:$A$70=$A220)*
      ('Golf Log'!$B$2:$B$70=$B220)*
      ('Golf Log'!$C$2:$C$70=$C220),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Log'!$E$2:$V$70,
    MATCH(1,
      ('Putt Log'!$A$2:$A$70=$A220)*
      ('Putt Log'!$B$2:$B$70=$B220)*
      ('Putt Log'!$C$2:$C$70=$C220),
    0),
    MATCH($G220,'Putt Log'!$E$1:$V$1,0)
  ),
"")</f>
        <v>2</v>
      </c>
      <c r="P220" cm="1">
        <f t="array" ref="P220">IF(K220=3,"",
  IFERROR(
    INDEX('Fairway Log'!$E$2:$V$70,
      MATCH(1,
        ('Fairway Log'!$A$2:$A$70=$A220)*
        ('Fairway Log'!$B$2:$B$70=$B220)*
        ('Fairway Log'!$C$2:$C291=$C220),
      0),
      MATCH($G220,'Fairway Log'!$E$1:$V$1,0)
    ),
  "")
)</f>
        <v>1</v>
      </c>
      <c r="Q220" t="str" cm="1">
        <f t="array" ref="Q220">IFERROR(
  INDEX('GIR Log'!$E$2:$V$70,
    MATCH(1,
      ('GIR Log'!$A$2:$A$70=$A220)*
      ('GIR Log'!$B$2:$B$70=$B220)*
      ('GIR Log'!$C$2:$C$70=$C220),
    0),
    MATCH($G220,'GIR Log'!$E$1:$V$1,0)
  ),
"")</f>
        <v>↓</v>
      </c>
    </row>
    <row r="221" spans="1:17" x14ac:dyDescent="0.25">
      <c r="A221" s="20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Log'!$E$2:$V$70,
    MATCH(1,
      ('Golf Log'!$A$2:$A$70=$A221)*
      ('Golf Log'!$B$2:$B$70=$B221)*
      ('Golf Log'!$C$2:$C$70=$C221),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Log'!$E$2:$V$70,
    MATCH(1,
      ('Putt Log'!$A$2:$A$70=$A221)*
      ('Putt Log'!$B$2:$B$70=$B221)*
      ('Putt Log'!$C$2:$C$70=$C221),
    0),
    MATCH($G221,'Putt Log'!$E$1:$V$1,0)
  ),
"")</f>
        <v>2</v>
      </c>
      <c r="P221" t="str" cm="1">
        <f t="array" ref="P221">IF(K221=3,"",
  IFERROR(
    INDEX('Fairway Log'!$E$2:$V$70,
      MATCH(1,
        ('Fairway Log'!$A$2:$A$70=$A221)*
        ('Fairway Log'!$B$2:$B$70=$B221)*
        ('Fairway Log'!$C$2:$C292=$C221),
      0),
      MATCH($G221,'Fairway Log'!$E$1:$V$1,0)
    ),
  "")
)</f>
        <v/>
      </c>
      <c r="Q221" t="str" cm="1">
        <f t="array" ref="Q221">IFERROR(
  INDEX('GIR Log'!$E$2:$V$70,
    MATCH(1,
      ('GIR Log'!$A$2:$A$70=$A221)*
      ('GIR Log'!$B$2:$B$70=$B221)*
      ('GIR Log'!$C$2:$C$70=$C221),
    0),
    MATCH($G221,'GIR Log'!$E$1:$V$1,0)
  ),
"")</f>
        <v>←</v>
      </c>
    </row>
    <row r="222" spans="1:17" x14ac:dyDescent="0.25">
      <c r="A222" s="20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Log'!$E$2:$V$70,
    MATCH(1,
      ('Golf Log'!$A$2:$A$70=$A222)*
      ('Golf Log'!$B$2:$B$70=$B222)*
      ('Golf Log'!$C$2:$C$70=$C222),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Log'!$E$2:$V$70,
    MATCH(1,
      ('Putt Log'!$A$2:$A$70=$A222)*
      ('Putt Log'!$B$2:$B$70=$B222)*
      ('Putt Log'!$C$2:$C$70=$C222),
    0),
    MATCH($G222,'Putt Log'!$E$1:$V$1,0)
  ),
"")</f>
        <v>2</v>
      </c>
      <c r="P222" cm="1">
        <f t="array" ref="P222">IF(K222=3,"",
  IFERROR(
    INDEX('Fairway Log'!$E$2:$V$70,
      MATCH(1,
        ('Fairway Log'!$A$2:$A$70=$A222)*
        ('Fairway Log'!$B$2:$B$70=$B222)*
        ('Fairway Log'!$C$2:$C293=$C222),
      0),
      MATCH($G222,'Fairway Log'!$E$1:$V$1,0)
    ),
  "")
)</f>
        <v>1</v>
      </c>
      <c r="Q222" cm="1">
        <f t="array" ref="Q222">IFERROR(
  INDEX('GIR Log'!$E$2:$V$70,
    MATCH(1,
      ('GIR Log'!$A$2:$A$70=$A222)*
      ('GIR Log'!$B$2:$B$70=$B222)*
      ('GIR Log'!$C$2:$C$70=$C222),
    0),
    MATCH($G222,'GIR Log'!$E$1:$V$1,0)
  ),
"")</f>
        <v>1</v>
      </c>
    </row>
    <row r="223" spans="1:17" x14ac:dyDescent="0.25">
      <c r="A223" s="20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Log'!$E$2:$V$70,
    MATCH(1,
      ('Golf Log'!$A$2:$A$70=$A223)*
      ('Golf Log'!$B$2:$B$70=$B223)*
      ('Golf Log'!$C$2:$C$70=$C223),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Log'!$E$2:$V$70,
    MATCH(1,
      ('Putt Log'!$A$2:$A$70=$A223)*
      ('Putt Log'!$B$2:$B$70=$B223)*
      ('Putt Log'!$C$2:$C$70=$C223),
    0),
    MATCH($G223,'Putt Log'!$E$1:$V$1,0)
  ),
"")</f>
        <v>2</v>
      </c>
      <c r="P223" cm="1">
        <f t="array" ref="P223">IF(K223=3,"",
  IFERROR(
    INDEX('Fairway Log'!$E$2:$V$70,
      MATCH(1,
        ('Fairway Log'!$A$2:$A$70=$A223)*
        ('Fairway Log'!$B$2:$B$70=$B223)*
        ('Fairway Log'!$C$2:$C294=$C223),
      0),
      MATCH($G223,'Fairway Log'!$E$1:$V$1,0)
    ),
  "")
)</f>
        <v>1</v>
      </c>
      <c r="Q223" t="str" cm="1">
        <f t="array" ref="Q223">IFERROR(
  INDEX('GIR Log'!$E$2:$V$70,
    MATCH(1,
      ('GIR Log'!$A$2:$A$70=$A223)*
      ('GIR Log'!$B$2:$B$70=$B223)*
      ('GIR Log'!$C$2:$C$70=$C223),
    0),
    MATCH($G223,'GIR Log'!$E$1:$V$1,0)
  ),
"")</f>
        <v>↑</v>
      </c>
    </row>
    <row r="224" spans="1:17" x14ac:dyDescent="0.25">
      <c r="A224" s="20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Log'!$E$2:$V$70,
    MATCH(1,
      ('Golf Log'!$A$2:$A$70=$A224)*
      ('Golf Log'!$B$2:$B$70=$B224)*
      ('Golf Log'!$C$2:$C$70=$C224),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Log'!$E$2:$V$70,
    MATCH(1,
      ('Putt Log'!$A$2:$A$70=$A224)*
      ('Putt Log'!$B$2:$B$70=$B224)*
      ('Putt Log'!$C$2:$C$70=$C224),
    0),
    MATCH($G224,'Putt Log'!$E$1:$V$1,0)
  ),
"")</f>
        <v>2</v>
      </c>
      <c r="P224" t="str" cm="1">
        <f t="array" ref="P224">IF(K224=3,"",
  IFERROR(
    INDEX('Fairway Log'!$E$2:$V$70,
      MATCH(1,
        ('Fairway Log'!$A$2:$A$70=$A224)*
        ('Fairway Log'!$B$2:$B$70=$B224)*
        ('Fairway Log'!$C$2:$C295=$C224),
      0),
      MATCH($G224,'Fairway Log'!$E$1:$V$1,0)
    ),
  "")
)</f>
        <v/>
      </c>
      <c r="Q224" t="str" cm="1">
        <f t="array" ref="Q224">IFERROR(
  INDEX('GIR Log'!$E$2:$V$70,
    MATCH(1,
      ('GIR Log'!$A$2:$A$70=$A224)*
      ('GIR Log'!$B$2:$B$70=$B224)*
      ('GIR Log'!$C$2:$C$70=$C224),
    0),
    MATCH($G224,'GIR Log'!$E$1:$V$1,0)
  ),
"")</f>
        <v>↓</v>
      </c>
    </row>
    <row r="225" spans="1:17" x14ac:dyDescent="0.25">
      <c r="A225" s="20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Log'!$E$2:$V$70,
    MATCH(1,
      ('Golf Log'!$A$2:$A$70=$A225)*
      ('Golf Log'!$B$2:$B$70=$B225)*
      ('Golf Log'!$C$2:$C$70=$C225),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Log'!$E$2:$V$70,
    MATCH(1,
      ('Putt Log'!$A$2:$A$70=$A225)*
      ('Putt Log'!$B$2:$B$70=$B225)*
      ('Putt Log'!$C$2:$C$70=$C225),
    0),
    MATCH($G225,'Putt Log'!$E$1:$V$1,0)
  ),
"")</f>
        <v>2</v>
      </c>
      <c r="P225" cm="1">
        <f t="array" ref="P225">IF(K225=3,"",
  IFERROR(
    INDEX('Fairway Log'!$E$2:$V$70,
      MATCH(1,
        ('Fairway Log'!$A$2:$A$70=$A225)*
        ('Fairway Log'!$B$2:$B$70=$B225)*
        ('Fairway Log'!$C$2:$C296=$C225),
      0),
      MATCH($G225,'Fairway Log'!$E$1:$V$1,0)
    ),
  "")
)</f>
        <v>1</v>
      </c>
      <c r="Q225" t="str" cm="1">
        <f t="array" ref="Q225">IFERROR(
  INDEX('GIR Log'!$E$2:$V$70,
    MATCH(1,
      ('GIR Log'!$A$2:$A$70=$A225)*
      ('GIR Log'!$B$2:$B$70=$B225)*
      ('GIR Log'!$C$2:$C$70=$C225),
    0),
    MATCH($G225,'GIR Log'!$E$1:$V$1,0)
  ),
"")</f>
        <v>←</v>
      </c>
    </row>
    <row r="226" spans="1:17" x14ac:dyDescent="0.25">
      <c r="A226" s="20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Log'!$E$2:$V$70,
    MATCH(1,
      ('Golf Log'!$A$2:$A$70=$A226)*
      ('Golf Log'!$B$2:$B$70=$B226)*
      ('Golf Log'!$C$2:$C$70=$C226),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Log'!$E$2:$V$70,
    MATCH(1,
      ('Putt Log'!$A$2:$A$70=$A226)*
      ('Putt Log'!$B$2:$B$70=$B226)*
      ('Putt Log'!$C$2:$C$70=$C226),
    0),
    MATCH($G226,'Putt Log'!$E$1:$V$1,0)
  ),
"")</f>
        <v>2</v>
      </c>
      <c r="P226" t="str" cm="1">
        <f t="array" ref="P226">IF(K226=3,"",
  IFERROR(
    INDEX('Fairway Log'!$E$2:$V$70,
      MATCH(1,
        ('Fairway Log'!$A$2:$A$70=$A226)*
        ('Fairway Log'!$B$2:$B$70=$B226)*
        ('Fairway Log'!$C$2:$C297=$C226),
      0),
      MATCH($G226,'Fairway Log'!$E$1:$V$1,0)
    ),
  "")
)</f>
        <v>←</v>
      </c>
      <c r="Q226" t="str" cm="1">
        <f t="array" ref="Q226">IFERROR(
  INDEX('GIR Log'!$E$2:$V$70,
    MATCH(1,
      ('GIR Log'!$A$2:$A$70=$A226)*
      ('GIR Log'!$B$2:$B$70=$B226)*
      ('GIR Log'!$C$2:$C$70=$C226),
    0),
    MATCH($G226,'GIR Log'!$E$1:$V$1,0)
  ),
"")</f>
        <v>↓</v>
      </c>
    </row>
    <row r="227" spans="1:17" x14ac:dyDescent="0.25">
      <c r="A227" s="20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Log'!$E$2:$V$70,
    MATCH(1,
      ('Golf Log'!$A$2:$A$70=$A227)*
      ('Golf Log'!$B$2:$B$70=$B227)*
      ('Golf Log'!$C$2:$C$70=$C227),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Log'!$E$2:$V$70,
    MATCH(1,
      ('Putt Log'!$A$2:$A$70=$A227)*
      ('Putt Log'!$B$2:$B$70=$B227)*
      ('Putt Log'!$C$2:$C$70=$C227),
    0),
    MATCH($G227,'Putt Log'!$E$1:$V$1,0)
  ),
"")</f>
        <v>2</v>
      </c>
      <c r="P227" t="str" cm="1">
        <f t="array" ref="P227">IF(K227=3,"",
  IFERROR(
    INDEX('Fairway Log'!$E$2:$V$70,
      MATCH(1,
        ('Fairway Log'!$A$2:$A$70=$A227)*
        ('Fairway Log'!$B$2:$B$70=$B227)*
        ('Fairway Log'!$C$2:$C298=$C227),
      0),
      MATCH($G227,'Fairway Log'!$E$1:$V$1,0)
    ),
  "")
)</f>
        <v>→</v>
      </c>
      <c r="Q227" t="str" cm="1">
        <f t="array" ref="Q227">IFERROR(
  INDEX('GIR Log'!$E$2:$V$70,
    MATCH(1,
      ('GIR Log'!$A$2:$A$70=$A227)*
      ('GIR Log'!$B$2:$B$70=$B227)*
      ('GIR Log'!$C$2:$C$70=$C227),
    0),
    MATCH($G227,'GIR Log'!$E$1:$V$1,0)
  ),
"")</f>
        <v>↓</v>
      </c>
    </row>
    <row r="228" spans="1:17" x14ac:dyDescent="0.25">
      <c r="A228" s="20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Log'!$E$2:$V$70,
    MATCH(1,
      ('Golf Log'!$A$2:$A$70=$A228)*
      ('Golf Log'!$B$2:$B$70=$B228)*
      ('Golf Log'!$C$2:$C$70=$C228),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Log'!$E$2:$V$70,
    MATCH(1,
      ('Putt Log'!$A$2:$A$70=$A228)*
      ('Putt Log'!$B$2:$B$70=$B228)*
      ('Putt Log'!$C$2:$C$70=$C228),
    0),
    MATCH($G228,'Putt Log'!$E$1:$V$1,0)
  ),
"")</f>
        <v>1</v>
      </c>
      <c r="P228" cm="1">
        <f t="array" ref="P228">IF(K228=3,"",
  IFERROR(
    INDEX('Fairway Log'!$E$2:$V$70,
      MATCH(1,
        ('Fairway Log'!$A$2:$A$70=$A228)*
        ('Fairway Log'!$B$2:$B$70=$B228)*
        ('Fairway Log'!$C$2:$C299=$C228),
      0),
      MATCH($G228,'Fairway Log'!$E$1:$V$1,0)
    ),
  "")
)</f>
        <v>1</v>
      </c>
      <c r="Q228" t="str" cm="1">
        <f t="array" ref="Q228">IFERROR(
  INDEX('GIR Log'!$E$2:$V$70,
    MATCH(1,
      ('GIR Log'!$A$2:$A$70=$A228)*
      ('GIR Log'!$B$2:$B$70=$B228)*
      ('GIR Log'!$C$2:$C$70=$C228),
    0),
    MATCH($G228,'GIR Log'!$E$1:$V$1,0)
  ),
"")</f>
        <v>↓</v>
      </c>
    </row>
    <row r="229" spans="1:17" x14ac:dyDescent="0.25">
      <c r="A229" s="20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Log'!$E$2:$V$70,
    MATCH(1,
      ('Golf Log'!$A$2:$A$70=$A229)*
      ('Golf Log'!$B$2:$B$70=$B229)*
      ('Golf Log'!$C$2:$C$70=$C229),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Log'!$E$2:$V$70,
    MATCH(1,
      ('Putt Log'!$A$2:$A$70=$A229)*
      ('Putt Log'!$B$2:$B$70=$B229)*
      ('Putt Log'!$C$2:$C$70=$C229),
    0),
    MATCH($G229,'Putt Log'!$E$1:$V$1,0)
  ),
"")</f>
        <v>1</v>
      </c>
      <c r="P229" t="str" cm="1">
        <f t="array" ref="P229">IF(K229=3,"",
  IFERROR(
    INDEX('Fairway Log'!$E$2:$V$70,
      MATCH(1,
        ('Fairway Log'!$A$2:$A$70=$A229)*
        ('Fairway Log'!$B$2:$B$70=$B229)*
        ('Fairway Log'!$C$2:$C300=$C229),
      0),
      MATCH($G229,'Fairway Log'!$E$1:$V$1,0)
    ),
  "")
)</f>
        <v/>
      </c>
      <c r="Q229" t="str" cm="1">
        <f t="array" ref="Q229">IFERROR(
  INDEX('GIR Log'!$E$2:$V$70,
    MATCH(1,
      ('GIR Log'!$A$2:$A$70=$A229)*
      ('GIR Log'!$B$2:$B$70=$B229)*
      ('GIR Log'!$C$2:$C$70=$C229),
    0),
    MATCH($G229,'GIR Log'!$E$1:$V$1,0)
  ),
"")</f>
        <v>→</v>
      </c>
    </row>
    <row r="230" spans="1:17" x14ac:dyDescent="0.25">
      <c r="A230" s="20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Log'!$E$2:$V$70,
    MATCH(1,
      ('Golf Log'!$A$2:$A$70=$A230)*
      ('Golf Log'!$B$2:$B$70=$B230)*
      ('Golf Log'!$C$2:$C$70=$C230),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Log'!$E$2:$V$70,
    MATCH(1,
      ('Putt Log'!$A$2:$A$70=$A230)*
      ('Putt Log'!$B$2:$B$70=$B230)*
      ('Putt Log'!$C$2:$C$70=$C230),
    0),
    MATCH($G230,'Putt Log'!$E$1:$V$1,0)
  ),
"")</f>
        <v>2</v>
      </c>
      <c r="P230" t="str" cm="1">
        <f t="array" ref="P230">IF(K230=3,"",
  IFERROR(
    INDEX('Fairway Log'!$E$2:$V$70,
      MATCH(1,
        ('Fairway Log'!$A$2:$A$70=$A230)*
        ('Fairway Log'!$B$2:$B$70=$B230)*
        ('Fairway Log'!$C$2:$C301=$C230),
      0),
      MATCH($G230,'Fairway Log'!$E$1:$V$1,0)
    ),
  "")
)</f>
        <v>←</v>
      </c>
      <c r="Q230" t="str" cm="1">
        <f t="array" ref="Q230">IFERROR(
  INDEX('GIR Log'!$E$2:$V$70,
    MATCH(1,
      ('GIR Log'!$A$2:$A$70=$A230)*
      ('GIR Log'!$B$2:$B$70=$B230)*
      ('GIR Log'!$C$2:$C$70=$C230),
    0),
    MATCH($G230,'GIR Log'!$E$1:$V$1,0)
  ),
"")</f>
        <v>←</v>
      </c>
    </row>
    <row r="231" spans="1:17" x14ac:dyDescent="0.25">
      <c r="A231" s="20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Log'!$E$2:$V$70,
    MATCH(1,
      ('Golf Log'!$A$2:$A$70=$A231)*
      ('Golf Log'!$B$2:$B$70=$B231)*
      ('Golf Log'!$C$2:$C$70=$C231),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Log'!$E$2:$V$70,
    MATCH(1,
      ('Putt Log'!$A$2:$A$70=$A231)*
      ('Putt Log'!$B$2:$B$70=$B231)*
      ('Putt Log'!$C$2:$C$70=$C231),
    0),
    MATCH($G231,'Putt Log'!$E$1:$V$1,0)
  ),
"")</f>
        <v>1</v>
      </c>
      <c r="P231" cm="1">
        <f t="array" ref="P231">IF(K231=3,"",
  IFERROR(
    INDEX('Fairway Log'!$E$2:$V$70,
      MATCH(1,
        ('Fairway Log'!$A$2:$A$70=$A231)*
        ('Fairway Log'!$B$2:$B$70=$B231)*
        ('Fairway Log'!$C$2:$C302=$C231),
      0),
      MATCH($G231,'Fairway Log'!$E$1:$V$1,0)
    ),
  "")
)</f>
        <v>1</v>
      </c>
      <c r="Q231" t="str" cm="1">
        <f t="array" ref="Q231">IFERROR(
  INDEX('GIR Log'!$E$2:$V$70,
    MATCH(1,
      ('GIR Log'!$A$2:$A$70=$A231)*
      ('GIR Log'!$B$2:$B$70=$B231)*
      ('GIR Log'!$C$2:$C$70=$C231),
    0),
    MATCH($G231,'GIR Log'!$E$1:$V$1,0)
  ),
"")</f>
        <v>↓</v>
      </c>
    </row>
    <row r="232" spans="1:17" x14ac:dyDescent="0.25">
      <c r="A232" s="20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Log'!$E$2:$V$70,
    MATCH(1,
      ('Golf Log'!$A$2:$A$70=$A232)*
      ('Golf Log'!$B$2:$B$70=$B232)*
      ('Golf Log'!$C$2:$C$70=$C232),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Log'!$E$2:$V$70,
    MATCH(1,
      ('Putt Log'!$A$2:$A$70=$A232)*
      ('Putt Log'!$B$2:$B$70=$B232)*
      ('Putt Log'!$C$2:$C$70=$C232),
    0),
    MATCH($G232,'Putt Log'!$E$1:$V$1,0)
  ),
"")</f>
        <v>2</v>
      </c>
      <c r="P232" t="str" cm="1">
        <f t="array" ref="P232">IF(K232=3,"",
  IFERROR(
    INDEX('Fairway Log'!$E$2:$V$70,
      MATCH(1,
        ('Fairway Log'!$A$2:$A$70=$A232)*
        ('Fairway Log'!$B$2:$B$70=$B232)*
        ('Fairway Log'!$C$2:$C303=$C232),
      0),
      MATCH($G232,'Fairway Log'!$E$1:$V$1,0)
    ),
  "")
)</f>
        <v>→</v>
      </c>
      <c r="Q232" t="str" cm="1">
        <f t="array" ref="Q232">IFERROR(
  INDEX('GIR Log'!$E$2:$V$70,
    MATCH(1,
      ('GIR Log'!$A$2:$A$70=$A232)*
      ('GIR Log'!$B$2:$B$70=$B232)*
      ('GIR Log'!$C$2:$C$70=$C232),
    0),
    MATCH($G232,'GIR Log'!$E$1:$V$1,0)
  ),
"")</f>
        <v>↓</v>
      </c>
    </row>
    <row r="233" spans="1:17" x14ac:dyDescent="0.25">
      <c r="A233" s="20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Log'!$E$2:$V$70,
    MATCH(1,
      ('Golf Log'!$A$2:$A$70=$A233)*
      ('Golf Log'!$B$2:$B$70=$B233)*
      ('Golf Log'!$C$2:$C$70=$C233),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Log'!$E$2:$V$70,
    MATCH(1,
      ('Putt Log'!$A$2:$A$70=$A233)*
      ('Putt Log'!$B$2:$B$70=$B233)*
      ('Putt Log'!$C$2:$C$70=$C233),
    0),
    MATCH($G233,'Putt Log'!$E$1:$V$1,0)
  ),
"")</f>
        <v>2</v>
      </c>
      <c r="P233" cm="1">
        <f t="array" ref="P233">IF(K233=3,"",
  IFERROR(
    INDEX('Fairway Log'!$E$2:$V$70,
      MATCH(1,
        ('Fairway Log'!$A$2:$A$70=$A233)*
        ('Fairway Log'!$B$2:$B$70=$B233)*
        ('Fairway Log'!$C$2:$C304=$C233),
      0),
      MATCH($G233,'Fairway Log'!$E$1:$V$1,0)
    ),
  "")
)</f>
        <v>1</v>
      </c>
      <c r="Q233" cm="1">
        <f t="array" ref="Q233">IFERROR(
  INDEX('GIR Log'!$E$2:$V$70,
    MATCH(1,
      ('GIR Log'!$A$2:$A$70=$A233)*
      ('GIR Log'!$B$2:$B$70=$B233)*
      ('GIR Log'!$C$2:$C$70=$C233),
    0),
    MATCH($G233,'GIR Log'!$E$1:$V$1,0)
  ),
"")</f>
        <v>1</v>
      </c>
    </row>
    <row r="234" spans="1:17" x14ac:dyDescent="0.25">
      <c r="A234" s="20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Log'!$E$2:$V$70,
    MATCH(1,
      ('Golf Log'!$A$2:$A$70=$A234)*
      ('Golf Log'!$B$2:$B$70=$B234)*
      ('Golf Log'!$C$2:$C$70=$C234),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Log'!$E$2:$V$70,
    MATCH(1,
      ('Putt Log'!$A$2:$A$70=$A234)*
      ('Putt Log'!$B$2:$B$70=$B234)*
      ('Putt Log'!$C$2:$C$70=$C234),
    0),
    MATCH($G234,'Putt Log'!$E$1:$V$1,0)
  ),
"")</f>
        <v>1</v>
      </c>
      <c r="P234" t="str" cm="1">
        <f t="array" ref="P234">IF(K234=3,"",
  IFERROR(
    INDEX('Fairway Log'!$E$2:$V$70,
      MATCH(1,
        ('Fairway Log'!$A$2:$A$70=$A234)*
        ('Fairway Log'!$B$2:$B$70=$B234)*
        ('Fairway Log'!$C$2:$C305=$C234),
      0),
      MATCH($G234,'Fairway Log'!$E$1:$V$1,0)
    ),
  "")
)</f>
        <v/>
      </c>
      <c r="Q234" t="str" cm="1">
        <f t="array" ref="Q234">IFERROR(
  INDEX('GIR Log'!$E$2:$V$70,
    MATCH(1,
      ('GIR Log'!$A$2:$A$70=$A234)*
      ('GIR Log'!$B$2:$B$70=$B234)*
      ('GIR Log'!$C$2:$C$70=$C234),
    0),
    MATCH($G234,'GIR Log'!$E$1:$V$1,0)
  ),
"")</f>
        <v>→</v>
      </c>
    </row>
    <row r="235" spans="1:17" x14ac:dyDescent="0.25">
      <c r="A235" s="20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Log'!$E$2:$V$70,
    MATCH(1,
      ('Golf Log'!$A$2:$A$70=$A235)*
      ('Golf Log'!$B$2:$B$70=$B235)*
      ('Golf Log'!$C$2:$C$70=$C235),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Log'!$E$2:$V$70,
    MATCH(1,
      ('Putt Log'!$A$2:$A$70=$A235)*
      ('Putt Log'!$B$2:$B$70=$B235)*
      ('Putt Log'!$C$2:$C$70=$C235),
    0),
    MATCH($G235,'Putt Log'!$E$1:$V$1,0)
  ),
"")</f>
        <v>1</v>
      </c>
      <c r="P235" t="str" cm="1">
        <f t="array" ref="P235">IF(K235=3,"",
  IFERROR(
    INDEX('Fairway Log'!$E$2:$V$70,
      MATCH(1,
        ('Fairway Log'!$A$2:$A$70=$A235)*
        ('Fairway Log'!$B$2:$B$70=$B235)*
        ('Fairway Log'!$C$2:$C306=$C235),
      0),
      MATCH($G235,'Fairway Log'!$E$1:$V$1,0)
    ),
  "")
)</f>
        <v>→</v>
      </c>
      <c r="Q235" t="str" cm="1">
        <f t="array" ref="Q235">IFERROR(
  INDEX('GIR Log'!$E$2:$V$70,
    MATCH(1,
      ('GIR Log'!$A$2:$A$70=$A235)*
      ('GIR Log'!$B$2:$B$70=$B235)*
      ('GIR Log'!$C$2:$C$70=$C235),
    0),
    MATCH($G235,'GIR Log'!$E$1:$V$1,0)
  ),
"")</f>
        <v>↓</v>
      </c>
    </row>
    <row r="236" spans="1:17" x14ac:dyDescent="0.25">
      <c r="A236" s="20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Log'!$E$2:$V$70,
    MATCH(1,
      ('Golf Log'!$A$2:$A$70=$A236)*
      ('Golf Log'!$B$2:$B$70=$B236)*
      ('Golf Log'!$C$2:$C$70=$C236),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Log'!$E$2:$V$70,
    MATCH(1,
      ('Putt Log'!$A$2:$A$70=$A236)*
      ('Putt Log'!$B$2:$B$70=$B236)*
      ('Putt Log'!$C$2:$C$70=$C236),
    0),
    MATCH($G236,'Putt Log'!$E$1:$V$1,0)
  ),
"")</f>
        <v>2</v>
      </c>
      <c r="P236" t="str" cm="1">
        <f t="array" ref="P236">IF(K236=3,"",
  IFERROR(
    INDEX('Fairway Log'!$E$2:$V$70,
      MATCH(1,
        ('Fairway Log'!$A$2:$A$70=$A236)*
        ('Fairway Log'!$B$2:$B$70=$B236)*
        ('Fairway Log'!$C$2:$C307=$C236),
      0),
      MATCH($G236,'Fairway Log'!$E$1:$V$1,0)
    ),
  "")
)</f>
        <v>→</v>
      </c>
      <c r="Q236" t="str" cm="1">
        <f t="array" ref="Q236">IFERROR(
  INDEX('GIR Log'!$E$2:$V$70,
    MATCH(1,
      ('GIR Log'!$A$2:$A$70=$A236)*
      ('GIR Log'!$B$2:$B$70=$B236)*
      ('GIR Log'!$C$2:$C$70=$C236),
    0),
    MATCH($G236,'GIR Log'!$E$1:$V$1,0)
  ),
"")</f>
        <v>NC</v>
      </c>
    </row>
    <row r="237" spans="1:17" x14ac:dyDescent="0.25">
      <c r="A237" s="20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Log'!$E$2:$V$70,
    MATCH(1,
      ('Golf Log'!$A$2:$A$70=$A237)*
      ('Golf Log'!$B$2:$B$70=$B237)*
      ('Golf Log'!$C$2:$C$70=$C237),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Log'!$E$2:$V$70,
    MATCH(1,
      ('Putt Log'!$A$2:$A$70=$A237)*
      ('Putt Log'!$B$2:$B$70=$B237)*
      ('Putt Log'!$C$2:$C$70=$C237),
    0),
    MATCH($G237,'Putt Log'!$E$1:$V$1,0)
  ),
"")</f>
        <v>1</v>
      </c>
      <c r="P237" t="str" cm="1">
        <f t="array" ref="P237">IF(K237=3,"",
  IFERROR(
    INDEX('Fairway Log'!$E$2:$V$70,
      MATCH(1,
        ('Fairway Log'!$A$2:$A$70=$A237)*
        ('Fairway Log'!$B$2:$B$70=$B237)*
        ('Fairway Log'!$C$2:$C308=$C237),
      0),
      MATCH($G237,'Fairway Log'!$E$1:$V$1,0)
    ),
  "")
)</f>
        <v>→</v>
      </c>
      <c r="Q237" t="str" cm="1">
        <f t="array" ref="Q237">IFERROR(
  INDEX('GIR Log'!$E$2:$V$70,
    MATCH(1,
      ('GIR Log'!$A$2:$A$70=$A237)*
      ('GIR Log'!$B$2:$B$70=$B237)*
      ('GIR Log'!$C$2:$C$70=$C237),
    0),
    MATCH($G237,'GIR Log'!$E$1:$V$1,0)
  ),
"")</f>
        <v>NC</v>
      </c>
    </row>
    <row r="238" spans="1:17" x14ac:dyDescent="0.25">
      <c r="A238" s="20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Log'!$E$2:$V$70,
    MATCH(1,
      ('Golf Log'!$A$2:$A$70=$A238)*
      ('Golf Log'!$B$2:$B$70=$B238)*
      ('Golf Log'!$C$2:$C$70=$C238),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Log'!$E$2:$V$70,
    MATCH(1,
      ('Putt Log'!$A$2:$A$70=$A238)*
      ('Putt Log'!$B$2:$B$70=$B238)*
      ('Putt Log'!$C$2:$C$70=$C238),
    0),
    MATCH($G238,'Putt Log'!$E$1:$V$1,0)
  ),
"")</f>
        <v>2</v>
      </c>
      <c r="P238" t="str" cm="1">
        <f t="array" ref="P238">IF(K238=3,"",
  IFERROR(
    INDEX('Fairway Log'!$E$2:$V$70,
      MATCH(1,
        ('Fairway Log'!$A$2:$A$70=$A238)*
        ('Fairway Log'!$B$2:$B$70=$B238)*
        ('Fairway Log'!$C$2:$C309=$C238),
      0),
      MATCH($G238,'Fairway Log'!$E$1:$V$1,0)
    ),
  "")
)</f>
        <v/>
      </c>
      <c r="Q238" cm="1">
        <f t="array" ref="Q238">IFERROR(
  INDEX('GIR Log'!$E$2:$V$70,
    MATCH(1,
      ('GIR Log'!$A$2:$A$70=$A238)*
      ('GIR Log'!$B$2:$B$70=$B238)*
      ('GIR Log'!$C$2:$C$70=$C238),
    0),
    MATCH($G238,'GIR Log'!$E$1:$V$1,0)
  ),
"")</f>
        <v>1</v>
      </c>
    </row>
    <row r="239" spans="1:17" x14ac:dyDescent="0.25">
      <c r="A239" s="20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Log'!$E$2:$V$70,
    MATCH(1,
      ('Golf Log'!$A$2:$A$70=$A239)*
      ('Golf Log'!$B$2:$B$70=$B239)*
      ('Golf Log'!$C$2:$C$70=$C239),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Log'!$E$2:$V$70,
    MATCH(1,
      ('Putt Log'!$A$2:$A$70=$A239)*
      ('Putt Log'!$B$2:$B$70=$B239)*
      ('Putt Log'!$C$2:$C$70=$C239),
    0),
    MATCH($G239,'Putt Log'!$E$1:$V$1,0)
  ),
"")</f>
        <v>2</v>
      </c>
      <c r="P239" cm="1">
        <f t="array" ref="P239">IF(K239=3,"",
  IFERROR(
    INDEX('Fairway Log'!$E$2:$V$70,
      MATCH(1,
        ('Fairway Log'!$A$2:$A$70=$A239)*
        ('Fairway Log'!$B$2:$B$70=$B239)*
        ('Fairway Log'!$C$2:$C310=$C239),
      0),
      MATCH($G239,'Fairway Log'!$E$1:$V$1,0)
    ),
  "")
)</f>
        <v>1</v>
      </c>
      <c r="Q239" cm="1">
        <f t="array" ref="Q239">IFERROR(
  INDEX('GIR Log'!$E$2:$V$70,
    MATCH(1,
      ('GIR Log'!$A$2:$A$70=$A239)*
      ('GIR Log'!$B$2:$B$70=$B239)*
      ('GIR Log'!$C$2:$C$70=$C239),
    0),
    MATCH($G239,'GIR Log'!$E$1:$V$1,0)
  ),
"")</f>
        <v>1</v>
      </c>
    </row>
    <row r="240" spans="1:17" x14ac:dyDescent="0.25">
      <c r="A240" s="20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Log'!$E$2:$V$70,
    MATCH(1,
      ('Golf Log'!$A$2:$A$70=$A240)*
      ('Golf Log'!$B$2:$B$70=$B240)*
      ('Golf Log'!$C$2:$C$70=$C240),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Log'!$E$2:$V$70,
    MATCH(1,
      ('Putt Log'!$A$2:$A$70=$A240)*
      ('Putt Log'!$B$2:$B$70=$B240)*
      ('Putt Log'!$C$2:$C$70=$C240),
    0),
    MATCH($G240,'Putt Log'!$E$1:$V$1,0)
  ),
"")</f>
        <v>1</v>
      </c>
      <c r="P240" cm="1">
        <f t="array" ref="P240">IF(K240=3,"",
  IFERROR(
    INDEX('Fairway Log'!$E$2:$V$70,
      MATCH(1,
        ('Fairway Log'!$A$2:$A$70=$A240)*
        ('Fairway Log'!$B$2:$B$70=$B240)*
        ('Fairway Log'!$C$2:$C311=$C240),
      0),
      MATCH($G240,'Fairway Log'!$E$1:$V$1,0)
    ),
  "")
)</f>
        <v>1</v>
      </c>
      <c r="Q240" cm="1">
        <f t="array" ref="Q240">IFERROR(
  INDEX('GIR Log'!$E$2:$V$70,
    MATCH(1,
      ('GIR Log'!$A$2:$A$70=$A240)*
      ('GIR Log'!$B$2:$B$70=$B240)*
      ('GIR Log'!$C$2:$C$70=$C240),
    0),
    MATCH($G240,'GIR Log'!$E$1:$V$1,0)
  ),
"")</f>
        <v>1</v>
      </c>
    </row>
    <row r="241" spans="1:17" x14ac:dyDescent="0.25">
      <c r="A241" s="20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Log'!$E$2:$V$70,
    MATCH(1,
      ('Golf Log'!$A$2:$A$70=$A241)*
      ('Golf Log'!$B$2:$B$70=$B241)*
      ('Golf Log'!$C$2:$C$70=$C241),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Log'!$E$2:$V$70,
    MATCH(1,
      ('Putt Log'!$A$2:$A$70=$A241)*
      ('Putt Log'!$B$2:$B$70=$B241)*
      ('Putt Log'!$C$2:$C$70=$C241),
    0),
    MATCH($G241,'Putt Log'!$E$1:$V$1,0)
  ),
"")</f>
        <v>1</v>
      </c>
      <c r="P241" t="str" cm="1">
        <f t="array" ref="P241">IF(K241=3,"",
  IFERROR(
    INDEX('Fairway Log'!$E$2:$V$70,
      MATCH(1,
        ('Fairway Log'!$A$2:$A$70=$A241)*
        ('Fairway Log'!$B$2:$B$70=$B241)*
        ('Fairway Log'!$C$2:$C312=$C241),
      0),
      MATCH($G241,'Fairway Log'!$E$1:$V$1,0)
    ),
  "")
)</f>
        <v>↑</v>
      </c>
      <c r="Q241" t="str" cm="1">
        <f t="array" ref="Q241">IFERROR(
  INDEX('GIR Log'!$E$2:$V$70,
    MATCH(1,
      ('GIR Log'!$A$2:$A$70=$A241)*
      ('GIR Log'!$B$2:$B$70=$B241)*
      ('GIR Log'!$C$2:$C$70=$C241),
    0),
    MATCH($G241,'GIR Log'!$E$1:$V$1,0)
  ),
"")</f>
        <v>NC</v>
      </c>
    </row>
    <row r="242" spans="1:17" x14ac:dyDescent="0.25">
      <c r="A242" s="20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Log'!$E$2:$V$70,
    MATCH(1,
      ('Golf Log'!$A$2:$A$70=$A242)*
      ('Golf Log'!$B$2:$B$70=$B242)*
      ('Golf Log'!$C$2:$C$70=$C242),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Log'!$E$2:$V$70,
    MATCH(1,
      ('Putt Log'!$A$2:$A$70=$A242)*
      ('Putt Log'!$B$2:$B$70=$B242)*
      ('Putt Log'!$C$2:$C$70=$C242),
    0),
    MATCH($G242,'Putt Log'!$E$1:$V$1,0)
  ),
"")</f>
        <v>1</v>
      </c>
      <c r="P242" t="str" cm="1">
        <f t="array" ref="P242">IF(K242=3,"",
  IFERROR(
    INDEX('Fairway Log'!$E$2:$V$70,
      MATCH(1,
        ('Fairway Log'!$A$2:$A$70=$A242)*
        ('Fairway Log'!$B$2:$B$70=$B242)*
        ('Fairway Log'!$C$2:$C313=$C242),
      0),
      MATCH($G242,'Fairway Log'!$E$1:$V$1,0)
    ),
  "")
)</f>
        <v/>
      </c>
      <c r="Q242" t="str" cm="1">
        <f t="array" ref="Q242">IFERROR(
  INDEX('GIR Log'!$E$2:$V$70,
    MATCH(1,
      ('GIR Log'!$A$2:$A$70=$A242)*
      ('GIR Log'!$B$2:$B$70=$B242)*
      ('GIR Log'!$C$2:$C$70=$C242),
    0),
    MATCH($G242,'GIR Log'!$E$1:$V$1,0)
  ),
"")</f>
        <v>→</v>
      </c>
    </row>
    <row r="243" spans="1:17" x14ac:dyDescent="0.25">
      <c r="A243" s="20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Log'!$E$2:$V$70,
    MATCH(1,
      ('Golf Log'!$A$2:$A$70=$A243)*
      ('Golf Log'!$B$2:$B$70=$B243)*
      ('Golf Log'!$C$2:$C$70=$C243),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Log'!$E$2:$V$70,
    MATCH(1,
      ('Putt Log'!$A$2:$A$70=$A243)*
      ('Putt Log'!$B$2:$B$70=$B243)*
      ('Putt Log'!$C$2:$C$70=$C243),
    0),
    MATCH($G243,'Putt Log'!$E$1:$V$1,0)
  ),
"")</f>
        <v>2</v>
      </c>
      <c r="P243" cm="1">
        <f t="array" ref="P243">IF(K243=3,"",
  IFERROR(
    INDEX('Fairway Log'!$E$2:$V$70,
      MATCH(1,
        ('Fairway Log'!$A$2:$A$70=$A243)*
        ('Fairway Log'!$B$2:$B$70=$B243)*
        ('Fairway Log'!$C$2:$C314=$C243),
      0),
      MATCH($G243,'Fairway Log'!$E$1:$V$1,0)
    ),
  "")
)</f>
        <v>1</v>
      </c>
      <c r="Q243" cm="1">
        <f t="array" ref="Q243">IFERROR(
  INDEX('GIR Log'!$E$2:$V$70,
    MATCH(1,
      ('GIR Log'!$A$2:$A$70=$A243)*
      ('GIR Log'!$B$2:$B$70=$B243)*
      ('GIR Log'!$C$2:$C$70=$C243),
    0),
    MATCH($G243,'GIR Log'!$E$1:$V$1,0)
  ),
"")</f>
        <v>1</v>
      </c>
    </row>
    <row r="244" spans="1:17" x14ac:dyDescent="0.25">
      <c r="A244" s="20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Log'!$E$2:$V$70,
    MATCH(1,
      ('Golf Log'!$A$2:$A$70=$A244)*
      ('Golf Log'!$B$2:$B$70=$B244)*
      ('Golf Log'!$C$2:$C$70=$C244),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Log'!$E$2:$V$70,
    MATCH(1,
      ('Putt Log'!$A$2:$A$70=$A244)*
      ('Putt Log'!$B$2:$B$70=$B244)*
      ('Putt Log'!$C$2:$C$70=$C244),
    0),
    MATCH($G244,'Putt Log'!$E$1:$V$1,0)
  ),
"")</f>
        <v>1</v>
      </c>
      <c r="P244" cm="1">
        <f t="array" ref="P244">IF(K244=3,"",
  IFERROR(
    INDEX('Fairway Log'!$E$2:$V$70,
      MATCH(1,
        ('Fairway Log'!$A$2:$A$70=$A244)*
        ('Fairway Log'!$B$2:$B$70=$B244)*
        ('Fairway Log'!$C$2:$C315=$C244),
      0),
      MATCH($G244,'Fairway Log'!$E$1:$V$1,0)
    ),
  "")
)</f>
        <v>1</v>
      </c>
      <c r="Q244" cm="1">
        <f t="array" ref="Q244">IFERROR(
  INDEX('GIR Log'!$E$2:$V$70,
    MATCH(1,
      ('GIR Log'!$A$2:$A$70=$A244)*
      ('GIR Log'!$B$2:$B$70=$B244)*
      ('GIR Log'!$C$2:$C$70=$C244),
    0),
    MATCH($G244,'GIR Log'!$E$1:$V$1,0)
  ),
"")</f>
        <v>1</v>
      </c>
    </row>
    <row r="245" spans="1:17" x14ac:dyDescent="0.25">
      <c r="A245" s="20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Log'!$E$2:$V$70,
    MATCH(1,
      ('Golf Log'!$A$2:$A$70=$A245)*
      ('Golf Log'!$B$2:$B$70=$B245)*
      ('Golf Log'!$C$2:$C$70=$C245),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Log'!$E$2:$V$70,
    MATCH(1,
      ('Putt Log'!$A$2:$A$70=$A245)*
      ('Putt Log'!$B$2:$B$70=$B245)*
      ('Putt Log'!$C$2:$C$70=$C245),
    0),
    MATCH($G245,'Putt Log'!$E$1:$V$1,0)
  ),
"")</f>
        <v>2</v>
      </c>
      <c r="P245" cm="1">
        <f t="array" ref="P245">IF(K245=3,"",
  IFERROR(
    INDEX('Fairway Log'!$E$2:$V$70,
      MATCH(1,
        ('Fairway Log'!$A$2:$A$70=$A245)*
        ('Fairway Log'!$B$2:$B$70=$B245)*
        ('Fairway Log'!$C$2:$C316=$C245),
      0),
      MATCH($G245,'Fairway Log'!$E$1:$V$1,0)
    ),
  "")
)</f>
        <v>1</v>
      </c>
      <c r="Q245" cm="1">
        <f t="array" ref="Q245">IFERROR(
  INDEX('GIR Log'!$E$2:$V$70,
    MATCH(1,
      ('GIR Log'!$A$2:$A$70=$A245)*
      ('GIR Log'!$B$2:$B$70=$B245)*
      ('GIR Log'!$C$2:$C$70=$C245),
    0),
    MATCH($G245,'GIR Log'!$E$1:$V$1,0)
  ),
"")</f>
        <v>1</v>
      </c>
    </row>
    <row r="246" spans="1:17" x14ac:dyDescent="0.25">
      <c r="A246" s="20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Log'!$E$2:$V$70,
    MATCH(1,
      ('Golf Log'!$A$2:$A$70=$A246)*
      ('Golf Log'!$B$2:$B$70=$B246)*
      ('Golf Log'!$C$2:$C$70=$C246),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Log'!$E$2:$V$70,
    MATCH(1,
      ('Putt Log'!$A$2:$A$70=$A246)*
      ('Putt Log'!$B$2:$B$70=$B246)*
      ('Putt Log'!$C$2:$C$70=$C246),
    0),
    MATCH($G246,'Putt Log'!$E$1:$V$1,0)
  ),
"")</f>
        <v>1</v>
      </c>
      <c r="P246" t="str" cm="1">
        <f t="array" ref="P246">IF(K246=3,"",
  IFERROR(
    INDEX('Fairway Log'!$E$2:$V$70,
      MATCH(1,
        ('Fairway Log'!$A$2:$A$70=$A246)*
        ('Fairway Log'!$B$2:$B$70=$B246)*
        ('Fairway Log'!$C$2:$C317=$C246),
      0),
      MATCH($G246,'Fairway Log'!$E$1:$V$1,0)
    ),
  "")
)</f>
        <v/>
      </c>
      <c r="Q246" t="str" cm="1">
        <f t="array" ref="Q246">IFERROR(
  INDEX('GIR Log'!$E$2:$V$70,
    MATCH(1,
      ('GIR Log'!$A$2:$A$70=$A246)*
      ('GIR Log'!$B$2:$B$70=$B246)*
      ('GIR Log'!$C$2:$C$70=$C246),
    0),
    MATCH($G246,'GIR Log'!$E$1:$V$1,0)
  ),
"")</f>
        <v>→</v>
      </c>
    </row>
    <row r="247" spans="1:17" x14ac:dyDescent="0.25">
      <c r="A247" s="20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Log'!$E$2:$V$70,
    MATCH(1,
      ('Golf Log'!$A$2:$A$70=$A247)*
      ('Golf Log'!$B$2:$B$70=$B247)*
      ('Golf Log'!$C$2:$C$70=$C247),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Log'!$E$2:$V$70,
    MATCH(1,
      ('Putt Log'!$A$2:$A$70=$A247)*
      ('Putt Log'!$B$2:$B$70=$B247)*
      ('Putt Log'!$C$2:$C$70=$C247),
    0),
    MATCH($G247,'Putt Log'!$E$1:$V$1,0)
  ),
"")</f>
        <v>1</v>
      </c>
      <c r="P247" t="str" cm="1">
        <f t="array" ref="P247">IF(K247=3,"",
  IFERROR(
    INDEX('Fairway Log'!$E$2:$V$70,
      MATCH(1,
        ('Fairway Log'!$A$2:$A$70=$A247)*
        ('Fairway Log'!$B$2:$B$70=$B247)*
        ('Fairway Log'!$C$2:$C318=$C247),
      0),
      MATCH($G247,'Fairway Log'!$E$1:$V$1,0)
    ),
  "")
)</f>
        <v>→</v>
      </c>
      <c r="Q247" t="str" cm="1">
        <f t="array" ref="Q247">IFERROR(
  INDEX('GIR Log'!$E$2:$V$70,
    MATCH(1,
      ('GIR Log'!$A$2:$A$70=$A247)*
      ('GIR Log'!$B$2:$B$70=$B247)*
      ('GIR Log'!$C$2:$C$70=$C247),
    0),
    MATCH($G247,'GIR Log'!$E$1:$V$1,0)
  ),
"")</f>
        <v>→</v>
      </c>
    </row>
    <row r="248" spans="1:17" x14ac:dyDescent="0.25">
      <c r="A248" s="20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Log'!$E$2:$V$70,
    MATCH(1,
      ('Golf Log'!$A$2:$A$70=$A248)*
      ('Golf Log'!$B$2:$B$70=$B248)*
      ('Golf Log'!$C$2:$C$70=$C248),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Log'!$E$2:$V$70,
    MATCH(1,
      ('Putt Log'!$A$2:$A$70=$A248)*
      ('Putt Log'!$B$2:$B$70=$B248)*
      ('Putt Log'!$C$2:$C$70=$C248),
    0),
    MATCH($G248,'Putt Log'!$E$1:$V$1,0)
  ),
"")</f>
        <v>2</v>
      </c>
      <c r="P248" cm="1">
        <f t="array" ref="P248">IF(K248=3,"",
  IFERROR(
    INDEX('Fairway Log'!$E$2:$V$70,
      MATCH(1,
        ('Fairway Log'!$A$2:$A$70=$A248)*
        ('Fairway Log'!$B$2:$B$70=$B248)*
        ('Fairway Log'!$C$2:$C319=$C248),
      0),
      MATCH($G248,'Fairway Log'!$E$1:$V$1,0)
    ),
  "")
)</f>
        <v>1</v>
      </c>
      <c r="Q248" cm="1">
        <f t="array" ref="Q248">IFERROR(
  INDEX('GIR Log'!$E$2:$V$70,
    MATCH(1,
      ('GIR Log'!$A$2:$A$70=$A248)*
      ('GIR Log'!$B$2:$B$70=$B248)*
      ('GIR Log'!$C$2:$C$70=$C248),
    0),
    MATCH($G248,'GIR Log'!$E$1:$V$1,0)
  ),
"")</f>
        <v>1</v>
      </c>
    </row>
    <row r="249" spans="1:17" x14ac:dyDescent="0.25">
      <c r="A249" s="20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Log'!$E$2:$V$70,
    MATCH(1,
      ('Golf Log'!$A$2:$A$70=$A249)*
      ('Golf Log'!$B$2:$B$70=$B249)*
      ('Golf Log'!$C$2:$C$70=$C249),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Log'!$E$2:$V$70,
    MATCH(1,
      ('Putt Log'!$A$2:$A$70=$A249)*
      ('Putt Log'!$B$2:$B$70=$B249)*
      ('Putt Log'!$C$2:$C$70=$C249),
    0),
    MATCH($G249,'Putt Log'!$E$1:$V$1,0)
  ),
"")</f>
        <v>2</v>
      </c>
      <c r="P249" cm="1">
        <f t="array" ref="P249">IF(K249=3,"",
  IFERROR(
    INDEX('Fairway Log'!$E$2:$V$70,
      MATCH(1,
        ('Fairway Log'!$A$2:$A$70=$A249)*
        ('Fairway Log'!$B$2:$B$70=$B249)*
        ('Fairway Log'!$C$2:$C320=$C249),
      0),
      MATCH($G249,'Fairway Log'!$E$1:$V$1,0)
    ),
  "")
)</f>
        <v>1</v>
      </c>
      <c r="Q249" t="str" cm="1">
        <f t="array" ref="Q249">IFERROR(
  INDEX('GIR Log'!$E$2:$V$70,
    MATCH(1,
      ('GIR Log'!$A$2:$A$70=$A249)*
      ('GIR Log'!$B$2:$B$70=$B249)*
      ('GIR Log'!$C$2:$C$70=$C249),
    0),
    MATCH($G249,'GIR Log'!$E$1:$V$1,0)
  ),
"")</f>
        <v>↓</v>
      </c>
    </row>
    <row r="250" spans="1:17" x14ac:dyDescent="0.25">
      <c r="A250" s="20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Log'!$E$2:$V$70,
    MATCH(1,
      ('Golf Log'!$A$2:$A$70=$A250)*
      ('Golf Log'!$B$2:$B$70=$B250)*
      ('Golf Log'!$C$2:$C$70=$C250),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Log'!$E$2:$V$70,
    MATCH(1,
      ('Putt Log'!$A$2:$A$70=$A250)*
      ('Putt Log'!$B$2:$B$70=$B250)*
      ('Putt Log'!$C$2:$C$70=$C250),
    0),
    MATCH($G250,'Putt Log'!$E$1:$V$1,0)
  ),
"")</f>
        <v>2</v>
      </c>
      <c r="P250" t="str" cm="1">
        <f t="array" ref="P250">IF(K250=3,"",
  IFERROR(
    INDEX('Fairway Log'!$E$2:$V$70,
      MATCH(1,
        ('Fairway Log'!$A$2:$A$70=$A250)*
        ('Fairway Log'!$B$2:$B$70=$B250)*
        ('Fairway Log'!$C$2:$C321=$C250),
      0),
      MATCH($G250,'Fairway Log'!$E$1:$V$1,0)
    ),
  "")
)</f>
        <v>↓</v>
      </c>
      <c r="Q250" t="str" cm="1">
        <f t="array" ref="Q250">IFERROR(
  INDEX('GIR Log'!$E$2:$V$70,
    MATCH(1,
      ('GIR Log'!$A$2:$A$70=$A250)*
      ('GIR Log'!$B$2:$B$70=$B250)*
      ('GIR Log'!$C$2:$C$70=$C250),
    0),
    MATCH($G250,'GIR Log'!$E$1:$V$1,0)
  ),
"")</f>
        <v>↑</v>
      </c>
    </row>
    <row r="251" spans="1:17" x14ac:dyDescent="0.25">
      <c r="A251" s="20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Log'!$E$2:$V$70,
    MATCH(1,
      ('Golf Log'!$A$2:$A$70=$A251)*
      ('Golf Log'!$B$2:$B$70=$B251)*
      ('Golf Log'!$C$2:$C$70=$C251),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Log'!$E$2:$V$70,
    MATCH(1,
      ('Putt Log'!$A$2:$A$70=$A251)*
      ('Putt Log'!$B$2:$B$70=$B251)*
      ('Putt Log'!$C$2:$C$70=$C251),
    0),
    MATCH($G251,'Putt Log'!$E$1:$V$1,0)
  ),
"")</f>
        <v>2</v>
      </c>
      <c r="P251" t="str" cm="1">
        <f t="array" ref="P251">IF(K251=3,"",
  IFERROR(
    INDEX('Fairway Log'!$E$2:$V$70,
      MATCH(1,
        ('Fairway Log'!$A$2:$A$70=$A251)*
        ('Fairway Log'!$B$2:$B$70=$B251)*
        ('Fairway Log'!$C$2:$C322=$C251),
      0),
      MATCH($G251,'Fairway Log'!$E$1:$V$1,0)
    ),
  "")
)</f>
        <v>→</v>
      </c>
      <c r="Q251" cm="1">
        <f t="array" ref="Q251">IFERROR(
  INDEX('GIR Log'!$E$2:$V$70,
    MATCH(1,
      ('GIR Log'!$A$2:$A$70=$A251)*
      ('GIR Log'!$B$2:$B$70=$B251)*
      ('GIR Log'!$C$2:$C$70=$C251),
    0),
    MATCH($G251,'GIR Log'!$E$1:$V$1,0)
  ),
"")</f>
        <v>1</v>
      </c>
    </row>
    <row r="252" spans="1:17" x14ac:dyDescent="0.25">
      <c r="A252" s="20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Log'!$E$2:$V$70,
    MATCH(1,
      ('Golf Log'!$A$2:$A$70=$A252)*
      ('Golf Log'!$B$2:$B$70=$B252)*
      ('Golf Log'!$C$2:$C$70=$C252),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Log'!$E$2:$V$70,
    MATCH(1,
      ('Putt Log'!$A$2:$A$70=$A252)*
      ('Putt Log'!$B$2:$B$70=$B252)*
      ('Putt Log'!$C$2:$C$70=$C252),
    0),
    MATCH($G252,'Putt Log'!$E$1:$V$1,0)
  ),
"")</f>
        <v>2</v>
      </c>
      <c r="P252" t="str" cm="1">
        <f t="array" ref="P252">IF(K252=3,"",
  IFERROR(
    INDEX('Fairway Log'!$E$2:$V$70,
      MATCH(1,
        ('Fairway Log'!$A$2:$A$70=$A252)*
        ('Fairway Log'!$B$2:$B$70=$B252)*
        ('Fairway Log'!$C$2:$C323=$C252),
      0),
      MATCH($G252,'Fairway Log'!$E$1:$V$1,0)
    ),
  "")
)</f>
        <v/>
      </c>
      <c r="Q252" t="str" cm="1">
        <f t="array" ref="Q252">IFERROR(
  INDEX('GIR Log'!$E$2:$V$70,
    MATCH(1,
      ('GIR Log'!$A$2:$A$70=$A252)*
      ('GIR Log'!$B$2:$B$70=$B252)*
      ('GIR Log'!$C$2:$C$70=$C252),
    0),
    MATCH($G252,'GIR Log'!$E$1:$V$1,0)
  ),
"")</f>
        <v>→</v>
      </c>
    </row>
    <row r="253" spans="1:17" x14ac:dyDescent="0.25">
      <c r="A253" s="20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Log'!$E$2:$V$70,
    MATCH(1,
      ('Golf Log'!$A$2:$A$70=$A253)*
      ('Golf Log'!$B$2:$B$70=$B253)*
      ('Golf Log'!$C$2:$C$70=$C253),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Log'!$E$2:$V$70,
    MATCH(1,
      ('Putt Log'!$A$2:$A$70=$A253)*
      ('Putt Log'!$B$2:$B$70=$B253)*
      ('Putt Log'!$C$2:$C$70=$C253),
    0),
    MATCH($G253,'Putt Log'!$E$1:$V$1,0)
  ),
"")</f>
        <v>2</v>
      </c>
      <c r="P253" cm="1">
        <f t="array" ref="P253">IF(K253=3,"",
  IFERROR(
    INDEX('Fairway Log'!$E$2:$V$70,
      MATCH(1,
        ('Fairway Log'!$A$2:$A$70=$A253)*
        ('Fairway Log'!$B$2:$B$70=$B253)*
        ('Fairway Log'!$C$2:$C324=$C253),
      0),
      MATCH($G253,'Fairway Log'!$E$1:$V$1,0)
    ),
  "")
)</f>
        <v>1</v>
      </c>
      <c r="Q253" t="str" cm="1">
        <f t="array" ref="Q253">IFERROR(
  INDEX('GIR Log'!$E$2:$V$70,
    MATCH(1,
      ('GIR Log'!$A$2:$A$70=$A253)*
      ('GIR Log'!$B$2:$B$70=$B253)*
      ('GIR Log'!$C$2:$C$70=$C253),
    0),
    MATCH($G253,'GIR Log'!$E$1:$V$1,0)
  ),
"")</f>
        <v>↑</v>
      </c>
    </row>
    <row r="254" spans="1:17" x14ac:dyDescent="0.25">
      <c r="A254" s="20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Log'!$E$2:$V$70,
    MATCH(1,
      ('Golf Log'!$A$2:$A$70=$A254)*
      ('Golf Log'!$B$2:$B$70=$B254)*
      ('Golf Log'!$C$2:$C$70=$C254),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Log'!$E$2:$V$70,
    MATCH(1,
      ('Putt Log'!$A$2:$A$70=$A254)*
      ('Putt Log'!$B$2:$B$70=$B254)*
      ('Putt Log'!$C$2:$C$70=$C254),
    0),
    MATCH($G254,'Putt Log'!$E$1:$V$1,0)
  ),
"")</f>
        <v>2</v>
      </c>
      <c r="P254" t="str" cm="1">
        <f t="array" ref="P254">IF(K254=3,"",
  IFERROR(
    INDEX('Fairway Log'!$E$2:$V$70,
      MATCH(1,
        ('Fairway Log'!$A$2:$A$70=$A254)*
        ('Fairway Log'!$B$2:$B$70=$B254)*
        ('Fairway Log'!$C$2:$C325=$C254),
      0),
      MATCH($G254,'Fairway Log'!$E$1:$V$1,0)
    ),
  "")
)</f>
        <v>←</v>
      </c>
      <c r="Q254" t="str" cm="1">
        <f t="array" ref="Q254">IFERROR(
  INDEX('GIR Log'!$E$2:$V$70,
    MATCH(1,
      ('GIR Log'!$A$2:$A$70=$A254)*
      ('GIR Log'!$B$2:$B$70=$B254)*
      ('GIR Log'!$C$2:$C$70=$C254),
    0),
    MATCH($G254,'GIR Log'!$E$1:$V$1,0)
  ),
"")</f>
        <v>NC</v>
      </c>
    </row>
    <row r="255" spans="1:17" x14ac:dyDescent="0.25">
      <c r="A255" s="20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Log'!$E$2:$V$70,
    MATCH(1,
      ('Golf Log'!$A$2:$A$70=$A255)*
      ('Golf Log'!$B$2:$B$70=$B255)*
      ('Golf Log'!$C$2:$C$70=$C255),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Log'!$E$2:$V$70,
    MATCH(1,
      ('Putt Log'!$A$2:$A$70=$A255)*
      ('Putt Log'!$B$2:$B$70=$B255)*
      ('Putt Log'!$C$2:$C$70=$C255),
    0),
    MATCH($G255,'Putt Log'!$E$1:$V$1,0)
  ),
"")</f>
        <v>2</v>
      </c>
      <c r="P255" t="str" cm="1">
        <f t="array" ref="P255">IF(K255=3,"",
  IFERROR(
    INDEX('Fairway Log'!$E$2:$V$70,
      MATCH(1,
        ('Fairway Log'!$A$2:$A$70=$A255)*
        ('Fairway Log'!$B$2:$B$70=$B255)*
        ('Fairway Log'!$C$2:$C326=$C255),
      0),
      MATCH($G255,'Fairway Log'!$E$1:$V$1,0)
    ),
  "")
)</f>
        <v>←</v>
      </c>
      <c r="Q255" t="str" cm="1">
        <f t="array" ref="Q255">IFERROR(
  INDEX('GIR Log'!$E$2:$V$70,
    MATCH(1,
      ('GIR Log'!$A$2:$A$70=$A255)*
      ('GIR Log'!$B$2:$B$70=$B255)*
      ('GIR Log'!$C$2:$C$70=$C255),
    0),
    MATCH($G255,'GIR Log'!$E$1:$V$1,0)
  ),
"")</f>
        <v>NC</v>
      </c>
    </row>
    <row r="256" spans="1:17" x14ac:dyDescent="0.25">
      <c r="A256" s="20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Log'!$E$2:$V$70,
    MATCH(1,
      ('Golf Log'!$A$2:$A$70=$A256)*
      ('Golf Log'!$B$2:$B$70=$B256)*
      ('Golf Log'!$C$2:$C$70=$C256),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Log'!$E$2:$V$70,
    MATCH(1,
      ('Putt Log'!$A$2:$A$70=$A256)*
      ('Putt Log'!$B$2:$B$70=$B256)*
      ('Putt Log'!$C$2:$C$70=$C256),
    0),
    MATCH($G256,'Putt Log'!$E$1:$V$1,0)
  ),
"")</f>
        <v>1</v>
      </c>
      <c r="P256" t="str" cm="1">
        <f t="array" ref="P256">IF(K256=3,"",
  IFERROR(
    INDEX('Fairway Log'!$E$2:$V$70,
      MATCH(1,
        ('Fairway Log'!$A$2:$A$70=$A256)*
        ('Fairway Log'!$B$2:$B$70=$B256)*
        ('Fairway Log'!$C$2:$C327=$C256),
      0),
      MATCH($G256,'Fairway Log'!$E$1:$V$1,0)
    ),
  "")
)</f>
        <v/>
      </c>
      <c r="Q256" t="str" cm="1">
        <f t="array" ref="Q256">IFERROR(
  INDEX('GIR Log'!$E$2:$V$70,
    MATCH(1,
      ('GIR Log'!$A$2:$A$70=$A256)*
      ('GIR Log'!$B$2:$B$70=$B256)*
      ('GIR Log'!$C$2:$C$70=$C256),
    0),
    MATCH($G256,'GIR Log'!$E$1:$V$1,0)
  ),
"")</f>
        <v>↓</v>
      </c>
    </row>
    <row r="257" spans="1:17" x14ac:dyDescent="0.25">
      <c r="A257" s="20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Log'!$E$2:$V$70,
    MATCH(1,
      ('Golf Log'!$A$2:$A$70=$A257)*
      ('Golf Log'!$B$2:$B$70=$B257)*
      ('Golf Log'!$C$2:$C$70=$C257),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Log'!$E$2:$V$70,
    MATCH(1,
      ('Putt Log'!$A$2:$A$70=$A257)*
      ('Putt Log'!$B$2:$B$70=$B257)*
      ('Putt Log'!$C$2:$C$70=$C257),
    0),
    MATCH($G257,'Putt Log'!$E$1:$V$1,0)
  ),
"")</f>
        <v>2</v>
      </c>
      <c r="P257" t="str" cm="1">
        <f t="array" ref="P257">IF(K257=3,"",
  IFERROR(
    INDEX('Fairway Log'!$E$2:$V$70,
      MATCH(1,
        ('Fairway Log'!$A$2:$A$70=$A257)*
        ('Fairway Log'!$B$2:$B$70=$B257)*
        ('Fairway Log'!$C$2:$C328=$C257),
      0),
      MATCH($G257,'Fairway Log'!$E$1:$V$1,0)
    ),
  "")
)</f>
        <v>→</v>
      </c>
      <c r="Q257" cm="1">
        <f t="array" ref="Q257">IFERROR(
  INDEX('GIR Log'!$E$2:$V$70,
    MATCH(1,
      ('GIR Log'!$A$2:$A$70=$A257)*
      ('GIR Log'!$B$2:$B$70=$B257)*
      ('GIR Log'!$C$2:$C$70=$C257),
    0),
    MATCH($G257,'GIR Log'!$E$1:$V$1,0)
  ),
"")</f>
        <v>1</v>
      </c>
    </row>
    <row r="258" spans="1:17" x14ac:dyDescent="0.25">
      <c r="A258" s="20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Log'!$E$2:$V$70,
    MATCH(1,
      ('Golf Log'!$A$2:$A$70=$A258)*
      ('Golf Log'!$B$2:$B$70=$B258)*
      ('Golf Log'!$C$2:$C$70=$C258),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Log'!$E$2:$V$70,
    MATCH(1,
      ('Putt Log'!$A$2:$A$70=$A258)*
      ('Putt Log'!$B$2:$B$70=$B258)*
      ('Putt Log'!$C$2:$C$70=$C258),
    0),
    MATCH($G258,'Putt Log'!$E$1:$V$1,0)
  ),
"")</f>
        <v>2</v>
      </c>
      <c r="P258" cm="1">
        <f t="array" ref="P258">IF(K258=3,"",
  IFERROR(
    INDEX('Fairway Log'!$E$2:$V$70,
      MATCH(1,
        ('Fairway Log'!$A$2:$A$70=$A258)*
        ('Fairway Log'!$B$2:$B$70=$B258)*
        ('Fairway Log'!$C$2:$C329=$C258),
      0),
      MATCH($G258,'Fairway Log'!$E$1:$V$1,0)
    ),
  "")
)</f>
        <v>1</v>
      </c>
      <c r="Q258" cm="1">
        <f t="array" ref="Q258">IFERROR(
  INDEX('GIR Log'!$E$2:$V$70,
    MATCH(1,
      ('GIR Log'!$A$2:$A$70=$A258)*
      ('GIR Log'!$B$2:$B$70=$B258)*
      ('GIR Log'!$C$2:$C$70=$C258),
    0),
    MATCH($G258,'GIR Log'!$E$1:$V$1,0)
  ),
"")</f>
        <v>1</v>
      </c>
    </row>
    <row r="259" spans="1:17" x14ac:dyDescent="0.25">
      <c r="A259" s="20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Log'!$E$2:$V$70,
    MATCH(1,
      ('Golf Log'!$A$2:$A$70=$A259)*
      ('Golf Log'!$B$2:$B$70=$B259)*
      ('Golf Log'!$C$2:$C$70=$C259),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Log'!$E$2:$V$70,
    MATCH(1,
      ('Putt Log'!$A$2:$A$70=$A259)*
      ('Putt Log'!$B$2:$B$70=$B259)*
      ('Putt Log'!$C$2:$C$70=$C259),
    0),
    MATCH($G259,'Putt Log'!$E$1:$V$1,0)
  ),
"")</f>
        <v>2</v>
      </c>
      <c r="P259" cm="1">
        <f t="array" ref="P259">IF(K259=3,"",
  IFERROR(
    INDEX('Fairway Log'!$E$2:$V$70,
      MATCH(1,
        ('Fairway Log'!$A$2:$A$70=$A259)*
        ('Fairway Log'!$B$2:$B$70=$B259)*
        ('Fairway Log'!$C$2:$C330=$C259),
      0),
      MATCH($G259,'Fairway Log'!$E$1:$V$1,0)
    ),
  "")
)</f>
        <v>1</v>
      </c>
      <c r="Q259" t="str" cm="1">
        <f t="array" ref="Q259">IFERROR(
  INDEX('GIR Log'!$E$2:$V$70,
    MATCH(1,
      ('GIR Log'!$A$2:$A$70=$A259)*
      ('GIR Log'!$B$2:$B$70=$B259)*
      ('GIR Log'!$C$2:$C$70=$C259),
    0),
    MATCH($G259,'GIR Log'!$E$1:$V$1,0)
  ),
"")</f>
        <v>NC</v>
      </c>
    </row>
    <row r="260" spans="1:17" x14ac:dyDescent="0.25">
      <c r="A260" s="20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Log'!$E$2:$V$70,
    MATCH(1,
      ('Golf Log'!$A$2:$A$70=$A260)*
      ('Golf Log'!$B$2:$B$70=$B260)*
      ('Golf Log'!$C$2:$C$70=$C260),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Log'!$E$2:$V$70,
    MATCH(1,
      ('Putt Log'!$A$2:$A$70=$A260)*
      ('Putt Log'!$B$2:$B$70=$B260)*
      ('Putt Log'!$C$2:$C$70=$C260),
    0),
    MATCH($G260,'Putt Log'!$E$1:$V$1,0)
  ),
"")</f>
        <v>2</v>
      </c>
      <c r="P260" t="str" cm="1">
        <f t="array" ref="P260">IF(K260=3,"",
  IFERROR(
    INDEX('Fairway Log'!$E$2:$V$70,
      MATCH(1,
        ('Fairway Log'!$A$2:$A$70=$A260)*
        ('Fairway Log'!$B$2:$B$70=$B260)*
        ('Fairway Log'!$C$2:$C331=$C260),
      0),
      MATCH($G260,'Fairway Log'!$E$1:$V$1,0)
    ),
  "")
)</f>
        <v/>
      </c>
      <c r="Q260" t="str" cm="1">
        <f t="array" ref="Q260">IFERROR(
  INDEX('GIR Log'!$E$2:$V$70,
    MATCH(1,
      ('GIR Log'!$A$2:$A$70=$A260)*
      ('GIR Log'!$B$2:$B$70=$B260)*
      ('GIR Log'!$C$2:$C$70=$C260),
    0),
    MATCH($G260,'GIR Log'!$E$1:$V$1,0)
  ),
"")</f>
        <v>↓</v>
      </c>
    </row>
    <row r="261" spans="1:17" x14ac:dyDescent="0.25">
      <c r="A261" s="20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Log'!$E$2:$V$70,
    MATCH(1,
      ('Golf Log'!$A$2:$A$70=$A261)*
      ('Golf Log'!$B$2:$B$70=$B261)*
      ('Golf Log'!$C$2:$C$70=$C261),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Log'!$E$2:$V$70,
    MATCH(1,
      ('Putt Log'!$A$2:$A$70=$A261)*
      ('Putt Log'!$B$2:$B$70=$B261)*
      ('Putt Log'!$C$2:$C$70=$C261),
    0),
    MATCH($G261,'Putt Log'!$E$1:$V$1,0)
  ),
"")</f>
        <v>1</v>
      </c>
      <c r="P261" t="str" cm="1">
        <f t="array" ref="P261">IF(K261=3,"",
  IFERROR(
    INDEX('Fairway Log'!$E$2:$V$70,
      MATCH(1,
        ('Fairway Log'!$A$2:$A$70=$A261)*
        ('Fairway Log'!$B$2:$B$70=$B261)*
        ('Fairway Log'!$C$2:$C332=$C261),
      0),
      MATCH($G261,'Fairway Log'!$E$1:$V$1,0)
    ),
  "")
)</f>
        <v>←</v>
      </c>
      <c r="Q261" t="str" cm="1">
        <f t="array" ref="Q261">IFERROR(
  INDEX('GIR Log'!$E$2:$V$70,
    MATCH(1,
      ('GIR Log'!$A$2:$A$70=$A261)*
      ('GIR Log'!$B$2:$B$70=$B261)*
      ('GIR Log'!$C$2:$C$70=$C261),
    0),
    MATCH($G261,'GIR Log'!$E$1:$V$1,0)
  ),
"")</f>
        <v>↓</v>
      </c>
    </row>
    <row r="262" spans="1:17" x14ac:dyDescent="0.25">
      <c r="A262" s="20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Log'!$E$2:$V$70,
    MATCH(1,
      ('Golf Log'!$A$2:$A$70=$A262)*
      ('Golf Log'!$B$2:$B$70=$B262)*
      ('Golf Log'!$C$2:$C$70=$C262),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Log'!$E$2:$V$70,
    MATCH(1,
      ('Putt Log'!$A$2:$A$70=$A262)*
      ('Putt Log'!$B$2:$B$70=$B262)*
      ('Putt Log'!$C$2:$C$70=$C262),
    0),
    MATCH($G262,'Putt Log'!$E$1:$V$1,0)
  ),
"")</f>
        <v>1</v>
      </c>
      <c r="P262" cm="1">
        <f t="array" ref="P262">IF(K262=3,"",
  IFERROR(
    INDEX('Fairway Log'!$E$2:$V$70,
      MATCH(1,
        ('Fairway Log'!$A$2:$A$70=$A262)*
        ('Fairway Log'!$B$2:$B$70=$B262)*
        ('Fairway Log'!$C$2:$C333=$C262),
      0),
      MATCH($G262,'Fairway Log'!$E$1:$V$1,0)
    ),
  "")
)</f>
        <v>1</v>
      </c>
      <c r="Q262" t="str" cm="1">
        <f t="array" ref="Q262">IFERROR(
  INDEX('GIR Log'!$E$2:$V$70,
    MATCH(1,
      ('GIR Log'!$A$2:$A$70=$A262)*
      ('GIR Log'!$B$2:$B$70=$B262)*
      ('GIR Log'!$C$2:$C$70=$C262),
    0),
    MATCH($G262,'GIR Log'!$E$1:$V$1,0)
  ),
"")</f>
        <v>↓</v>
      </c>
    </row>
    <row r="263" spans="1:17" x14ac:dyDescent="0.25">
      <c r="A263" s="20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Log'!$E$2:$V$70,
    MATCH(1,
      ('Golf Log'!$A$2:$A$70=$A263)*
      ('Golf Log'!$B$2:$B$70=$B263)*
      ('Golf Log'!$C$2:$C$70=$C263),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Log'!$E$2:$V$70,
    MATCH(1,
      ('Putt Log'!$A$2:$A$70=$A263)*
      ('Putt Log'!$B$2:$B$70=$B263)*
      ('Putt Log'!$C$2:$C$70=$C263),
    0),
    MATCH($G263,'Putt Log'!$E$1:$V$1,0)
  ),
"")</f>
        <v>2</v>
      </c>
      <c r="P263" t="str" cm="1">
        <f t="array" ref="P263">IF(K263=3,"",
  IFERROR(
    INDEX('Fairway Log'!$E$2:$V$70,
      MATCH(1,
        ('Fairway Log'!$A$2:$A$70=$A263)*
        ('Fairway Log'!$B$2:$B$70=$B263)*
        ('Fairway Log'!$C$2:$C334=$C263),
      0),
      MATCH($G263,'Fairway Log'!$E$1:$V$1,0)
    ),
  "")
)</f>
        <v>↓</v>
      </c>
      <c r="Q263" t="str" cm="1">
        <f t="array" ref="Q263">IFERROR(
  INDEX('GIR Log'!$E$2:$V$70,
    MATCH(1,
      ('GIR Log'!$A$2:$A$70=$A263)*
      ('GIR Log'!$B$2:$B$70=$B263)*
      ('GIR Log'!$C$2:$C$70=$C263),
    0),
    MATCH($G263,'GIR Log'!$E$1:$V$1,0)
  ),
"")</f>
        <v>NC</v>
      </c>
    </row>
    <row r="264" spans="1:17" x14ac:dyDescent="0.25">
      <c r="A264" s="20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Log'!$E$2:$V$70,
    MATCH(1,
      ('Golf Log'!$A$2:$A$70=$A264)*
      ('Golf Log'!$B$2:$B$70=$B264)*
      ('Golf Log'!$C$2:$C$70=$C264),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Log'!$E$2:$V$70,
    MATCH(1,
      ('Putt Log'!$A$2:$A$70=$A264)*
      ('Putt Log'!$B$2:$B$70=$B264)*
      ('Putt Log'!$C$2:$C$70=$C264),
    0),
    MATCH($G264,'Putt Log'!$E$1:$V$1,0)
  ),
"")</f>
        <v>2</v>
      </c>
      <c r="P264" t="str" cm="1">
        <f t="array" ref="P264">IF(K264=3,"",
  IFERROR(
    INDEX('Fairway Log'!$E$2:$V$70,
      MATCH(1,
        ('Fairway Log'!$A$2:$A$70=$A264)*
        ('Fairway Log'!$B$2:$B$70=$B264)*
        ('Fairway Log'!$C$2:$C335=$C264),
      0),
      MATCH($G264,'Fairway Log'!$E$1:$V$1,0)
    ),
  "")
)</f>
        <v/>
      </c>
      <c r="Q264" t="str" cm="1">
        <f t="array" ref="Q264">IFERROR(
  INDEX('GIR Log'!$E$2:$V$70,
    MATCH(1,
      ('GIR Log'!$A$2:$A$70=$A264)*
      ('GIR Log'!$B$2:$B$70=$B264)*
      ('GIR Log'!$C$2:$C$70=$C264),
    0),
    MATCH($G264,'GIR Log'!$E$1:$V$1,0)
  ),
"")</f>
        <v>NC</v>
      </c>
    </row>
    <row r="265" spans="1:17" x14ac:dyDescent="0.25">
      <c r="A265" s="20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Log'!$E$2:$V$70,
    MATCH(1,
      ('Golf Log'!$A$2:$A$70=$A265)*
      ('Golf Log'!$B$2:$B$70=$B265)*
      ('Golf Log'!$C$2:$C$70=$C265),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Log'!$E$2:$V$70,
    MATCH(1,
      ('Putt Log'!$A$2:$A$70=$A265)*
      ('Putt Log'!$B$2:$B$70=$B265)*
      ('Putt Log'!$C$2:$C$70=$C265),
    0),
    MATCH($G265,'Putt Log'!$E$1:$V$1,0)
  ),
"")</f>
        <v>2</v>
      </c>
      <c r="P265" t="str" cm="1">
        <f t="array" ref="P265">IF(K265=3,"",
  IFERROR(
    INDEX('Fairway Log'!$E$2:$V$70,
      MATCH(1,
        ('Fairway Log'!$A$2:$A$70=$A265)*
        ('Fairway Log'!$B$2:$B$70=$B265)*
        ('Fairway Log'!$C$2:$C336=$C265),
      0),
      MATCH($G265,'Fairway Log'!$E$1:$V$1,0)
    ),
  "")
)</f>
        <v>→</v>
      </c>
      <c r="Q265" cm="1">
        <f t="array" ref="Q265">IFERROR(
  INDEX('GIR Log'!$E$2:$V$70,
    MATCH(1,
      ('GIR Log'!$A$2:$A$70=$A265)*
      ('GIR Log'!$B$2:$B$70=$B265)*
      ('GIR Log'!$C$2:$C$70=$C265),
    0),
    MATCH($G265,'GIR Log'!$E$1:$V$1,0)
  ),
"")</f>
        <v>1</v>
      </c>
    </row>
    <row r="266" spans="1:17" x14ac:dyDescent="0.25">
      <c r="A266" s="20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Log'!$E$2:$V$70,
    MATCH(1,
      ('Golf Log'!$A$2:$A$70=$A266)*
      ('Golf Log'!$B$2:$B$70=$B266)*
      ('Golf Log'!$C$2:$C$70=$C266),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Log'!$E$2:$V$70,
    MATCH(1,
      ('Putt Log'!$A$2:$A$70=$A266)*
      ('Putt Log'!$B$2:$B$70=$B266)*
      ('Putt Log'!$C$2:$C$70=$C266),
    0),
    MATCH($G266,'Putt Log'!$E$1:$V$1,0)
  ),
"")</f>
        <v>2</v>
      </c>
      <c r="P266" cm="1">
        <f t="array" ref="P266">IF(K266=3,"",
  IFERROR(
    INDEX('Fairway Log'!$E$2:$V$70,
      MATCH(1,
        ('Fairway Log'!$A$2:$A$70=$A266)*
        ('Fairway Log'!$B$2:$B$70=$B266)*
        ('Fairway Log'!$C$2:$C337=$C266),
      0),
      MATCH($G266,'Fairway Log'!$E$1:$V$1,0)
    ),
  "")
)</f>
        <v>1</v>
      </c>
      <c r="Q266" cm="1">
        <f t="array" ref="Q266">IFERROR(
  INDEX('GIR Log'!$E$2:$V$70,
    MATCH(1,
      ('GIR Log'!$A$2:$A$70=$A266)*
      ('GIR Log'!$B$2:$B$70=$B266)*
      ('GIR Log'!$C$2:$C$70=$C266),
    0),
    MATCH($G266,'GIR Log'!$E$1:$V$1,0)
  ),
"")</f>
        <v>1</v>
      </c>
    </row>
    <row r="267" spans="1:17" x14ac:dyDescent="0.25">
      <c r="A267" s="20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Log'!$E$2:$V$70,
    MATCH(1,
      ('Golf Log'!$A$2:$A$70=$A267)*
      ('Golf Log'!$B$2:$B$70=$B267)*
      ('Golf Log'!$C$2:$C$70=$C267),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Log'!$E$2:$V$70,
    MATCH(1,
      ('Putt Log'!$A$2:$A$70=$A267)*
      ('Putt Log'!$B$2:$B$70=$B267)*
      ('Putt Log'!$C$2:$C$70=$C267),
    0),
    MATCH($G267,'Putt Log'!$E$1:$V$1,0)
  ),
"")</f>
        <v>2</v>
      </c>
      <c r="P267" cm="1">
        <f t="array" ref="P267">IF(K267=3,"",
  IFERROR(
    INDEX('Fairway Log'!$E$2:$V$70,
      MATCH(1,
        ('Fairway Log'!$A$2:$A$70=$A267)*
        ('Fairway Log'!$B$2:$B$70=$B267)*
        ('Fairway Log'!$C$2:$C338=$C267),
      0),
      MATCH($G267,'Fairway Log'!$E$1:$V$1,0)
    ),
  "")
)</f>
        <v>1</v>
      </c>
      <c r="Q267" cm="1">
        <f t="array" ref="Q267">IFERROR(
  INDEX('GIR Log'!$E$2:$V$70,
    MATCH(1,
      ('GIR Log'!$A$2:$A$70=$A267)*
      ('GIR Log'!$B$2:$B$70=$B267)*
      ('GIR Log'!$C$2:$C$70=$C267),
    0),
    MATCH($G267,'GIR Log'!$E$1:$V$1,0)
  ),
"")</f>
        <v>1</v>
      </c>
    </row>
    <row r="268" spans="1:17" x14ac:dyDescent="0.25">
      <c r="A268" s="20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Log'!$E$2:$V$70,
    MATCH(1,
      ('Golf Log'!$A$2:$A$70=$A268)*
      ('Golf Log'!$B$2:$B$70=$B268)*
      ('Golf Log'!$C$2:$C$70=$C268),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Log'!$E$2:$V$70,
    MATCH(1,
      ('Putt Log'!$A$2:$A$70=$A268)*
      ('Putt Log'!$B$2:$B$70=$B268)*
      ('Putt Log'!$C$2:$C$70=$C268),
    0),
    MATCH($G268,'Putt Log'!$E$1:$V$1,0)
  ),
"")</f>
        <v>2</v>
      </c>
      <c r="P268" t="str" cm="1">
        <f t="array" ref="P268">IF(K268=3,"",
  IFERROR(
    INDEX('Fairway Log'!$E$2:$V$70,
      MATCH(1,
        ('Fairway Log'!$A$2:$A$70=$A268)*
        ('Fairway Log'!$B$2:$B$70=$B268)*
        ('Fairway Log'!$C$2:$C339=$C268),
      0),
      MATCH($G268,'Fairway Log'!$E$1:$V$1,0)
    ),
  "")
)</f>
        <v>→</v>
      </c>
      <c r="Q268" cm="1">
        <f t="array" ref="Q268">IFERROR(
  INDEX('GIR Log'!$E$2:$V$70,
    MATCH(1,
      ('GIR Log'!$A$2:$A$70=$A268)*
      ('GIR Log'!$B$2:$B$70=$B268)*
      ('GIR Log'!$C$2:$C$70=$C268),
    0),
    MATCH($G268,'GIR Log'!$E$1:$V$1,0)
  ),
"")</f>
        <v>1</v>
      </c>
    </row>
    <row r="269" spans="1:17" x14ac:dyDescent="0.25">
      <c r="A269" s="20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Log'!$E$2:$V$70,
    MATCH(1,
      ('Golf Log'!$A$2:$A$70=$A269)*
      ('Golf Log'!$B$2:$B$70=$B269)*
      ('Golf Log'!$C$2:$C$70=$C269),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Log'!$E$2:$V$70,
    MATCH(1,
      ('Putt Log'!$A$2:$A$70=$A269)*
      ('Putt Log'!$B$2:$B$70=$B269)*
      ('Putt Log'!$C$2:$C$70=$C269),
    0),
    MATCH($G269,'Putt Log'!$E$1:$V$1,0)
  ),
"")</f>
        <v>2</v>
      </c>
      <c r="P269" t="str" cm="1">
        <f t="array" ref="P269">IF(K269=3,"",
  IFERROR(
    INDEX('Fairway Log'!$E$2:$V$70,
      MATCH(1,
        ('Fairway Log'!$A$2:$A$70=$A269)*
        ('Fairway Log'!$B$2:$B$70=$B269)*
        ('Fairway Log'!$C$2:$C340=$C269),
      0),
      MATCH($G269,'Fairway Log'!$E$1:$V$1,0)
    ),
  "")
)</f>
        <v>←</v>
      </c>
      <c r="Q269" cm="1">
        <f t="array" ref="Q269">IFERROR(
  INDEX('GIR Log'!$E$2:$V$70,
    MATCH(1,
      ('GIR Log'!$A$2:$A$70=$A269)*
      ('GIR Log'!$B$2:$B$70=$B269)*
      ('GIR Log'!$C$2:$C$70=$C269),
    0),
    MATCH($G269,'GIR Log'!$E$1:$V$1,0)
  ),
"")</f>
        <v>1</v>
      </c>
    </row>
    <row r="270" spans="1:17" x14ac:dyDescent="0.25">
      <c r="A270" s="20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Log'!$E$2:$V$70,
    MATCH(1,
      ('Golf Log'!$A$2:$A$70=$A270)*
      ('Golf Log'!$B$2:$B$70=$B270)*
      ('Golf Log'!$C$2:$C$70=$C270),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Log'!$E$2:$V$70,
    MATCH(1,
      ('Putt Log'!$A$2:$A$70=$A270)*
      ('Putt Log'!$B$2:$B$70=$B270)*
      ('Putt Log'!$C$2:$C$70=$C270),
    0),
    MATCH($G270,'Putt Log'!$E$1:$V$1,0)
  ),
"")</f>
        <v>2</v>
      </c>
      <c r="P270" t="str" cm="1">
        <f t="array" ref="P270">IF(K270=3,"",
  IFERROR(
    INDEX('Fairway Log'!$E$2:$V$70,
      MATCH(1,
        ('Fairway Log'!$A$2:$A$70=$A270)*
        ('Fairway Log'!$B$2:$B$70=$B270)*
        ('Fairway Log'!$C$2:$C341=$C270),
      0),
      MATCH($G270,'Fairway Log'!$E$1:$V$1,0)
    ),
  "")
)</f>
        <v/>
      </c>
      <c r="Q270" cm="1">
        <f t="array" ref="Q270">IFERROR(
  INDEX('GIR Log'!$E$2:$V$70,
    MATCH(1,
      ('GIR Log'!$A$2:$A$70=$A270)*
      ('GIR Log'!$B$2:$B$70=$B270)*
      ('GIR Log'!$C$2:$C$70=$C270),
    0),
    MATCH($G270,'GIR Log'!$E$1:$V$1,0)
  ),
"")</f>
        <v>1</v>
      </c>
    </row>
    <row r="271" spans="1:17" x14ac:dyDescent="0.25">
      <c r="A271" s="20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Log'!$E$2:$V$70,
    MATCH(1,
      ('Golf Log'!$A$2:$A$70=$A271)*
      ('Golf Log'!$B$2:$B$70=$B271)*
      ('Golf Log'!$C$2:$C$70=$C271),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Log'!$E$2:$V$70,
    MATCH(1,
      ('Putt Log'!$A$2:$A$70=$A271)*
      ('Putt Log'!$B$2:$B$70=$B271)*
      ('Putt Log'!$C$2:$C$70=$C271),
    0),
    MATCH($G271,'Putt Log'!$E$1:$V$1,0)
  ),
"")</f>
        <v>2</v>
      </c>
      <c r="P271" cm="1">
        <f t="array" ref="P271">IF(K271=3,"",
  IFERROR(
    INDEX('Fairway Log'!$E$2:$V$70,
      MATCH(1,
        ('Fairway Log'!$A$2:$A$70=$A271)*
        ('Fairway Log'!$B$2:$B$70=$B271)*
        ('Fairway Log'!$C$2:$C342=$C271),
      0),
      MATCH($G271,'Fairway Log'!$E$1:$V$1,0)
    ),
  "")
)</f>
        <v>1</v>
      </c>
      <c r="Q271" cm="1">
        <f t="array" ref="Q271">IFERROR(
  INDEX('GIR Log'!$E$2:$V$70,
    MATCH(1,
      ('GIR Log'!$A$2:$A$70=$A271)*
      ('GIR Log'!$B$2:$B$70=$B271)*
      ('GIR Log'!$C$2:$C$70=$C271),
    0),
    MATCH($G271,'GIR Log'!$E$1:$V$1,0)
  ),
"")</f>
        <v>1</v>
      </c>
    </row>
    <row r="272" spans="1:17" x14ac:dyDescent="0.25">
      <c r="A272" s="20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Log'!$E$2:$V$70,
    MATCH(1,
      ('Golf Log'!$A$2:$A$70=$A272)*
      ('Golf Log'!$B$2:$B$70=$B272)*
      ('Golf Log'!$C$2:$C$70=$C272),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Log'!$E$2:$V$70,
    MATCH(1,
      ('Putt Log'!$A$2:$A$70=$A272)*
      ('Putt Log'!$B$2:$B$70=$B272)*
      ('Putt Log'!$C$2:$C$70=$C272),
    0),
    MATCH($G272,'Putt Log'!$E$1:$V$1,0)
  ),
"")</f>
        <v>1</v>
      </c>
      <c r="P272" cm="1">
        <f t="array" ref="P272">IF(K272=3,"",
  IFERROR(
    INDEX('Fairway Log'!$E$2:$V$70,
      MATCH(1,
        ('Fairway Log'!$A$2:$A$70=$A272)*
        ('Fairway Log'!$B$2:$B$70=$B272)*
        ('Fairway Log'!$C$2:$C343=$C272),
      0),
      MATCH($G272,'Fairway Log'!$E$1:$V$1,0)
    ),
  "")
)</f>
        <v>1</v>
      </c>
      <c r="Q272" t="str" cm="1">
        <f t="array" ref="Q272">IFERROR(
  INDEX('GIR Log'!$E$2:$V$70,
    MATCH(1,
      ('GIR Log'!$A$2:$A$70=$A272)*
      ('GIR Log'!$B$2:$B$70=$B272)*
      ('GIR Log'!$C$2:$C$70=$C272),
    0),
    MATCH($G272,'GIR Log'!$E$1:$V$1,0)
  ),
"")</f>
        <v>↓</v>
      </c>
    </row>
    <row r="273" spans="1:17" x14ac:dyDescent="0.25">
      <c r="A273" s="20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Log'!$E$2:$V$70,
    MATCH(1,
      ('Golf Log'!$A$2:$A$70=$A273)*
      ('Golf Log'!$B$2:$B$70=$B273)*
      ('Golf Log'!$C$2:$C$70=$C273),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Log'!$E$2:$V$70,
    MATCH(1,
      ('Putt Log'!$A$2:$A$70=$A273)*
      ('Putt Log'!$B$2:$B$70=$B273)*
      ('Putt Log'!$C$2:$C$70=$C273),
    0),
    MATCH($G273,'Putt Log'!$E$1:$V$1,0)
  ),
"")</f>
        <v>2</v>
      </c>
      <c r="P273" t="str" cm="1">
        <f t="array" ref="P273">IF(K273=3,"",
  IFERROR(
    INDEX('Fairway Log'!$E$2:$V$70,
      MATCH(1,
        ('Fairway Log'!$A$2:$A$70=$A273)*
        ('Fairway Log'!$B$2:$B$70=$B273)*
        ('Fairway Log'!$C$2:$C344=$C273),
      0),
      MATCH($G273,'Fairway Log'!$E$1:$V$1,0)
    ),
  "")
)</f>
        <v>←</v>
      </c>
      <c r="Q273" t="str" cm="1">
        <f t="array" ref="Q273">IFERROR(
  INDEX('GIR Log'!$E$2:$V$70,
    MATCH(1,
      ('GIR Log'!$A$2:$A$70=$A273)*
      ('GIR Log'!$B$2:$B$70=$B273)*
      ('GIR Log'!$C$2:$C$70=$C273),
    0),
    MATCH($G273,'GIR Log'!$E$1:$V$1,0)
  ),
"")</f>
        <v>↓</v>
      </c>
    </row>
    <row r="274" spans="1:17" x14ac:dyDescent="0.25">
      <c r="A274" s="20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Log'!$E$2:$V$70,
    MATCH(1,
      ('Golf Log'!$A$2:$A$70=$A274)*
      ('Golf Log'!$B$2:$B$70=$B274)*
      ('Golf Log'!$C$2:$C$70=$C274),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Log'!$E$2:$V$70,
    MATCH(1,
      ('Putt Log'!$A$2:$A$70=$A274)*
      ('Putt Log'!$B$2:$B$70=$B274)*
      ('Putt Log'!$C$2:$C$70=$C274),
    0),
    MATCH($G274,'Putt Log'!$E$1:$V$1,0)
  ),
"")</f>
        <v>2</v>
      </c>
      <c r="P274" cm="1">
        <f t="array" ref="P274">IF(K274=3,"",
  IFERROR(
    INDEX('Fairway Log'!$E$2:$V$70,
      MATCH(1,
        ('Fairway Log'!$A$2:$A$70=$A274)*
        ('Fairway Log'!$B$2:$B$70=$B274)*
        ('Fairway Log'!$C$2:$C345=$C274),
      0),
      MATCH($G274,'Fairway Log'!$E$1:$V$1,0)
    ),
  "")
)</f>
        <v>1</v>
      </c>
      <c r="Q274" cm="1">
        <f t="array" ref="Q274">IFERROR(
  INDEX('GIR Log'!$E$2:$V$70,
    MATCH(1,
      ('GIR Log'!$A$2:$A$70=$A274)*
      ('GIR Log'!$B$2:$B$70=$B274)*
      ('GIR Log'!$C$2:$C$70=$C274),
    0),
    MATCH($G274,'GIR Log'!$E$1:$V$1,0)
  ),
"")</f>
        <v>1</v>
      </c>
    </row>
    <row r="275" spans="1:17" x14ac:dyDescent="0.25">
      <c r="A275" s="20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Log'!$E$2:$V$70,
    MATCH(1,
      ('Golf Log'!$A$2:$A$70=$A275)*
      ('Golf Log'!$B$2:$B$70=$B275)*
      ('Golf Log'!$C$2:$C$70=$C275),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Log'!$E$2:$V$70,
    MATCH(1,
      ('Putt Log'!$A$2:$A$70=$A275)*
      ('Putt Log'!$B$2:$B$70=$B275)*
      ('Putt Log'!$C$2:$C$70=$C275),
    0),
    MATCH($G275,'Putt Log'!$E$1:$V$1,0)
  ),
"")</f>
        <v>1</v>
      </c>
      <c r="P275" t="str" cm="1">
        <f t="array" ref="P275">IF(K275=3,"",
  IFERROR(
    INDEX('Fairway Log'!$E$2:$V$70,
      MATCH(1,
        ('Fairway Log'!$A$2:$A$70=$A275)*
        ('Fairway Log'!$B$2:$B$70=$B275)*
        ('Fairway Log'!$C$2:$C346=$C275),
      0),
      MATCH($G275,'Fairway Log'!$E$1:$V$1,0)
    ),
  "")
)</f>
        <v/>
      </c>
      <c r="Q275" t="str" cm="1">
        <f t="array" ref="Q275">IFERROR(
  INDEX('GIR Log'!$E$2:$V$70,
    MATCH(1,
      ('GIR Log'!$A$2:$A$70=$A275)*
      ('GIR Log'!$B$2:$B$70=$B275)*
      ('GIR Log'!$C$2:$C$70=$C275),
    0),
    MATCH($G275,'GIR Log'!$E$1:$V$1,0)
  ),
"")</f>
        <v>←</v>
      </c>
    </row>
    <row r="276" spans="1:17" x14ac:dyDescent="0.25">
      <c r="A276" s="20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Log'!$E$2:$V$70,
    MATCH(1,
      ('Golf Log'!$A$2:$A$70=$A276)*
      ('Golf Log'!$B$2:$B$70=$B276)*
      ('Golf Log'!$C$2:$C$70=$C276),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Log'!$E$2:$V$70,
    MATCH(1,
      ('Putt Log'!$A$2:$A$70=$A276)*
      ('Putt Log'!$B$2:$B$70=$B276)*
      ('Putt Log'!$C$2:$C$70=$C276),
    0),
    MATCH($G276,'Putt Log'!$E$1:$V$1,0)
  ),
"")</f>
        <v>1</v>
      </c>
      <c r="P276" t="str" cm="1">
        <f t="array" ref="P276">IF(K276=3,"",
  IFERROR(
    INDEX('Fairway Log'!$E$2:$V$70,
      MATCH(1,
        ('Fairway Log'!$A$2:$A$70=$A276)*
        ('Fairway Log'!$B$2:$B$70=$B276)*
        ('Fairway Log'!$C$2:$C347=$C276),
      0),
      MATCH($G276,'Fairway Log'!$E$1:$V$1,0)
    ),
  "")
)</f>
        <v>←</v>
      </c>
      <c r="Q276" t="str" cm="1">
        <f t="array" ref="Q276">IFERROR(
  INDEX('GIR Log'!$E$2:$V$70,
    MATCH(1,
      ('GIR Log'!$A$2:$A$70=$A276)*
      ('GIR Log'!$B$2:$B$70=$B276)*
      ('GIR Log'!$C$2:$C$70=$C276),
    0),
    MATCH($G276,'GIR Log'!$E$1:$V$1,0)
  ),
"")</f>
        <v>↑</v>
      </c>
    </row>
    <row r="277" spans="1:17" x14ac:dyDescent="0.25">
      <c r="A277" s="20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Log'!$E$2:$V$70,
    MATCH(1,
      ('Golf Log'!$A$2:$A$70=$A277)*
      ('Golf Log'!$B$2:$B$70=$B277)*
      ('Golf Log'!$C$2:$C$70=$C277),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Log'!$E$2:$V$70,
    MATCH(1,
      ('Putt Log'!$A$2:$A$70=$A277)*
      ('Putt Log'!$B$2:$B$70=$B277)*
      ('Putt Log'!$C$2:$C$70=$C277),
    0),
    MATCH($G277,'Putt Log'!$E$1:$V$1,0)
  ),
"")</f>
        <v>2</v>
      </c>
      <c r="P277" cm="1">
        <f t="array" ref="P277">IF(K277=3,"",
  IFERROR(
    INDEX('Fairway Log'!$E$2:$V$70,
      MATCH(1,
        ('Fairway Log'!$A$2:$A$70=$A277)*
        ('Fairway Log'!$B$2:$B$70=$B277)*
        ('Fairway Log'!$C$2:$C348=$C277),
      0),
      MATCH($G277,'Fairway Log'!$E$1:$V$1,0)
    ),
  "")
)</f>
        <v>1</v>
      </c>
      <c r="Q277" t="str" cm="1">
        <f t="array" ref="Q277">IFERROR(
  INDEX('GIR Log'!$E$2:$V$70,
    MATCH(1,
      ('GIR Log'!$A$2:$A$70=$A277)*
      ('GIR Log'!$B$2:$B$70=$B277)*
      ('GIR Log'!$C$2:$C$70=$C277),
    0),
    MATCH($G277,'GIR Log'!$E$1:$V$1,0)
  ),
"")</f>
        <v>↓</v>
      </c>
    </row>
    <row r="278" spans="1:17" x14ac:dyDescent="0.25">
      <c r="A278" s="20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Log'!$E$2:$V$70,
    MATCH(1,
      ('Golf Log'!$A$2:$A$70=$A278)*
      ('Golf Log'!$B$2:$B$70=$B278)*
      ('Golf Log'!$C$2:$C$70=$C278),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Log'!$E$2:$V$70,
    MATCH(1,
      ('Putt Log'!$A$2:$A$70=$A278)*
      ('Putt Log'!$B$2:$B$70=$B278)*
      ('Putt Log'!$C$2:$C$70=$C278),
    0),
    MATCH($G278,'Putt Log'!$E$1:$V$1,0)
  ),
"")</f>
        <v>2</v>
      </c>
      <c r="P278" t="str" cm="1">
        <f t="array" ref="P278">IF(K278=3,"",
  IFERROR(
    INDEX('Fairway Log'!$E$2:$V$70,
      MATCH(1,
        ('Fairway Log'!$A$2:$A$70=$A278)*
        ('Fairway Log'!$B$2:$B$70=$B278)*
        ('Fairway Log'!$C$2:$C349=$C278),
      0),
      MATCH($G278,'Fairway Log'!$E$1:$V$1,0)
    ),
  "")
)</f>
        <v/>
      </c>
      <c r="Q278" t="str" cm="1">
        <f t="array" ref="Q278">IFERROR(
  INDEX('GIR Log'!$E$2:$V$70,
    MATCH(1,
      ('GIR Log'!$A$2:$A$70=$A278)*
      ('GIR Log'!$B$2:$B$70=$B278)*
      ('GIR Log'!$C$2:$C$70=$C278),
    0),
    MATCH($G278,'GIR Log'!$E$1:$V$1,0)
  ),
"")</f>
        <v>←</v>
      </c>
    </row>
    <row r="279" spans="1:17" x14ac:dyDescent="0.25">
      <c r="A279" s="20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Log'!$E$2:$V$70,
    MATCH(1,
      ('Golf Log'!$A$2:$A$70=$A279)*
      ('Golf Log'!$B$2:$B$70=$B279)*
      ('Golf Log'!$C$2:$C$70=$C279),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Log'!$E$2:$V$70,
    MATCH(1,
      ('Putt Log'!$A$2:$A$70=$A279)*
      ('Putt Log'!$B$2:$B$70=$B279)*
      ('Putt Log'!$C$2:$C$70=$C279),
    0),
    MATCH($G279,'Putt Log'!$E$1:$V$1,0)
  ),
"")</f>
        <v>2</v>
      </c>
      <c r="P279" cm="1">
        <f t="array" ref="P279">IF(K279=3,"",
  IFERROR(
    INDEX('Fairway Log'!$E$2:$V$70,
      MATCH(1,
        ('Fairway Log'!$A$2:$A$70=$A279)*
        ('Fairway Log'!$B$2:$B$70=$B279)*
        ('Fairway Log'!$C$2:$C350=$C279),
      0),
      MATCH($G279,'Fairway Log'!$E$1:$V$1,0)
    ),
  "")
)</f>
        <v>1</v>
      </c>
      <c r="Q279" t="str" cm="1">
        <f t="array" ref="Q279">IFERROR(
  INDEX('GIR Log'!$E$2:$V$70,
    MATCH(1,
      ('GIR Log'!$A$2:$A$70=$A279)*
      ('GIR Log'!$B$2:$B$70=$B279)*
      ('GIR Log'!$C$2:$C$70=$C279),
    0),
    MATCH($G279,'GIR Log'!$E$1:$V$1,0)
  ),
"")</f>
        <v>↑</v>
      </c>
    </row>
    <row r="280" spans="1:17" x14ac:dyDescent="0.25">
      <c r="A280" s="20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Log'!$E$2:$V$70,
    MATCH(1,
      ('Golf Log'!$A$2:$A$70=$A280)*
      ('Golf Log'!$B$2:$B$70=$B280)*
      ('Golf Log'!$C$2:$C$70=$C280),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Log'!$E$2:$V$70,
    MATCH(1,
      ('Putt Log'!$A$2:$A$70=$A280)*
      ('Putt Log'!$B$2:$B$70=$B280)*
      ('Putt Log'!$C$2:$C$70=$C280),
    0),
    MATCH($G280,'Putt Log'!$E$1:$V$1,0)
  ),
"")</f>
        <v>2</v>
      </c>
      <c r="P280" cm="1">
        <f t="array" ref="P280">IF(K280=3,"",
  IFERROR(
    INDEX('Fairway Log'!$E$2:$V$70,
      MATCH(1,
        ('Fairway Log'!$A$2:$A$70=$A280)*
        ('Fairway Log'!$B$2:$B$70=$B280)*
        ('Fairway Log'!$C$2:$C351=$C280),
      0),
      MATCH($G280,'Fairway Log'!$E$1:$V$1,0)
    ),
  "")
)</f>
        <v>1</v>
      </c>
      <c r="Q280" t="str" cm="1">
        <f t="array" ref="Q280">IFERROR(
  INDEX('GIR Log'!$E$2:$V$70,
    MATCH(1,
      ('GIR Log'!$A$2:$A$70=$A280)*
      ('GIR Log'!$B$2:$B$70=$B280)*
      ('GIR Log'!$C$2:$C$70=$C280),
    0),
    MATCH($G280,'GIR Log'!$E$1:$V$1,0)
  ),
"")</f>
        <v>↓</v>
      </c>
    </row>
    <row r="281" spans="1:17" x14ac:dyDescent="0.25">
      <c r="A281" s="20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Log'!$E$2:$V$70,
    MATCH(1,
      ('Golf Log'!$A$2:$A$70=$A281)*
      ('Golf Log'!$B$2:$B$70=$B281)*
      ('Golf Log'!$C$2:$C$70=$C281),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Log'!$E$2:$V$70,
    MATCH(1,
      ('Putt Log'!$A$2:$A$70=$A281)*
      ('Putt Log'!$B$2:$B$70=$B281)*
      ('Putt Log'!$C$2:$C$70=$C281),
    0),
    MATCH($G281,'Putt Log'!$E$1:$V$1,0)
  ),
"")</f>
        <v>1</v>
      </c>
      <c r="P281" cm="1">
        <f t="array" ref="P281">IF(K281=3,"",
  IFERROR(
    INDEX('Fairway Log'!$E$2:$V$70,
      MATCH(1,
        ('Fairway Log'!$A$2:$A$70=$A281)*
        ('Fairway Log'!$B$2:$B$70=$B281)*
        ('Fairway Log'!$C$2:$C352=$C281),
      0),
      MATCH($G281,'Fairway Log'!$E$1:$V$1,0)
    ),
  "")
)</f>
        <v>1</v>
      </c>
      <c r="Q281" t="str" cm="1">
        <f t="array" ref="Q281">IFERROR(
  INDEX('GIR Log'!$E$2:$V$70,
    MATCH(1,
      ('GIR Log'!$A$2:$A$70=$A281)*
      ('GIR Log'!$B$2:$B$70=$B281)*
      ('GIR Log'!$C$2:$C$70=$C281),
    0),
    MATCH($G281,'GIR Log'!$E$1:$V$1,0)
  ),
"")</f>
        <v>↓</v>
      </c>
    </row>
    <row r="282" spans="1:17" x14ac:dyDescent="0.25">
      <c r="A282" s="20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Log'!$E$2:$V$70,
    MATCH(1,
      ('Golf Log'!$A$2:$A$70=$A282)*
      ('Golf Log'!$B$2:$B$70=$B282)*
      ('Golf Log'!$C$2:$C$70=$C282),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Log'!$E$2:$V$70,
    MATCH(1,
      ('Putt Log'!$A$2:$A$70=$A282)*
      ('Putt Log'!$B$2:$B$70=$B282)*
      ('Putt Log'!$C$2:$C$70=$C282),
    0),
    MATCH($G282,'Putt Log'!$E$1:$V$1,0)
  ),
"")</f>
        <v>2</v>
      </c>
      <c r="P282" t="str" cm="1">
        <f t="array" ref="P282">IF(K282=3,"",
  IFERROR(
    INDEX('Fairway Log'!$E$2:$V$70,
      MATCH(1,
        ('Fairway Log'!$A$2:$A$70=$A282)*
        ('Fairway Log'!$B$2:$B$70=$B282)*
        ('Fairway Log'!$C$2:$C353=$C282),
      0),
      MATCH($G282,'Fairway Log'!$E$1:$V$1,0)
    ),
  "")
)</f>
        <v>→</v>
      </c>
      <c r="Q282" cm="1">
        <f t="array" ref="Q282">IFERROR(
  INDEX('GIR Log'!$E$2:$V$70,
    MATCH(1,
      ('GIR Log'!$A$2:$A$70=$A282)*
      ('GIR Log'!$B$2:$B$70=$B282)*
      ('GIR Log'!$C$2:$C$70=$C282),
    0),
    MATCH($G282,'GIR Log'!$E$1:$V$1,0)
  ),
"")</f>
        <v>1</v>
      </c>
    </row>
    <row r="283" spans="1:17" x14ac:dyDescent="0.25">
      <c r="A283" s="20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Log'!$E$2:$V$70,
    MATCH(1,
      ('Golf Log'!$A$2:$A$70=$A283)*
      ('Golf Log'!$B$2:$B$70=$B283)*
      ('Golf Log'!$C$2:$C$70=$C283),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Log'!$E$2:$V$70,
    MATCH(1,
      ('Putt Log'!$A$2:$A$70=$A283)*
      ('Putt Log'!$B$2:$B$70=$B283)*
      ('Putt Log'!$C$2:$C$70=$C283),
    0),
    MATCH($G283,'Putt Log'!$E$1:$V$1,0)
  ),
"")</f>
        <v>2</v>
      </c>
      <c r="P283" t="str" cm="1">
        <f t="array" ref="P283">IF(K283=3,"",
  IFERROR(
    INDEX('Fairway Log'!$E$2:$V$70,
      MATCH(1,
        ('Fairway Log'!$A$2:$A$70=$A283)*
        ('Fairway Log'!$B$2:$B$70=$B283)*
        ('Fairway Log'!$C$2:$C354=$C283),
      0),
      MATCH($G283,'Fairway Log'!$E$1:$V$1,0)
    ),
  "")
)</f>
        <v/>
      </c>
      <c r="Q283" cm="1">
        <f t="array" ref="Q283">IFERROR(
  INDEX('GIR Log'!$E$2:$V$70,
    MATCH(1,
      ('GIR Log'!$A$2:$A$70=$A283)*
      ('GIR Log'!$B$2:$B$70=$B283)*
      ('GIR Log'!$C$2:$C$70=$C283),
    0),
    MATCH($G283,'GIR Log'!$E$1:$V$1,0)
  ),
"")</f>
        <v>1</v>
      </c>
    </row>
    <row r="284" spans="1:17" x14ac:dyDescent="0.25">
      <c r="A284" s="20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Log'!$E$2:$V$70,
    MATCH(1,
      ('Golf Log'!$A$2:$A$70=$A284)*
      ('Golf Log'!$B$2:$B$70=$B284)*
      ('Golf Log'!$C$2:$C$70=$C284),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Log'!$E$2:$V$70,
    MATCH(1,
      ('Putt Log'!$A$2:$A$70=$A284)*
      ('Putt Log'!$B$2:$B$70=$B284)*
      ('Putt Log'!$C$2:$C$70=$C284),
    0),
    MATCH($G284,'Putt Log'!$E$1:$V$1,0)
  ),
"")</f>
        <v>2</v>
      </c>
      <c r="P284" t="str" cm="1">
        <f t="array" ref="P284">IF(K284=3,"",
  IFERROR(
    INDEX('Fairway Log'!$E$2:$V$70,
      MATCH(1,
        ('Fairway Log'!$A$2:$A$70=$A284)*
        ('Fairway Log'!$B$2:$B$70=$B284)*
        ('Fairway Log'!$C$2:$C355=$C284),
      0),
      MATCH($G284,'Fairway Log'!$E$1:$V$1,0)
    ),
  "")
)</f>
        <v>←</v>
      </c>
      <c r="Q284" t="str" cm="1">
        <f t="array" ref="Q284">IFERROR(
  INDEX('GIR Log'!$E$2:$V$70,
    MATCH(1,
      ('GIR Log'!$A$2:$A$70=$A284)*
      ('GIR Log'!$B$2:$B$70=$B284)*
      ('GIR Log'!$C$2:$C$70=$C284),
    0),
    MATCH($G284,'GIR Log'!$E$1:$V$1,0)
  ),
"")</f>
        <v>←</v>
      </c>
    </row>
    <row r="285" spans="1:17" x14ac:dyDescent="0.25">
      <c r="A285" s="20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Log'!$E$2:$V$70,
    MATCH(1,
      ('Golf Log'!$A$2:$A$70=$A285)*
      ('Golf Log'!$B$2:$B$70=$B285)*
      ('Golf Log'!$C$2:$C$70=$C285),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Log'!$E$2:$V$70,
    MATCH(1,
      ('Putt Log'!$A$2:$A$70=$A285)*
      ('Putt Log'!$B$2:$B$70=$B285)*
      ('Putt Log'!$C$2:$C$70=$C285),
    0),
    MATCH($G285,'Putt Log'!$E$1:$V$1,0)
  ),
"")</f>
        <v>2</v>
      </c>
      <c r="P285" t="str" cm="1">
        <f t="array" ref="P285">IF(K285=3,"",
  IFERROR(
    INDEX('Fairway Log'!$E$2:$V$70,
      MATCH(1,
        ('Fairway Log'!$A$2:$A$70=$A285)*
        ('Fairway Log'!$B$2:$B$70=$B285)*
        ('Fairway Log'!$C$2:$C356=$C285),
      0),
      MATCH($G285,'Fairway Log'!$E$1:$V$1,0)
    ),
  "")
)</f>
        <v>←</v>
      </c>
      <c r="Q285" t="str" cm="1">
        <f t="array" ref="Q285">IFERROR(
  INDEX('GIR Log'!$E$2:$V$70,
    MATCH(1,
      ('GIR Log'!$A$2:$A$70=$A285)*
      ('GIR Log'!$B$2:$B$70=$B285)*
      ('GIR Log'!$C$2:$C$70=$C285),
    0),
    MATCH($G285,'GIR Log'!$E$1:$V$1,0)
  ),
"")</f>
        <v>↓</v>
      </c>
    </row>
    <row r="286" spans="1:17" x14ac:dyDescent="0.25">
      <c r="A286" s="20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Log'!$E$2:$V$70,
    MATCH(1,
      ('Golf Log'!$A$2:$A$70=$A286)*
      ('Golf Log'!$B$2:$B$70=$B286)*
      ('Golf Log'!$C$2:$C$70=$C286),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Log'!$E$2:$V$70,
    MATCH(1,
      ('Putt Log'!$A$2:$A$70=$A286)*
      ('Putt Log'!$B$2:$B$70=$B286)*
      ('Putt Log'!$C$2:$C$70=$C286),
    0),
    MATCH($G286,'Putt Log'!$E$1:$V$1,0)
  ),
"")</f>
        <v>1</v>
      </c>
      <c r="P286" t="str" cm="1">
        <f t="array" ref="P286">IF(K286=3,"",
  IFERROR(
    INDEX('Fairway Log'!$E$2:$V$70,
      MATCH(1,
        ('Fairway Log'!$A$2:$A$70=$A286)*
        ('Fairway Log'!$B$2:$B$70=$B286)*
        ('Fairway Log'!$C$2:$C357=$C286),
      0),
      MATCH($G286,'Fairway Log'!$E$1:$V$1,0)
    ),
  "")
)</f>
        <v>→</v>
      </c>
      <c r="Q286" t="str" cm="1">
        <f t="array" ref="Q286">IFERROR(
  INDEX('GIR Log'!$E$2:$V$70,
    MATCH(1,
      ('GIR Log'!$A$2:$A$70=$A286)*
      ('GIR Log'!$B$2:$B$70=$B286)*
      ('GIR Log'!$C$2:$C$70=$C286),
    0),
    MATCH($G286,'GIR Log'!$E$1:$V$1,0)
  ),
"")</f>
        <v>↓</v>
      </c>
    </row>
    <row r="287" spans="1:17" x14ac:dyDescent="0.25">
      <c r="A287" s="20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Log'!$E$2:$V$70,
    MATCH(1,
      ('Golf Log'!$A$2:$A$70=$A287)*
      ('Golf Log'!$B$2:$B$70=$B287)*
      ('Golf Log'!$C$2:$C$70=$C287),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Log'!$E$2:$V$70,
    MATCH(1,
      ('Putt Log'!$A$2:$A$70=$A287)*
      ('Putt Log'!$B$2:$B$70=$B287)*
      ('Putt Log'!$C$2:$C$70=$C287),
    0),
    MATCH($G287,'Putt Log'!$E$1:$V$1,0)
  ),
"")</f>
        <v>1</v>
      </c>
      <c r="P287" cm="1">
        <f t="array" ref="P287">IF(K287=3,"",
  IFERROR(
    INDEX('Fairway Log'!$E$2:$V$70,
      MATCH(1,
        ('Fairway Log'!$A$2:$A$70=$A287)*
        ('Fairway Log'!$B$2:$B$70=$B287)*
        ('Fairway Log'!$C$2:$C358=$C287),
      0),
      MATCH($G287,'Fairway Log'!$E$1:$V$1,0)
    ),
  "")
)</f>
        <v>1</v>
      </c>
      <c r="Q287" t="str" cm="1">
        <f t="array" ref="Q287">IFERROR(
  INDEX('GIR Log'!$E$2:$V$70,
    MATCH(1,
      ('GIR Log'!$A$2:$A$70=$A287)*
      ('GIR Log'!$B$2:$B$70=$B287)*
      ('GIR Log'!$C$2:$C$70=$C287),
    0),
    MATCH($G287,'GIR Log'!$E$1:$V$1,0)
  ),
"")</f>
        <v>↓</v>
      </c>
    </row>
    <row r="288" spans="1:17" x14ac:dyDescent="0.25">
      <c r="A288" s="20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Log'!$E$2:$V$70,
    MATCH(1,
      ('Golf Log'!$A$2:$A$70=$A288)*
      ('Golf Log'!$B$2:$B$70=$B288)*
      ('Golf Log'!$C$2:$C$70=$C288),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Log'!$E$2:$V$70,
    MATCH(1,
      ('Putt Log'!$A$2:$A$70=$A288)*
      ('Putt Log'!$B$2:$B$70=$B288)*
      ('Putt Log'!$C$2:$C$70=$C288),
    0),
    MATCH($G288,'Putt Log'!$E$1:$V$1,0)
  ),
"")</f>
        <v>2</v>
      </c>
      <c r="P288" t="str" cm="1">
        <f t="array" ref="P288">IF(K288=3,"",
  IFERROR(
    INDEX('Fairway Log'!$E$2:$V$70,
      MATCH(1,
        ('Fairway Log'!$A$2:$A$70=$A288)*
        ('Fairway Log'!$B$2:$B$70=$B288)*
        ('Fairway Log'!$C$2:$C359=$C288),
      0),
      MATCH($G288,'Fairway Log'!$E$1:$V$1,0)
    ),
  "")
)</f>
        <v/>
      </c>
      <c r="Q288" cm="1">
        <f t="array" ref="Q288">IFERROR(
  INDEX('GIR Log'!$E$2:$V$70,
    MATCH(1,
      ('GIR Log'!$A$2:$A$70=$A288)*
      ('GIR Log'!$B$2:$B$70=$B288)*
      ('GIR Log'!$C$2:$C$70=$C288),
    0),
    MATCH($G288,'GIR Log'!$E$1:$V$1,0)
  ),
"")</f>
        <v>1</v>
      </c>
    </row>
    <row r="289" spans="1:17" x14ac:dyDescent="0.25">
      <c r="A289" s="20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Log'!$E$2:$V$70,
    MATCH(1,
      ('Golf Log'!$A$2:$A$70=$A289)*
      ('Golf Log'!$B$2:$B$70=$B289)*
      ('Golf Log'!$C$2:$C$70=$C289),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Log'!$E$2:$V$70,
    MATCH(1,
      ('Putt Log'!$A$2:$A$70=$A289)*
      ('Putt Log'!$B$2:$B$70=$B289)*
      ('Putt Log'!$C$2:$C$70=$C289),
    0),
    MATCH($G289,'Putt Log'!$E$1:$V$1,0)
  ),
"")</f>
        <v>2</v>
      </c>
      <c r="P289" t="str" cm="1">
        <f t="array" ref="P289">IF(K289=3,"",
  IFERROR(
    INDEX('Fairway Log'!$E$2:$V$70,
      MATCH(1,
        ('Fairway Log'!$A$2:$A$70=$A289)*
        ('Fairway Log'!$B$2:$B$70=$B289)*
        ('Fairway Log'!$C$2:$C360=$C289),
      0),
      MATCH($G289,'Fairway Log'!$E$1:$V$1,0)
    ),
  "")
)</f>
        <v>→</v>
      </c>
      <c r="Q289" t="str" cm="1">
        <f t="array" ref="Q289">IFERROR(
  INDEX('GIR Log'!$E$2:$V$70,
    MATCH(1,
      ('GIR Log'!$A$2:$A$70=$A289)*
      ('GIR Log'!$B$2:$B$70=$B289)*
      ('GIR Log'!$C$2:$C$70=$C289),
    0),
    MATCH($G289,'GIR Log'!$E$1:$V$1,0)
  ),
"")</f>
        <v>↓</v>
      </c>
    </row>
    <row r="290" spans="1:17" x14ac:dyDescent="0.25">
      <c r="A290" s="20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Log'!$E$2:$V$70,
    MATCH(1,
      ('Golf Log'!$A$2:$A$70=$A290)*
      ('Golf Log'!$B$2:$B$70=$B290)*
      ('Golf Log'!$C$2:$C$70=$C290),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Log'!$E$2:$V$70,
    MATCH(1,
      ('Putt Log'!$A$2:$A$70=$A290)*
      ('Putt Log'!$B$2:$B$70=$B290)*
      ('Putt Log'!$C$2:$C$70=$C290),
    0),
    MATCH($G290,'Putt Log'!$E$1:$V$1,0)
  ),
"")</f>
        <v>2</v>
      </c>
      <c r="P290" t="str" cm="1">
        <f t="array" ref="P290">IF(K290=3,"",
  IFERROR(
    INDEX('Fairway Log'!$E$2:$V$70,
      MATCH(1,
        ('Fairway Log'!$A$2:$A$70=$A290)*
        ('Fairway Log'!$B$2:$B$70=$B290)*
        ('Fairway Log'!$C$2:$C361=$C290),
      0),
      MATCH($G290,'Fairway Log'!$E$1:$V$1,0)
    ),
  "")
)</f>
        <v>↓</v>
      </c>
      <c r="Q290" t="str" cm="1">
        <f t="array" ref="Q290">IFERROR(
  INDEX('GIR Log'!$E$2:$V$70,
    MATCH(1,
      ('GIR Log'!$A$2:$A$70=$A290)*
      ('GIR Log'!$B$2:$B$70=$B290)*
      ('GIR Log'!$C$2:$C$70=$C290),
    0),
    MATCH($G290,'GIR Log'!$E$1:$V$1,0)
  ),
"")</f>
        <v>↓</v>
      </c>
    </row>
    <row r="291" spans="1:17" x14ac:dyDescent="0.25">
      <c r="A291" s="20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Log'!$E$2:$V$70,
    MATCH(1,
      ('Golf Log'!$A$2:$A$70=$A291)*
      ('Golf Log'!$B$2:$B$70=$B291)*
      ('Golf Log'!$C$2:$C$70=$C291),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Log'!$E$2:$V$70,
    MATCH(1,
      ('Putt Log'!$A$2:$A$70=$A291)*
      ('Putt Log'!$B$2:$B$70=$B291)*
      ('Putt Log'!$C$2:$C$70=$C291),
    0),
    MATCH($G291,'Putt Log'!$E$1:$V$1,0)
  ),
"")</f>
        <v>3</v>
      </c>
      <c r="P291" t="str" cm="1">
        <f t="array" ref="P291">IF(K291=3,"",
  IFERROR(
    INDEX('Fairway Log'!$E$2:$V$70,
      MATCH(1,
        ('Fairway Log'!$A$2:$A$70=$A291)*
        ('Fairway Log'!$B$2:$B$70=$B291)*
        ('Fairway Log'!$C$2:$C362=$C291),
      0),
      MATCH($G291,'Fairway Log'!$E$1:$V$1,0)
    ),
  "")
)</f>
        <v>↓</v>
      </c>
      <c r="Q291" t="str" cm="1">
        <f t="array" ref="Q291">IFERROR(
  INDEX('GIR Log'!$E$2:$V$70,
    MATCH(1,
      ('GIR Log'!$A$2:$A$70=$A291)*
      ('GIR Log'!$B$2:$B$70=$B291)*
      ('GIR Log'!$C$2:$C$70=$C291),
    0),
    MATCH($G291,'GIR Log'!$E$1:$V$1,0)
  ),
"")</f>
        <v>↓</v>
      </c>
    </row>
    <row r="292" spans="1:17" x14ac:dyDescent="0.25">
      <c r="A292" s="20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Log'!$E$2:$V$70,
    MATCH(1,
      ('Golf Log'!$A$2:$A$70=$A292)*
      ('Golf Log'!$B$2:$B$70=$B292)*
      ('Golf Log'!$C$2:$C$70=$C292),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Log'!$E$2:$V$70,
    MATCH(1,
      ('Putt Log'!$A$2:$A$70=$A292)*
      ('Putt Log'!$B$2:$B$70=$B292)*
      ('Putt Log'!$C$2:$C$70=$C292),
    0),
    MATCH($G292,'Putt Log'!$E$1:$V$1,0)
  ),
"")</f>
        <v>1</v>
      </c>
      <c r="P292" t="str" cm="1">
        <f t="array" ref="P292">IF(K292=3,"",
  IFERROR(
    INDEX('Fairway Log'!$E$2:$V$70,
      MATCH(1,
        ('Fairway Log'!$A$2:$A$70=$A292)*
        ('Fairway Log'!$B$2:$B$70=$B292)*
        ('Fairway Log'!$C$2:$C363=$C292),
      0),
      MATCH($G292,'Fairway Log'!$E$1:$V$1,0)
    ),
  "")
)</f>
        <v>→</v>
      </c>
      <c r="Q292" t="str" cm="1">
        <f t="array" ref="Q292">IFERROR(
  INDEX('GIR Log'!$E$2:$V$70,
    MATCH(1,
      ('GIR Log'!$A$2:$A$70=$A292)*
      ('GIR Log'!$B$2:$B$70=$B292)*
      ('GIR Log'!$C$2:$C$70=$C292),
    0),
    MATCH($G292,'GIR Log'!$E$1:$V$1,0)
  ),
"")</f>
        <v>↑</v>
      </c>
    </row>
    <row r="293" spans="1:17" x14ac:dyDescent="0.25">
      <c r="A293" s="20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Log'!$E$2:$V$70,
    MATCH(1,
      ('Golf Log'!$A$2:$A$70=$A293)*
      ('Golf Log'!$B$2:$B$70=$B293)*
      ('Golf Log'!$C$2:$C$70=$C293),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Log'!$E$2:$V$70,
    MATCH(1,
      ('Putt Log'!$A$2:$A$70=$A293)*
      ('Putt Log'!$B$2:$B$70=$B293)*
      ('Putt Log'!$C$2:$C$70=$C293),
    0),
    MATCH($G293,'Putt Log'!$E$1:$V$1,0)
  ),
"")</f>
        <v>2</v>
      </c>
      <c r="P293" t="str" cm="1">
        <f t="array" ref="P293">IF(K293=3,"",
  IFERROR(
    INDEX('Fairway Log'!$E$2:$V$70,
      MATCH(1,
        ('Fairway Log'!$A$2:$A$70=$A293)*
        ('Fairway Log'!$B$2:$B$70=$B293)*
        ('Fairway Log'!$C$2:$C364=$C293),
      0),
      MATCH($G293,'Fairway Log'!$E$1:$V$1,0)
    ),
  "")
)</f>
        <v>←</v>
      </c>
      <c r="Q293" t="str" cm="1">
        <f t="array" ref="Q293">IFERROR(
  INDEX('GIR Log'!$E$2:$V$70,
    MATCH(1,
      ('GIR Log'!$A$2:$A$70=$A293)*
      ('GIR Log'!$B$2:$B$70=$B293)*
      ('GIR Log'!$C$2:$C$70=$C293),
    0),
    MATCH($G293,'GIR Log'!$E$1:$V$1,0)
  ),
"")</f>
        <v>↓</v>
      </c>
    </row>
    <row r="294" spans="1:17" x14ac:dyDescent="0.25">
      <c r="A294" s="20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Log'!$E$2:$V$70,
    MATCH(1,
      ('Golf Log'!$A$2:$A$70=$A294)*
      ('Golf Log'!$B$2:$B$70=$B294)*
      ('Golf Log'!$C$2:$C$70=$C294),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Log'!$E$2:$V$70,
    MATCH(1,
      ('Putt Log'!$A$2:$A$70=$A294)*
      ('Putt Log'!$B$2:$B$70=$B294)*
      ('Putt Log'!$C$2:$C$70=$C294),
    0),
    MATCH($G294,'Putt Log'!$E$1:$V$1,0)
  ),
"")</f>
        <v>2</v>
      </c>
      <c r="P294" cm="1">
        <f t="array" ref="P294">IF(K294=3,"",
  IFERROR(
    INDEX('Fairway Log'!$E$2:$V$70,
      MATCH(1,
        ('Fairway Log'!$A$2:$A$70=$A294)*
        ('Fairway Log'!$B$2:$B$70=$B294)*
        ('Fairway Log'!$C$2:$C365=$C294),
      0),
      MATCH($G294,'Fairway Log'!$E$1:$V$1,0)
    ),
  "")
)</f>
        <v>1</v>
      </c>
      <c r="Q294" cm="1">
        <f t="array" ref="Q294">IFERROR(
  INDEX('GIR Log'!$E$2:$V$70,
    MATCH(1,
      ('GIR Log'!$A$2:$A$70=$A294)*
      ('GIR Log'!$B$2:$B$70=$B294)*
      ('GIR Log'!$C$2:$C$70=$C294),
    0),
    MATCH($G294,'GIR Log'!$E$1:$V$1,0)
  ),
"")</f>
        <v>1</v>
      </c>
    </row>
    <row r="295" spans="1:17" x14ac:dyDescent="0.25">
      <c r="A295" s="20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Log'!$E$2:$V$70,
    MATCH(1,
      ('Golf Log'!$A$2:$A$70=$A295)*
      ('Golf Log'!$B$2:$B$70=$B295)*
      ('Golf Log'!$C$2:$C$70=$C295),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Log'!$E$2:$V$70,
    MATCH(1,
      ('Putt Log'!$A$2:$A$70=$A295)*
      ('Putt Log'!$B$2:$B$70=$B295)*
      ('Putt Log'!$C$2:$C$70=$C295),
    0),
    MATCH($G295,'Putt Log'!$E$1:$V$1,0)
  ),
"")</f>
        <v>2</v>
      </c>
      <c r="P295" t="str" cm="1">
        <f t="array" ref="P295">IF(K295=3,"",
  IFERROR(
    INDEX('Fairway Log'!$E$2:$V$70,
      MATCH(1,
        ('Fairway Log'!$A$2:$A$70=$A295)*
        ('Fairway Log'!$B$2:$B$70=$B295)*
        ('Fairway Log'!$C$2:$C366=$C295),
      0),
      MATCH($G295,'Fairway Log'!$E$1:$V$1,0)
    ),
  "")
)</f>
        <v/>
      </c>
      <c r="Q295" t="str" cm="1">
        <f t="array" ref="Q295">IFERROR(
  INDEX('GIR Log'!$E$2:$V$70,
    MATCH(1,
      ('GIR Log'!$A$2:$A$70=$A295)*
      ('GIR Log'!$B$2:$B$70=$B295)*
      ('GIR Log'!$C$2:$C$70=$C295),
    0),
    MATCH($G295,'GIR Log'!$E$1:$V$1,0)
  ),
"")</f>
        <v>↓</v>
      </c>
    </row>
    <row r="296" spans="1:17" x14ac:dyDescent="0.25">
      <c r="A296" s="20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Log'!$E$2:$V$70,
    MATCH(1,
      ('Golf Log'!$A$2:$A$70=$A296)*
      ('Golf Log'!$B$2:$B$70=$B296)*
      ('Golf Log'!$C$2:$C$70=$C296),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Log'!$E$2:$V$70,
    MATCH(1,
      ('Putt Log'!$A$2:$A$70=$A296)*
      ('Putt Log'!$B$2:$B$70=$B296)*
      ('Putt Log'!$C$2:$C$70=$C296),
    0),
    MATCH($G296,'Putt Log'!$E$1:$V$1,0)
  ),
"")</f>
        <v>2</v>
      </c>
      <c r="P296" t="str" cm="1">
        <f t="array" ref="P296">IF(K296=3,"",
  IFERROR(
    INDEX('Fairway Log'!$E$2:$V$70,
      MATCH(1,
        ('Fairway Log'!$A$2:$A$70=$A296)*
        ('Fairway Log'!$B$2:$B$70=$B296)*
        ('Fairway Log'!$C$2:$C367=$C296),
      0),
      MATCH($G296,'Fairway Log'!$E$1:$V$1,0)
    ),
  "")
)</f>
        <v>←</v>
      </c>
      <c r="Q296" t="str" cm="1">
        <f t="array" ref="Q296">IFERROR(
  INDEX('GIR Log'!$E$2:$V$70,
    MATCH(1,
      ('GIR Log'!$A$2:$A$70=$A296)*
      ('GIR Log'!$B$2:$B$70=$B296)*
      ('GIR Log'!$C$2:$C$70=$C296),
    0),
    MATCH($G296,'GIR Log'!$E$1:$V$1,0)
  ),
"")</f>
        <v>↑</v>
      </c>
    </row>
    <row r="297" spans="1:17" x14ac:dyDescent="0.25">
      <c r="A297" s="20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Log'!$E$2:$V$70,
    MATCH(1,
      ('Golf Log'!$A$2:$A$70=$A297)*
      ('Golf Log'!$B$2:$B$70=$B297)*
      ('Golf Log'!$C$2:$C$70=$C297),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Log'!$E$2:$V$70,
    MATCH(1,
      ('Putt Log'!$A$2:$A$70=$A297)*
      ('Putt Log'!$B$2:$B$70=$B297)*
      ('Putt Log'!$C$2:$C$70=$C297),
    0),
    MATCH($G297,'Putt Log'!$E$1:$V$1,0)
  ),
"")</f>
        <v>3</v>
      </c>
      <c r="P297" t="str" cm="1">
        <f t="array" ref="P297">IF(K297=3,"",
  IFERROR(
    INDEX('Fairway Log'!$E$2:$V$70,
      MATCH(1,
        ('Fairway Log'!$A$2:$A$70=$A297)*
        ('Fairway Log'!$B$2:$B$70=$B297)*
        ('Fairway Log'!$C$2:$C368=$C297),
      0),
      MATCH($G297,'Fairway Log'!$E$1:$V$1,0)
    ),
  "")
)</f>
        <v/>
      </c>
      <c r="Q297" cm="1">
        <f t="array" ref="Q297">IFERROR(
  INDEX('GIR Log'!$E$2:$V$70,
    MATCH(1,
      ('GIR Log'!$A$2:$A$70=$A297)*
      ('GIR Log'!$B$2:$B$70=$B297)*
      ('GIR Log'!$C$2:$C$70=$C297),
    0),
    MATCH($G297,'GIR Log'!$E$1:$V$1,0)
  ),
"")</f>
        <v>1</v>
      </c>
    </row>
    <row r="298" spans="1:17" x14ac:dyDescent="0.25">
      <c r="A298" s="20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Log'!$E$2:$V$70,
    MATCH(1,
      ('Golf Log'!$A$2:$A$70=$A298)*
      ('Golf Log'!$B$2:$B$70=$B298)*
      ('Golf Log'!$C$2:$C$70=$C298),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Log'!$E$2:$V$70,
    MATCH(1,
      ('Putt Log'!$A$2:$A$70=$A298)*
      ('Putt Log'!$B$2:$B$70=$B298)*
      ('Putt Log'!$C$2:$C$70=$C298),
    0),
    MATCH($G298,'Putt Log'!$E$1:$V$1,0)
  ),
"")</f>
        <v>1</v>
      </c>
      <c r="P298" t="str" cm="1">
        <f t="array" ref="P298">IF(K298=3,"",
  IFERROR(
    INDEX('Fairway Log'!$E$2:$V$70,
      MATCH(1,
        ('Fairway Log'!$A$2:$A$70=$A298)*
        ('Fairway Log'!$B$2:$B$70=$B298)*
        ('Fairway Log'!$C$2:$C369=$C298),
      0),
      MATCH($G298,'Fairway Log'!$E$1:$V$1,0)
    ),
  "")
)</f>
        <v>←</v>
      </c>
      <c r="Q298" t="str" cm="1">
        <f t="array" ref="Q298">IFERROR(
  INDEX('GIR Log'!$E$2:$V$70,
    MATCH(1,
      ('GIR Log'!$A$2:$A$70=$A298)*
      ('GIR Log'!$B$2:$B$70=$B298)*
      ('GIR Log'!$C$2:$C$70=$C298),
    0),
    MATCH($G298,'GIR Log'!$E$1:$V$1,0)
  ),
"")</f>
        <v>↑</v>
      </c>
    </row>
    <row r="299" spans="1:17" x14ac:dyDescent="0.25">
      <c r="A299" s="20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Log'!$E$2:$V$70,
    MATCH(1,
      ('Golf Log'!$A$2:$A$70=$A299)*
      ('Golf Log'!$B$2:$B$70=$B299)*
      ('Golf Log'!$C$2:$C$70=$C299),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Log'!$E$2:$V$70,
    MATCH(1,
      ('Putt Log'!$A$2:$A$70=$A299)*
      ('Putt Log'!$B$2:$B$70=$B299)*
      ('Putt Log'!$C$2:$C$70=$C299),
    0),
    MATCH($G299,'Putt Log'!$E$1:$V$1,0)
  ),
"")</f>
        <v>2</v>
      </c>
      <c r="P299" t="str" cm="1">
        <f t="array" ref="P299">IF(K299=3,"",
  IFERROR(
    INDEX('Fairway Log'!$E$2:$V$70,
      MATCH(1,
        ('Fairway Log'!$A$2:$A$70=$A299)*
        ('Fairway Log'!$B$2:$B$70=$B299)*
        ('Fairway Log'!$C$2:$C370=$C299),
      0),
      MATCH($G299,'Fairway Log'!$E$1:$V$1,0)
    ),
  "")
)</f>
        <v>↓</v>
      </c>
      <c r="Q299" t="str" cm="1">
        <f t="array" ref="Q299">IFERROR(
  INDEX('GIR Log'!$E$2:$V$70,
    MATCH(1,
      ('GIR Log'!$A$2:$A$70=$A299)*
      ('GIR Log'!$B$2:$B$70=$B299)*
      ('GIR Log'!$C$2:$C$70=$C299),
    0),
    MATCH($G299,'GIR Log'!$E$1:$V$1,0)
  ),
"")</f>
        <v>↓</v>
      </c>
    </row>
    <row r="300" spans="1:17" x14ac:dyDescent="0.25">
      <c r="A300" s="20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Log'!$E$2:$V$70,
    MATCH(1,
      ('Golf Log'!$A$2:$A$70=$A300)*
      ('Golf Log'!$B$2:$B$70=$B300)*
      ('Golf Log'!$C$2:$C$70=$C300),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Log'!$E$2:$V$70,
    MATCH(1,
      ('Putt Log'!$A$2:$A$70=$A300)*
      ('Putt Log'!$B$2:$B$70=$B300)*
      ('Putt Log'!$C$2:$C$70=$C300),
    0),
    MATCH($G300,'Putt Log'!$E$1:$V$1,0)
  ),
"")</f>
        <v>1</v>
      </c>
      <c r="P300" t="str" cm="1">
        <f t="array" ref="P300">IF(K300=3,"",
  IFERROR(
    INDEX('Fairway Log'!$E$2:$V$70,
      MATCH(1,
        ('Fairway Log'!$A$2:$A$70=$A300)*
        ('Fairway Log'!$B$2:$B$70=$B300)*
        ('Fairway Log'!$C$2:$C371=$C300),
      0),
      MATCH($G300,'Fairway Log'!$E$1:$V$1,0)
    ),
  "")
)</f>
        <v>↓</v>
      </c>
      <c r="Q300" t="str" cm="1">
        <f t="array" ref="Q300">IFERROR(
  INDEX('GIR Log'!$E$2:$V$70,
    MATCH(1,
      ('GIR Log'!$A$2:$A$70=$A300)*
      ('GIR Log'!$B$2:$B$70=$B300)*
      ('GIR Log'!$C$2:$C$70=$C300),
    0),
    MATCH($G300,'GIR Log'!$E$1:$V$1,0)
  ),
"")</f>
        <v>↓</v>
      </c>
    </row>
    <row r="301" spans="1:17" x14ac:dyDescent="0.25">
      <c r="A301" s="20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Log'!$E$2:$V$70,
    MATCH(1,
      ('Golf Log'!$A$2:$A$70=$A301)*
      ('Golf Log'!$B$2:$B$70=$B301)*
      ('Golf Log'!$C$2:$C$70=$C301),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Log'!$E$2:$V$70,
    MATCH(1,
      ('Putt Log'!$A$2:$A$70=$A301)*
      ('Putt Log'!$B$2:$B$70=$B301)*
      ('Putt Log'!$C$2:$C$70=$C301),
    0),
    MATCH($G301,'Putt Log'!$E$1:$V$1,0)
  ),
"")</f>
        <v>2</v>
      </c>
      <c r="P301" t="str" cm="1">
        <f t="array" ref="P301">IF(K301=3,"",
  IFERROR(
    INDEX('Fairway Log'!$E$2:$V$70,
      MATCH(1,
        ('Fairway Log'!$A$2:$A$70=$A301)*
        ('Fairway Log'!$B$2:$B$70=$B301)*
        ('Fairway Log'!$C$2:$C372=$C301),
      0),
      MATCH($G301,'Fairway Log'!$E$1:$V$1,0)
    ),
  "")
)</f>
        <v/>
      </c>
      <c r="Q301" t="str" cm="1">
        <f t="array" ref="Q301">IFERROR(
  INDEX('GIR Log'!$E$2:$V$70,
    MATCH(1,
      ('GIR Log'!$A$2:$A$70=$A301)*
      ('GIR Log'!$B$2:$B$70=$B301)*
      ('GIR Log'!$C$2:$C$70=$C301),
    0),
    MATCH($G301,'GIR Log'!$E$1:$V$1,0)
  ),
"")</f>
        <v>↑</v>
      </c>
    </row>
    <row r="302" spans="1:17" x14ac:dyDescent="0.25">
      <c r="A302" s="20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Log'!$E$2:$V$70,
    MATCH(1,
      ('Golf Log'!$A$2:$A$70=$A302)*
      ('Golf Log'!$B$2:$B$70=$B302)*
      ('Golf Log'!$C$2:$C$70=$C302),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Log'!$E$2:$V$70,
    MATCH(1,
      ('Putt Log'!$A$2:$A$70=$A302)*
      ('Putt Log'!$B$2:$B$70=$B302)*
      ('Putt Log'!$C$2:$C$70=$C302),
    0),
    MATCH($G302,'Putt Log'!$E$1:$V$1,0)
  ),
"")</f>
        <v>2</v>
      </c>
      <c r="P302" cm="1">
        <f t="array" ref="P302">IF(K302=3,"",
  IFERROR(
    INDEX('Fairway Log'!$E$2:$V$70,
      MATCH(1,
        ('Fairway Log'!$A$2:$A$70=$A302)*
        ('Fairway Log'!$B$2:$B$70=$B302)*
        ('Fairway Log'!$C$2:$C373=$C302),
      0),
      MATCH($G302,'Fairway Log'!$E$1:$V$1,0)
    ),
  "")
)</f>
        <v>1</v>
      </c>
      <c r="Q302" t="str" cm="1">
        <f t="array" ref="Q302">IFERROR(
  INDEX('GIR Log'!$E$2:$V$70,
    MATCH(1,
      ('GIR Log'!$A$2:$A$70=$A302)*
      ('GIR Log'!$B$2:$B$70=$B302)*
      ('GIR Log'!$C$2:$C$70=$C302),
    0),
    MATCH($G302,'GIR Log'!$E$1:$V$1,0)
  ),
"")</f>
        <v>→</v>
      </c>
    </row>
    <row r="303" spans="1:17" x14ac:dyDescent="0.25">
      <c r="A303" s="20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Log'!$E$2:$V$70,
    MATCH(1,
      ('Golf Log'!$A$2:$A$70=$A303)*
      ('Golf Log'!$B$2:$B$70=$B303)*
      ('Golf Log'!$C$2:$C$70=$C303),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Log'!$E$2:$V$70,
    MATCH(1,
      ('Putt Log'!$A$2:$A$70=$A303)*
      ('Putt Log'!$B$2:$B$70=$B303)*
      ('Putt Log'!$C$2:$C$70=$C303),
    0),
    MATCH($G303,'Putt Log'!$E$1:$V$1,0)
  ),
"")</f>
        <v>2</v>
      </c>
      <c r="P303" t="str" cm="1">
        <f t="array" ref="P303">IF(K303=3,"",
  IFERROR(
    INDEX('Fairway Log'!$E$2:$V$70,
      MATCH(1,
        ('Fairway Log'!$A$2:$A$70=$A303)*
        ('Fairway Log'!$B$2:$B$70=$B303)*
        ('Fairway Log'!$C$2:$C374=$C303),
      0),
      MATCH($G303,'Fairway Log'!$E$1:$V$1,0)
    ),
  "")
)</f>
        <v/>
      </c>
      <c r="Q303" t="str" cm="1">
        <f t="array" ref="Q303">IFERROR(
  INDEX('GIR Log'!$E$2:$V$70,
    MATCH(1,
      ('GIR Log'!$A$2:$A$70=$A303)*
      ('GIR Log'!$B$2:$B$70=$B303)*
      ('GIR Log'!$C$2:$C$70=$C303),
    0),
    MATCH($G303,'GIR Log'!$E$1:$V$1,0)
  ),
"")</f>
        <v>↑</v>
      </c>
    </row>
    <row r="304" spans="1:17" x14ac:dyDescent="0.25">
      <c r="A304" s="20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Log'!$E$2:$V$70,
    MATCH(1,
      ('Golf Log'!$A$2:$A$70=$A304)*
      ('Golf Log'!$B$2:$B$70=$B304)*
      ('Golf Log'!$C$2:$C$70=$C304),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Log'!$E$2:$V$70,
    MATCH(1,
      ('Putt Log'!$A$2:$A$70=$A304)*
      ('Putt Log'!$B$2:$B$70=$B304)*
      ('Putt Log'!$C$2:$C$70=$C304),
    0),
    MATCH($G304,'Putt Log'!$E$1:$V$1,0)
  ),
"")</f>
        <v>2</v>
      </c>
      <c r="P304" cm="1">
        <f t="array" ref="P304">IF(K304=3,"",
  IFERROR(
    INDEX('Fairway Log'!$E$2:$V$70,
      MATCH(1,
        ('Fairway Log'!$A$2:$A$70=$A304)*
        ('Fairway Log'!$B$2:$B$70=$B304)*
        ('Fairway Log'!$C$2:$C375=$C304),
      0),
      MATCH($G304,'Fairway Log'!$E$1:$V$1,0)
    ),
  "")
)</f>
        <v>1</v>
      </c>
      <c r="Q304" t="str" cm="1">
        <f t="array" ref="Q304">IFERROR(
  INDEX('GIR Log'!$E$2:$V$70,
    MATCH(1,
      ('GIR Log'!$A$2:$A$70=$A304)*
      ('GIR Log'!$B$2:$B$70=$B304)*
      ('GIR Log'!$C$2:$C$70=$C304),
    0),
    MATCH($G304,'GIR Log'!$E$1:$V$1,0)
  ),
"")</f>
        <v>↓</v>
      </c>
    </row>
    <row r="305" spans="1:17" x14ac:dyDescent="0.25">
      <c r="A305" s="20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Log'!$E$2:$V$70,
    MATCH(1,
      ('Golf Log'!$A$2:$A$70=$A305)*
      ('Golf Log'!$B$2:$B$70=$B305)*
      ('Golf Log'!$C$2:$C$70=$C305),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Log'!$E$2:$V$70,
    MATCH(1,
      ('Putt Log'!$A$2:$A$70=$A305)*
      ('Putt Log'!$B$2:$B$70=$B305)*
      ('Putt Log'!$C$2:$C$70=$C305),
    0),
    MATCH($G305,'Putt Log'!$E$1:$V$1,0)
  ),
"")</f>
        <v>2</v>
      </c>
      <c r="P305" t="str" cm="1">
        <f t="array" ref="P305">IF(K305=3,"",
  IFERROR(
    INDEX('Fairway Log'!$E$2:$V$70,
      MATCH(1,
        ('Fairway Log'!$A$2:$A$70=$A305)*
        ('Fairway Log'!$B$2:$B$70=$B305)*
        ('Fairway Log'!$C$2:$C376=$C305),
      0),
      MATCH($G305,'Fairway Log'!$E$1:$V$1,0)
    ),
  "")
)</f>
        <v>←</v>
      </c>
      <c r="Q305" t="str" cm="1">
        <f t="array" ref="Q305">IFERROR(
  INDEX('GIR Log'!$E$2:$V$70,
    MATCH(1,
      ('GIR Log'!$A$2:$A$70=$A305)*
      ('GIR Log'!$B$2:$B$70=$B305)*
      ('GIR Log'!$C$2:$C$70=$C305),
    0),
    MATCH($G305,'GIR Log'!$E$1:$V$1,0)
  ),
"")</f>
        <v>↓</v>
      </c>
    </row>
    <row r="306" spans="1:17" x14ac:dyDescent="0.25">
      <c r="A306" s="20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Log'!$E$2:$V$70,
    MATCH(1,
      ('Golf Log'!$A$2:$A$70=$A306)*
      ('Golf Log'!$B$2:$B$70=$B306)*
      ('Golf Log'!$C$2:$C$70=$C306),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Log'!$E$2:$V$70,
    MATCH(1,
      ('Putt Log'!$A$2:$A$70=$A306)*
      ('Putt Log'!$B$2:$B$70=$B306)*
      ('Putt Log'!$C$2:$C$70=$C306),
    0),
    MATCH($G306,'Putt Log'!$E$1:$V$1,0)
  ),
"")</f>
        <v>2</v>
      </c>
      <c r="P306" cm="1">
        <f t="array" ref="P306">IF(K306=3,"",
  IFERROR(
    INDEX('Fairway Log'!$E$2:$V$70,
      MATCH(1,
        ('Fairway Log'!$A$2:$A$70=$A306)*
        ('Fairway Log'!$B$2:$B$70=$B306)*
        ('Fairway Log'!$C$2:$C377=$C306),
      0),
      MATCH($G306,'Fairway Log'!$E$1:$V$1,0)
    ),
  "")
)</f>
        <v>0</v>
      </c>
      <c r="Q306" t="str" cm="1">
        <f t="array" ref="Q306">IFERROR(
  INDEX('GIR Log'!$E$2:$V$70,
    MATCH(1,
      ('GIR Log'!$A$2:$A$70=$A306)*
      ('GIR Log'!$B$2:$B$70=$B306)*
      ('GIR Log'!$C$2:$C$70=$C306),
    0),
    MATCH($G306,'GIR Log'!$E$1:$V$1,0)
  ),
"")</f>
        <v>↓</v>
      </c>
    </row>
    <row r="307" spans="1:17" x14ac:dyDescent="0.25">
      <c r="A307" s="20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Log'!$E$2:$V$70,
    MATCH(1,
      ('Golf Log'!$A$2:$A$70=$A307)*
      ('Golf Log'!$B$2:$B$70=$B307)*
      ('Golf Log'!$C$2:$C$70=$C307),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Log'!$E$2:$V$70,
    MATCH(1,
      ('Putt Log'!$A$2:$A$70=$A307)*
      ('Putt Log'!$B$2:$B$70=$B307)*
      ('Putt Log'!$C$2:$C$70=$C307),
    0),
    MATCH($G307,'Putt Log'!$E$1:$V$1,0)
  ),
"")</f>
        <v>2</v>
      </c>
      <c r="P307" t="str" cm="1">
        <f t="array" ref="P307">IF(K307=3,"",
  IFERROR(
    INDEX('Fairway Log'!$E$2:$V$70,
      MATCH(1,
        ('Fairway Log'!$A$2:$A$70=$A307)*
        ('Fairway Log'!$B$2:$B$70=$B307)*
        ('Fairway Log'!$C$2:$C378=$C307),
      0),
      MATCH($G307,'Fairway Log'!$E$1:$V$1,0)
    ),
  "")
)</f>
        <v>→</v>
      </c>
      <c r="Q307" t="str" cm="1">
        <f t="array" ref="Q307">IFERROR(
  INDEX('GIR Log'!$E$2:$V$70,
    MATCH(1,
      ('GIR Log'!$A$2:$A$70=$A307)*
      ('GIR Log'!$B$2:$B$70=$B307)*
      ('GIR Log'!$C$2:$C$70=$C307),
    0),
    MATCH($G307,'GIR Log'!$E$1:$V$1,0)
  ),
"")</f>
        <v>↓</v>
      </c>
    </row>
    <row r="308" spans="1:17" x14ac:dyDescent="0.25">
      <c r="A308" s="20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Log'!$E$2:$V$70,
    MATCH(1,
      ('Golf Log'!$A$2:$A$70=$A308)*
      ('Golf Log'!$B$2:$B$70=$B308)*
      ('Golf Log'!$C$2:$C$70=$C308),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Log'!$E$2:$V$70,
    MATCH(1,
      ('Putt Log'!$A$2:$A$70=$A308)*
      ('Putt Log'!$B$2:$B$70=$B308)*
      ('Putt Log'!$C$2:$C$70=$C308),
    0),
    MATCH($G308,'Putt Log'!$E$1:$V$1,0)
  ),
"")</f>
        <v>2</v>
      </c>
      <c r="P308" t="str" cm="1">
        <f t="array" ref="P308">IF(K308=3,"",
  IFERROR(
    INDEX('Fairway Log'!$E$2:$V$70,
      MATCH(1,
        ('Fairway Log'!$A$2:$A$70=$A308)*
        ('Fairway Log'!$B$2:$B$70=$B308)*
        ('Fairway Log'!$C$2:$C379=$C308),
      0),
      MATCH($G308,'Fairway Log'!$E$1:$V$1,0)
    ),
  "")
)</f>
        <v>↓</v>
      </c>
      <c r="Q308" t="str" cm="1">
        <f t="array" ref="Q308">IFERROR(
  INDEX('GIR Log'!$E$2:$V$70,
    MATCH(1,
      ('GIR Log'!$A$2:$A$70=$A308)*
      ('GIR Log'!$B$2:$B$70=$B308)*
      ('GIR Log'!$C$2:$C$70=$C308),
    0),
    MATCH($G308,'GIR Log'!$E$1:$V$1,0)
  ),
"")</f>
        <v>↓</v>
      </c>
    </row>
    <row r="309" spans="1:17" x14ac:dyDescent="0.25">
      <c r="A309" s="20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Log'!$E$2:$V$70,
    MATCH(1,
      ('Golf Log'!$A$2:$A$70=$A309)*
      ('Golf Log'!$B$2:$B$70=$B309)*
      ('Golf Log'!$C$2:$C$70=$C309),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Log'!$E$2:$V$70,
    MATCH(1,
      ('Putt Log'!$A$2:$A$70=$A309)*
      ('Putt Log'!$B$2:$B$70=$B309)*
      ('Putt Log'!$C$2:$C$70=$C309),
    0),
    MATCH($G309,'Putt Log'!$E$1:$V$1,0)
  ),
"")</f>
        <v>2</v>
      </c>
      <c r="P309" t="str" cm="1">
        <f t="array" ref="P309">IF(K309=3,"",
  IFERROR(
    INDEX('Fairway Log'!$E$2:$V$70,
      MATCH(1,
        ('Fairway Log'!$A$2:$A$70=$A309)*
        ('Fairway Log'!$B$2:$B$70=$B309)*
        ('Fairway Log'!$C$2:$C380=$C309),
      0),
      MATCH($G309,'Fairway Log'!$E$1:$V$1,0)
    ),
  "")
)</f>
        <v/>
      </c>
      <c r="Q309" cm="1">
        <f t="array" ref="Q309">IFERROR(
  INDEX('GIR Log'!$E$2:$V$70,
    MATCH(1,
      ('GIR Log'!$A$2:$A$70=$A309)*
      ('GIR Log'!$B$2:$B$70=$B309)*
      ('GIR Log'!$C$2:$C$70=$C309),
    0),
    MATCH($G309,'GIR Log'!$E$1:$V$1,0)
  ),
"")</f>
        <v>1</v>
      </c>
    </row>
    <row r="310" spans="1:17" x14ac:dyDescent="0.25">
      <c r="A310" s="20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Log'!$E$2:$V$70,
    MATCH(1,
      ('Golf Log'!$A$2:$A$70=$A310)*
      ('Golf Log'!$B$2:$B$70=$B310)*
      ('Golf Log'!$C$2:$C$70=$C310),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Log'!$E$2:$V$70,
    MATCH(1,
      ('Putt Log'!$A$2:$A$70=$A310)*
      ('Putt Log'!$B$2:$B$70=$B310)*
      ('Putt Log'!$C$2:$C$70=$C310),
    0),
    MATCH($G310,'Putt Log'!$E$1:$V$1,0)
  ),
"")</f>
        <v>2</v>
      </c>
      <c r="P310" cm="1">
        <f t="array" ref="P310">IF(K310=3,"",
  IFERROR(
    INDEX('Fairway Log'!$E$2:$V$70,
      MATCH(1,
        ('Fairway Log'!$A$2:$A$70=$A310)*
        ('Fairway Log'!$B$2:$B$70=$B310)*
        ('Fairway Log'!$C$2:$C381=$C310),
      0),
      MATCH($G310,'Fairway Log'!$E$1:$V$1,0)
    ),
  "")
)</f>
        <v>1</v>
      </c>
      <c r="Q310" t="str" cm="1">
        <f t="array" ref="Q310">IFERROR(
  INDEX('GIR Log'!$E$2:$V$70,
    MATCH(1,
      ('GIR Log'!$A$2:$A$70=$A310)*
      ('GIR Log'!$B$2:$B$70=$B310)*
      ('GIR Log'!$C$2:$C$70=$C310),
    0),
    MATCH($G310,'GIR Log'!$E$1:$V$1,0)
  ),
"")</f>
        <v>↑</v>
      </c>
    </row>
    <row r="311" spans="1:17" x14ac:dyDescent="0.25">
      <c r="A311" s="20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Log'!$E$2:$V$70,
    MATCH(1,
      ('Golf Log'!$A$2:$A$70=$A311)*
      ('Golf Log'!$B$2:$B$70=$B311)*
      ('Golf Log'!$C$2:$C$70=$C311),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Log'!$E$2:$V$70,
    MATCH(1,
      ('Putt Log'!$A$2:$A$70=$A311)*
      ('Putt Log'!$B$2:$B$70=$B311)*
      ('Putt Log'!$C$2:$C$70=$C311),
    0),
    MATCH($G311,'Putt Log'!$E$1:$V$1,0)
  ),
"")</f>
        <v>2</v>
      </c>
      <c r="P311" t="str" cm="1">
        <f t="array" ref="P311">IF(K311=3,"",
  IFERROR(
    INDEX('Fairway Log'!$E$2:$V$70,
      MATCH(1,
        ('Fairway Log'!$A$2:$A$70=$A311)*
        ('Fairway Log'!$B$2:$B$70=$B311)*
        ('Fairway Log'!$C$2:$C382=$C311),
      0),
      MATCH($G311,'Fairway Log'!$E$1:$V$1,0)
    ),
  "")
)</f>
        <v/>
      </c>
      <c r="Q311" t="str" cm="1">
        <f t="array" ref="Q311">IFERROR(
  INDEX('GIR Log'!$E$2:$V$70,
    MATCH(1,
      ('GIR Log'!$A$2:$A$70=$A311)*
      ('GIR Log'!$B$2:$B$70=$B311)*
      ('GIR Log'!$C$2:$C$70=$C311),
    0),
    MATCH($G311,'GIR Log'!$E$1:$V$1,0)
  ),
"")</f>
        <v>←</v>
      </c>
    </row>
    <row r="312" spans="1:17" x14ac:dyDescent="0.25">
      <c r="A312" s="20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Log'!$E$2:$V$70,
    MATCH(1,
      ('Golf Log'!$A$2:$A$70=$A312)*
      ('Golf Log'!$B$2:$B$70=$B312)*
      ('Golf Log'!$C$2:$C$70=$C312),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Log'!$E$2:$V$70,
    MATCH(1,
      ('Putt Log'!$A$2:$A$70=$A312)*
      ('Putt Log'!$B$2:$B$70=$B312)*
      ('Putt Log'!$C$2:$C$70=$C312),
    0),
    MATCH($G312,'Putt Log'!$E$1:$V$1,0)
  ),
"")</f>
        <v>2</v>
      </c>
      <c r="P312" t="str" cm="1">
        <f t="array" ref="P312">IF(K312=3,"",
  IFERROR(
    INDEX('Fairway Log'!$E$2:$V$70,
      MATCH(1,
        ('Fairway Log'!$A$2:$A$70=$A312)*
        ('Fairway Log'!$B$2:$B$70=$B312)*
        ('Fairway Log'!$C$2:$C383=$C312),
      0),
      MATCH($G312,'Fairway Log'!$E$1:$V$1,0)
    ),
  "")
)</f>
        <v>←</v>
      </c>
      <c r="Q312" t="str" cm="1">
        <f t="array" ref="Q312">IFERROR(
  INDEX('GIR Log'!$E$2:$V$70,
    MATCH(1,
      ('GIR Log'!$A$2:$A$70=$A312)*
      ('GIR Log'!$B$2:$B$70=$B312)*
      ('GIR Log'!$C$2:$C$70=$C312),
    0),
    MATCH($G312,'GIR Log'!$E$1:$V$1,0)
  ),
"")</f>
        <v>↓</v>
      </c>
    </row>
    <row r="313" spans="1:17" x14ac:dyDescent="0.25">
      <c r="A313" s="20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Log'!$E$2:$V$70,
    MATCH(1,
      ('Golf Log'!$A$2:$A$70=$A313)*
      ('Golf Log'!$B$2:$B$70=$B313)*
      ('Golf Log'!$C$2:$C$70=$C313),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Log'!$E$2:$V$70,
    MATCH(1,
      ('Putt Log'!$A$2:$A$70=$A313)*
      ('Putt Log'!$B$2:$B$70=$B313)*
      ('Putt Log'!$C$2:$C$70=$C313),
    0),
    MATCH($G313,'Putt Log'!$E$1:$V$1,0)
  ),
"")</f>
        <v>2</v>
      </c>
      <c r="P313" t="str" cm="1">
        <f t="array" ref="P313">IF(K313=3,"",
  IFERROR(
    INDEX('Fairway Log'!$E$2:$V$70,
      MATCH(1,
        ('Fairway Log'!$A$2:$A$70=$A313)*
        ('Fairway Log'!$B$2:$B$70=$B313)*
        ('Fairway Log'!$C$2:$C384=$C313),
      0),
      MATCH($G313,'Fairway Log'!$E$1:$V$1,0)
    ),
  "")
)</f>
        <v>←</v>
      </c>
      <c r="Q313" t="str" cm="1">
        <f t="array" ref="Q313">IFERROR(
  INDEX('GIR Log'!$E$2:$V$70,
    MATCH(1,
      ('GIR Log'!$A$2:$A$70=$A313)*
      ('GIR Log'!$B$2:$B$70=$B313)*
      ('GIR Log'!$C$2:$C$70=$C313),
    0),
    MATCH($G313,'GIR Log'!$E$1:$V$1,0)
  ),
"")</f>
        <v>↓</v>
      </c>
    </row>
    <row r="314" spans="1:17" x14ac:dyDescent="0.25">
      <c r="A314" s="20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Log'!$E$2:$V$70,
    MATCH(1,
      ('Golf Log'!$A$2:$A$70=$A314)*
      ('Golf Log'!$B$2:$B$70=$B314)*
      ('Golf Log'!$C$2:$C$70=$C314),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Log'!$E$2:$V$70,
    MATCH(1,
      ('Putt Log'!$A$2:$A$70=$A314)*
      ('Putt Log'!$B$2:$B$70=$B314)*
      ('Putt Log'!$C$2:$C$70=$C314),
    0),
    MATCH($G314,'Putt Log'!$E$1:$V$1,0)
  ),
"")</f>
        <v>2</v>
      </c>
      <c r="P314" cm="1">
        <f t="array" ref="P314">IF(K314=3,"",
  IFERROR(
    INDEX('Fairway Log'!$E$2:$V$70,
      MATCH(1,
        ('Fairway Log'!$A$2:$A$70=$A314)*
        ('Fairway Log'!$B$2:$B$70=$B314)*
        ('Fairway Log'!$C$2:$C385=$C314),
      0),
      MATCH($G314,'Fairway Log'!$E$1:$V$1,0)
    ),
  "")
)</f>
        <v>1</v>
      </c>
      <c r="Q314" cm="1">
        <f t="array" ref="Q314">IFERROR(
  INDEX('GIR Log'!$E$2:$V$70,
    MATCH(1,
      ('GIR Log'!$A$2:$A$70=$A314)*
      ('GIR Log'!$B$2:$B$70=$B314)*
      ('GIR Log'!$C$2:$C$70=$C314),
    0),
    MATCH($G314,'GIR Log'!$E$1:$V$1,0)
  ),
"")</f>
        <v>0</v>
      </c>
    </row>
    <row r="315" spans="1:17" x14ac:dyDescent="0.25">
      <c r="A315" s="20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Log'!$E$2:$V$70,
    MATCH(1,
      ('Golf Log'!$A$2:$A$70=$A315)*
      ('Golf Log'!$B$2:$B$70=$B315)*
      ('Golf Log'!$C$2:$C$70=$C315),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Log'!$E$2:$V$70,
    MATCH(1,
      ('Putt Log'!$A$2:$A$70=$A315)*
      ('Putt Log'!$B$2:$B$70=$B315)*
      ('Putt Log'!$C$2:$C$70=$C315),
    0),
    MATCH($G315,'Putt Log'!$E$1:$V$1,0)
  ),
"")</f>
        <v>2</v>
      </c>
      <c r="P315" t="str" cm="1">
        <f t="array" ref="P315">IF(K315=3,"",
  IFERROR(
    INDEX('Fairway Log'!$E$2:$V$70,
      MATCH(1,
        ('Fairway Log'!$A$2:$A$70=$A315)*
        ('Fairway Log'!$B$2:$B$70=$B315)*
        ('Fairway Log'!$C$2:$C386=$C315),
      0),
      MATCH($G315,'Fairway Log'!$E$1:$V$1,0)
    ),
  "")
)</f>
        <v>←</v>
      </c>
      <c r="Q315" t="str" cm="1">
        <f t="array" ref="Q315">IFERROR(
  INDEX('GIR Log'!$E$2:$V$70,
    MATCH(1,
      ('GIR Log'!$A$2:$A$70=$A315)*
      ('GIR Log'!$B$2:$B$70=$B315)*
      ('GIR Log'!$C$2:$C$70=$C315),
    0),
    MATCH($G315,'GIR Log'!$E$1:$V$1,0)
  ),
"")</f>
        <v>↑</v>
      </c>
    </row>
    <row r="316" spans="1:17" x14ac:dyDescent="0.25">
      <c r="A316" s="20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Log'!$E$2:$V$70,
    MATCH(1,
      ('Golf Log'!$A$2:$A$70=$A316)*
      ('Golf Log'!$B$2:$B$70=$B316)*
      ('Golf Log'!$C$2:$C$70=$C316),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Log'!$E$2:$V$70,
    MATCH(1,
      ('Putt Log'!$A$2:$A$70=$A316)*
      ('Putt Log'!$B$2:$B$70=$B316)*
      ('Putt Log'!$C$2:$C$70=$C316),
    0),
    MATCH($G316,'Putt Log'!$E$1:$V$1,0)
  ),
"")</f>
        <v>2</v>
      </c>
      <c r="P316" cm="1">
        <f t="array" ref="P316">IF(K316=3,"",
  IFERROR(
    INDEX('Fairway Log'!$E$2:$V$70,
      MATCH(1,
        ('Fairway Log'!$A$2:$A$70=$A316)*
        ('Fairway Log'!$B$2:$B$70=$B316)*
        ('Fairway Log'!$C$2:$C387=$C316),
      0),
      MATCH($G316,'Fairway Log'!$E$1:$V$1,0)
    ),
  "")
)</f>
        <v>1</v>
      </c>
      <c r="Q316" t="str" cm="1">
        <f t="array" ref="Q316">IFERROR(
  INDEX('GIR Log'!$E$2:$V$70,
    MATCH(1,
      ('GIR Log'!$A$2:$A$70=$A316)*
      ('GIR Log'!$B$2:$B$70=$B316)*
      ('GIR Log'!$C$2:$C$70=$C316),
    0),
    MATCH($G316,'GIR Log'!$E$1:$V$1,0)
  ),
"")</f>
        <v>←</v>
      </c>
    </row>
    <row r="317" spans="1:17" x14ac:dyDescent="0.25">
      <c r="A317" s="20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Log'!$E$2:$V$70,
    MATCH(1,
      ('Golf Log'!$A$2:$A$70=$A317)*
      ('Golf Log'!$B$2:$B$70=$B317)*
      ('Golf Log'!$C$2:$C$70=$C317),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Log'!$E$2:$V$70,
    MATCH(1,
      ('Putt Log'!$A$2:$A$70=$A317)*
      ('Putt Log'!$B$2:$B$70=$B317)*
      ('Putt Log'!$C$2:$C$70=$C317),
    0),
    MATCH($G317,'Putt Log'!$E$1:$V$1,0)
  ),
"")</f>
        <v>2</v>
      </c>
      <c r="P317" cm="1">
        <f t="array" ref="P317">IF(K317=3,"",
  IFERROR(
    INDEX('Fairway Log'!$E$2:$V$70,
      MATCH(1,
        ('Fairway Log'!$A$2:$A$70=$A317)*
        ('Fairway Log'!$B$2:$B$70=$B317)*
        ('Fairway Log'!$C$2:$C388=$C317),
      0),
      MATCH($G317,'Fairway Log'!$E$1:$V$1,0)
    ),
  "")
)</f>
        <v>1</v>
      </c>
      <c r="Q317" t="str" cm="1">
        <f t="array" ref="Q317">IFERROR(
  INDEX('GIR Log'!$E$2:$V$70,
    MATCH(1,
      ('GIR Log'!$A$2:$A$70=$A317)*
      ('GIR Log'!$B$2:$B$70=$B317)*
      ('GIR Log'!$C$2:$C$70=$C317),
    0),
    MATCH($G317,'GIR Log'!$E$1:$V$1,0)
  ),
"")</f>
        <v>↑</v>
      </c>
    </row>
    <row r="318" spans="1:17" x14ac:dyDescent="0.25">
      <c r="A318" s="20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Log'!$E$2:$V$70,
    MATCH(1,
      ('Golf Log'!$A$2:$A$70=$A318)*
      ('Golf Log'!$B$2:$B$70=$B318)*
      ('Golf Log'!$C$2:$C$70=$C318),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Log'!$E$2:$V$70,
    MATCH(1,
      ('Putt Log'!$A$2:$A$70=$A318)*
      ('Putt Log'!$B$2:$B$70=$B318)*
      ('Putt Log'!$C$2:$C$70=$C318),
    0),
    MATCH($G318,'Putt Log'!$E$1:$V$1,0)
  ),
"")</f>
        <v>1</v>
      </c>
      <c r="P318" t="str" cm="1">
        <f t="array" ref="P318">IF(K318=3,"",
  IFERROR(
    INDEX('Fairway Log'!$E$2:$V$70,
      MATCH(1,
        ('Fairway Log'!$A$2:$A$70=$A318)*
        ('Fairway Log'!$B$2:$B$70=$B318)*
        ('Fairway Log'!$C$2:$C389=$C318),
      0),
      MATCH($G318,'Fairway Log'!$E$1:$V$1,0)
    ),
  "")
)</f>
        <v/>
      </c>
      <c r="Q318" t="str" cm="1">
        <f t="array" ref="Q318">IFERROR(
  INDEX('GIR Log'!$E$2:$V$70,
    MATCH(1,
      ('GIR Log'!$A$2:$A$70=$A318)*
      ('GIR Log'!$B$2:$B$70=$B318)*
      ('GIR Log'!$C$2:$C$70=$C318),
    0),
    MATCH($G318,'GIR Log'!$E$1:$V$1,0)
  ),
"")</f>
        <v>↓</v>
      </c>
    </row>
    <row r="319" spans="1:17" x14ac:dyDescent="0.25">
      <c r="A319" s="20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Log'!$E$2:$V$70,
    MATCH(1,
      ('Golf Log'!$A$2:$A$70=$A319)*
      ('Golf Log'!$B$2:$B$70=$B319)*
      ('Golf Log'!$C$2:$C$70=$C319),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Log'!$E$2:$V$70,
    MATCH(1,
      ('Putt Log'!$A$2:$A$70=$A319)*
      ('Putt Log'!$B$2:$B$70=$B319)*
      ('Putt Log'!$C$2:$C$70=$C319),
    0),
    MATCH($G319,'Putt Log'!$E$1:$V$1,0)
  ),
"")</f>
        <v>2</v>
      </c>
      <c r="P319" t="str" cm="1">
        <f t="array" ref="P319">IF(K319=3,"",
  IFERROR(
    INDEX('Fairway Log'!$E$2:$V$70,
      MATCH(1,
        ('Fairway Log'!$A$2:$A$70=$A319)*
        ('Fairway Log'!$B$2:$B$70=$B319)*
        ('Fairway Log'!$C$2:$C390=$C319),
      0),
      MATCH($G319,'Fairway Log'!$E$1:$V$1,0)
    ),
  "")
)</f>
        <v>→</v>
      </c>
      <c r="Q319" cm="1">
        <f t="array" ref="Q319">IFERROR(
  INDEX('GIR Log'!$E$2:$V$70,
    MATCH(1,
      ('GIR Log'!$A$2:$A$70=$A319)*
      ('GIR Log'!$B$2:$B$70=$B319)*
      ('GIR Log'!$C$2:$C$70=$C319),
    0),
    MATCH($G319,'GIR Log'!$E$1:$V$1,0)
  ),
"")</f>
        <v>1</v>
      </c>
    </row>
    <row r="320" spans="1:17" x14ac:dyDescent="0.25">
      <c r="A320" s="20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Log'!$E$2:$V$70,
    MATCH(1,
      ('Golf Log'!$A$2:$A$70=$A320)*
      ('Golf Log'!$B$2:$B$70=$B320)*
      ('Golf Log'!$C$2:$C$70=$C320),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Log'!$E$2:$V$70,
    MATCH(1,
      ('Putt Log'!$A$2:$A$70=$A320)*
      ('Putt Log'!$B$2:$B$70=$B320)*
      ('Putt Log'!$C$2:$C$70=$C320),
    0),
    MATCH($G320,'Putt Log'!$E$1:$V$1,0)
  ),
"")</f>
        <v>2</v>
      </c>
      <c r="P320" t="str" cm="1">
        <f t="array" ref="P320">IF(K320=3,"",
  IFERROR(
    INDEX('Fairway Log'!$E$2:$V$70,
      MATCH(1,
        ('Fairway Log'!$A$2:$A$70=$A320)*
        ('Fairway Log'!$B$2:$B$70=$B320)*
        ('Fairway Log'!$C$2:$C391=$C320),
      0),
      MATCH($G320,'Fairway Log'!$E$1:$V$1,0)
    ),
  "")
)</f>
        <v>↓</v>
      </c>
      <c r="Q320" cm="1">
        <f t="array" ref="Q320">IFERROR(
  INDEX('GIR Log'!$E$2:$V$70,
    MATCH(1,
      ('GIR Log'!$A$2:$A$70=$A320)*
      ('GIR Log'!$B$2:$B$70=$B320)*
      ('GIR Log'!$C$2:$C$70=$C320),
    0),
    MATCH($G320,'GIR Log'!$E$1:$V$1,0)
  ),
"")</f>
        <v>1</v>
      </c>
    </row>
    <row r="321" spans="1:17" x14ac:dyDescent="0.25">
      <c r="A321" s="20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Log'!$E$2:$V$70,
    MATCH(1,
      ('Golf Log'!$A$2:$A$70=$A321)*
      ('Golf Log'!$B$2:$B$70=$B321)*
      ('Golf Log'!$C$2:$C$70=$C321),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Log'!$E$2:$V$70,
    MATCH(1,
      ('Putt Log'!$A$2:$A$70=$A321)*
      ('Putt Log'!$B$2:$B$70=$B321)*
      ('Putt Log'!$C$2:$C$70=$C321),
    0),
    MATCH($G321,'Putt Log'!$E$1:$V$1,0)
  ),
"")</f>
        <v>1</v>
      </c>
      <c r="P321" t="str" cm="1">
        <f t="array" ref="P321">IF(K321=3,"",
  IFERROR(
    INDEX('Fairway Log'!$E$2:$V$70,
      MATCH(1,
        ('Fairway Log'!$A$2:$A$70=$A321)*
        ('Fairway Log'!$B$2:$B$70=$B321)*
        ('Fairway Log'!$C$2:$C392=$C321),
      0),
      MATCH($G321,'Fairway Log'!$E$1:$V$1,0)
    ),
  "")
)</f>
        <v/>
      </c>
      <c r="Q321" t="str" cm="1">
        <f t="array" ref="Q321">IFERROR(
  INDEX('GIR Log'!$E$2:$V$70,
    MATCH(1,
      ('GIR Log'!$A$2:$A$70=$A321)*
      ('GIR Log'!$B$2:$B$70=$B321)*
      ('GIR Log'!$C$2:$C$70=$C321),
    0),
    MATCH($G321,'GIR Log'!$E$1:$V$1,0)
  ),
"")</f>
        <v>↓</v>
      </c>
    </row>
    <row r="322" spans="1:17" x14ac:dyDescent="0.25">
      <c r="A322" s="20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Log'!$E$2:$V$70,
    MATCH(1,
      ('Golf Log'!$A$2:$A$70=$A322)*
      ('Golf Log'!$B$2:$B$70=$B322)*
      ('Golf Log'!$C$2:$C$70=$C322),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Log'!$E$2:$V$70,
    MATCH(1,
      ('Putt Log'!$A$2:$A$70=$A322)*
      ('Putt Log'!$B$2:$B$70=$B322)*
      ('Putt Log'!$C$2:$C$70=$C322),
    0),
    MATCH($G322,'Putt Log'!$E$1:$V$1,0)
  ),
"")</f>
        <v>2</v>
      </c>
      <c r="P322" t="str" cm="1">
        <f t="array" ref="P322">IF(K322=3,"",
  IFERROR(
    INDEX('Fairway Log'!$E$2:$V$70,
      MATCH(1,
        ('Fairway Log'!$A$2:$A$70=$A322)*
        ('Fairway Log'!$B$2:$B$70=$B322)*
        ('Fairway Log'!$C$2:$C393=$C322),
      0),
      MATCH($G322,'Fairway Log'!$E$1:$V$1,0)
    ),
  "")
)</f>
        <v>→</v>
      </c>
      <c r="Q322" t="str" cm="1">
        <f t="array" ref="Q322">IFERROR(
  INDEX('GIR Log'!$E$2:$V$70,
    MATCH(1,
      ('GIR Log'!$A$2:$A$70=$A322)*
      ('GIR Log'!$B$2:$B$70=$B322)*
      ('GIR Log'!$C$2:$C$70=$C322),
    0),
    MATCH($G322,'GIR Log'!$E$1:$V$1,0)
  ),
"")</f>
        <v>↓</v>
      </c>
    </row>
    <row r="323" spans="1:17" x14ac:dyDescent="0.25">
      <c r="A323" s="20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Log'!$E$2:$V$70,
    MATCH(1,
      ('Golf Log'!$A$2:$A$70=$A323)*
      ('Golf Log'!$B$2:$B$70=$B323)*
      ('Golf Log'!$C$2:$C$70=$C323),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Log'!$E$2:$V$70,
    MATCH(1,
      ('Putt Log'!$A$2:$A$70=$A323)*
      ('Putt Log'!$B$2:$B$70=$B323)*
      ('Putt Log'!$C$2:$C$70=$C323),
    0),
    MATCH($G323,'Putt Log'!$E$1:$V$1,0)
  ),
"")</f>
        <v>2</v>
      </c>
      <c r="P323" t="str" cm="1">
        <f t="array" ref="P323">IF(K323=3,"",
  IFERROR(
    INDEX('Fairway Log'!$E$2:$V$70,
      MATCH(1,
        ('Fairway Log'!$A$2:$A$70=$A323)*
        ('Fairway Log'!$B$2:$B$70=$B323)*
        ('Fairway Log'!$C$2:$C394=$C323),
      0),
      MATCH($G323,'Fairway Log'!$E$1:$V$1,0)
    ),
  "")
)</f>
        <v/>
      </c>
      <c r="Q323" t="str" cm="1">
        <f t="array" ref="Q323">IFERROR(
  INDEX('GIR Log'!$E$2:$V$70,
    MATCH(1,
      ('GIR Log'!$A$2:$A$70=$A323)*
      ('GIR Log'!$B$2:$B$70=$B323)*
      ('GIR Log'!$C$2:$C$70=$C323),
    0),
    MATCH($G323,'GIR Log'!$E$1:$V$1,0)
  ),
"")</f>
        <v>↑</v>
      </c>
    </row>
    <row r="324" spans="1:17" x14ac:dyDescent="0.25">
      <c r="A324" s="20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Log'!$E$2:$V$70,
    MATCH(1,
      ('Golf Log'!$A$2:$A$70=$A324)*
      ('Golf Log'!$B$2:$B$70=$B324)*
      ('Golf Log'!$C$2:$C$70=$C324),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Log'!$E$2:$V$70,
    MATCH(1,
      ('Putt Log'!$A$2:$A$70=$A324)*
      ('Putt Log'!$B$2:$B$70=$B324)*
      ('Putt Log'!$C$2:$C$70=$C324),
    0),
    MATCH($G324,'Putt Log'!$E$1:$V$1,0)
  ),
"")</f>
        <v>2</v>
      </c>
      <c r="P324" cm="1">
        <f t="array" ref="P324">IF(K324=3,"",
  IFERROR(
    INDEX('Fairway Log'!$E$2:$V$70,
      MATCH(1,
        ('Fairway Log'!$A$2:$A$70=$A324)*
        ('Fairway Log'!$B$2:$B$70=$B324)*
        ('Fairway Log'!$C$2:$C395=$C324),
      0),
      MATCH($G324,'Fairway Log'!$E$1:$V$1,0)
    ),
  "")
)</f>
        <v>1</v>
      </c>
      <c r="Q324" t="str" cm="1">
        <f t="array" ref="Q324">IFERROR(
  INDEX('GIR Log'!$E$2:$V$70,
    MATCH(1,
      ('GIR Log'!$A$2:$A$70=$A324)*
      ('GIR Log'!$B$2:$B$70=$B324)*
      ('GIR Log'!$C$2:$C$70=$C324),
    0),
    MATCH($G324,'GIR Log'!$E$1:$V$1,0)
  ),
"")</f>
        <v>↑</v>
      </c>
    </row>
    <row r="325" spans="1:17" x14ac:dyDescent="0.25">
      <c r="A325" s="20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Log'!$E$2:$V$70,
    MATCH(1,
      ('Golf Log'!$A$2:$A$70=$A325)*
      ('Golf Log'!$B$2:$B$70=$B325)*
      ('Golf Log'!$C$2:$C$70=$C325),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Log'!$E$2:$V$70,
    MATCH(1,
      ('Putt Log'!$A$2:$A$70=$A325)*
      ('Putt Log'!$B$2:$B$70=$B325)*
      ('Putt Log'!$C$2:$C$70=$C325),
    0),
    MATCH($G325,'Putt Log'!$E$1:$V$1,0)
  ),
"")</f>
        <v>3</v>
      </c>
      <c r="P325" t="str" cm="1">
        <f t="array" ref="P325">IF(K325=3,"",
  IFERROR(
    INDEX('Fairway Log'!$E$2:$V$70,
      MATCH(1,
        ('Fairway Log'!$A$2:$A$70=$A325)*
        ('Fairway Log'!$B$2:$B$70=$B325)*
        ('Fairway Log'!$C$2:$C396=$C325),
      0),
      MATCH($G325,'Fairway Log'!$E$1:$V$1,0)
    ),
  "")
)</f>
        <v>→</v>
      </c>
      <c r="Q325" t="str" cm="1">
        <f t="array" ref="Q325">IFERROR(
  INDEX('GIR Log'!$E$2:$V$70,
    MATCH(1,
      ('GIR Log'!$A$2:$A$70=$A325)*
      ('GIR Log'!$B$2:$B$70=$B325)*
      ('GIR Log'!$C$2:$C$70=$C325),
    0),
    MATCH($G325,'GIR Log'!$E$1:$V$1,0)
  ),
"")</f>
        <v>↓</v>
      </c>
    </row>
    <row r="326" spans="1:17" x14ac:dyDescent="0.25">
      <c r="A326" s="20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Log'!$E$2:$V$70,
    MATCH(1,
      ('Golf Log'!$A$2:$A$70=$A326)*
      ('Golf Log'!$B$2:$B$70=$B326)*
      ('Golf Log'!$C$2:$C$70=$C326),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Log'!$E$2:$V$70,
    MATCH(1,
      ('Putt Log'!$A$2:$A$70=$A326)*
      ('Putt Log'!$B$2:$B$70=$B326)*
      ('Putt Log'!$C$2:$C$70=$C326),
    0),
    MATCH($G326,'Putt Log'!$E$1:$V$1,0)
  ),
"")</f>
        <v>2</v>
      </c>
      <c r="P326" cm="1">
        <f t="array" ref="P326">IF(K326=3,"",
  IFERROR(
    INDEX('Fairway Log'!$E$2:$V$70,
      MATCH(1,
        ('Fairway Log'!$A$2:$A$70=$A326)*
        ('Fairway Log'!$B$2:$B$70=$B326)*
        ('Fairway Log'!$C$2:$C397=$C326),
      0),
      MATCH($G326,'Fairway Log'!$E$1:$V$1,0)
    ),
  "")
)</f>
        <v>1</v>
      </c>
      <c r="Q326" t="str" cm="1">
        <f t="array" ref="Q326">IFERROR(
  INDEX('GIR Log'!$E$2:$V$70,
    MATCH(1,
      ('GIR Log'!$A$2:$A$70=$A326)*
      ('GIR Log'!$B$2:$B$70=$B326)*
      ('GIR Log'!$C$2:$C$70=$C326),
    0),
    MATCH($G326,'GIR Log'!$E$1:$V$1,0)
  ),
"")</f>
        <v>↓</v>
      </c>
    </row>
    <row r="327" spans="1:17" x14ac:dyDescent="0.25">
      <c r="A327" s="20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Log'!$E$2:$V$70,
    MATCH(1,
      ('Golf Log'!$A$2:$A$70=$A327)*
      ('Golf Log'!$B$2:$B$70=$B327)*
      ('Golf Log'!$C$2:$C$70=$C327),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Log'!$E$2:$V$70,
    MATCH(1,
      ('Putt Log'!$A$2:$A$70=$A327)*
      ('Putt Log'!$B$2:$B$70=$B327)*
      ('Putt Log'!$C$2:$C$70=$C327),
    0),
    MATCH($G327,'Putt Log'!$E$1:$V$1,0)
  ),
"")</f>
        <v>2</v>
      </c>
      <c r="P327" t="str" cm="1">
        <f t="array" ref="P327">IF(K327=3,"",
  IFERROR(
    INDEX('Fairway Log'!$E$2:$V$70,
      MATCH(1,
        ('Fairway Log'!$A$2:$A$70=$A327)*
        ('Fairway Log'!$B$2:$B$70=$B327)*
        ('Fairway Log'!$C$2:$C398=$C327),
      0),
      MATCH($G327,'Fairway Log'!$E$1:$V$1,0)
    ),
  "")
)</f>
        <v>→</v>
      </c>
      <c r="Q327" t="str" cm="1">
        <f t="array" ref="Q327">IFERROR(
  INDEX('GIR Log'!$E$2:$V$70,
    MATCH(1,
      ('GIR Log'!$A$2:$A$70=$A327)*
      ('GIR Log'!$B$2:$B$70=$B327)*
      ('GIR Log'!$C$2:$C$70=$C327),
    0),
    MATCH($G327,'GIR Log'!$E$1:$V$1,0)
  ),
"")</f>
        <v>↑</v>
      </c>
    </row>
    <row r="328" spans="1:17" x14ac:dyDescent="0.25">
      <c r="A328" s="20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Log'!$E$2:$V$70,
    MATCH(1,
      ('Golf Log'!$A$2:$A$70=$A328)*
      ('Golf Log'!$B$2:$B$70=$B328)*
      ('Golf Log'!$C$2:$C$70=$C328),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Log'!$E$2:$V$70,
    MATCH(1,
      ('Putt Log'!$A$2:$A$70=$A328)*
      ('Putt Log'!$B$2:$B$70=$B328)*
      ('Putt Log'!$C$2:$C$70=$C328),
    0),
    MATCH($G328,'Putt Log'!$E$1:$V$1,0)
  ),
"")</f>
        <v>2</v>
      </c>
      <c r="P328" t="str" cm="1">
        <f t="array" ref="P328">IF(K328=3,"",
  IFERROR(
    INDEX('Fairway Log'!$E$2:$V$70,
      MATCH(1,
        ('Fairway Log'!$A$2:$A$70=$A328)*
        ('Fairway Log'!$B$2:$B$70=$B328)*
        ('Fairway Log'!$C$2:$C399=$C328),
      0),
      MATCH($G328,'Fairway Log'!$E$1:$V$1,0)
    ),
  "")
)</f>
        <v/>
      </c>
      <c r="Q328" t="str" cm="1">
        <f t="array" ref="Q328">IFERROR(
  INDEX('GIR Log'!$E$2:$V$70,
    MATCH(1,
      ('GIR Log'!$A$2:$A$70=$A328)*
      ('GIR Log'!$B$2:$B$70=$B328)*
      ('GIR Log'!$C$2:$C$70=$C328),
    0),
    MATCH($G328,'GIR Log'!$E$1:$V$1,0)
  ),
"")</f>
        <v>→</v>
      </c>
    </row>
    <row r="329" spans="1:17" x14ac:dyDescent="0.25">
      <c r="A329" s="20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Log'!$E$2:$V$70,
    MATCH(1,
      ('Golf Log'!$A$2:$A$70=$A329)*
      ('Golf Log'!$B$2:$B$70=$B329)*
      ('Golf Log'!$C$2:$C$70=$C329),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Log'!$E$2:$V$70,
    MATCH(1,
      ('Putt Log'!$A$2:$A$70=$A329)*
      ('Putt Log'!$B$2:$B$70=$B329)*
      ('Putt Log'!$C$2:$C$70=$C329),
    0),
    MATCH($G329,'Putt Log'!$E$1:$V$1,0)
  ),
"")</f>
        <v>3</v>
      </c>
      <c r="P329" t="str" cm="1">
        <f t="array" ref="P329">IF(K329=3,"",
  IFERROR(
    INDEX('Fairway Log'!$E$2:$V$70,
      MATCH(1,
        ('Fairway Log'!$A$2:$A$70=$A329)*
        ('Fairway Log'!$B$2:$B$70=$B329)*
        ('Fairway Log'!$C$2:$C400=$C329),
      0),
      MATCH($G329,'Fairway Log'!$E$1:$V$1,0)
    ),
  "")
)</f>
        <v>→</v>
      </c>
      <c r="Q329" cm="1">
        <f t="array" ref="Q329">IFERROR(
  INDEX('GIR Log'!$E$2:$V$70,
    MATCH(1,
      ('GIR Log'!$A$2:$A$70=$A329)*
      ('GIR Log'!$B$2:$B$70=$B329)*
      ('GIR Log'!$C$2:$C$70=$C329),
    0),
    MATCH($G329,'GIR Log'!$E$1:$V$1,0)
  ),
"")</f>
        <v>1</v>
      </c>
    </row>
    <row r="330" spans="1:17" x14ac:dyDescent="0.25">
      <c r="A330" s="20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Log'!$E$2:$V$70,
    MATCH(1,
      ('Golf Log'!$A$2:$A$70=$A330)*
      ('Golf Log'!$B$2:$B$70=$B330)*
      ('Golf Log'!$C$2:$C$70=$C330),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Log'!$E$2:$V$70,
    MATCH(1,
      ('Putt Log'!$A$2:$A$70=$A330)*
      ('Putt Log'!$B$2:$B$70=$B330)*
      ('Putt Log'!$C$2:$C$70=$C330),
    0),
    MATCH($G330,'Putt Log'!$E$1:$V$1,0)
  ),
"")</f>
        <v>1</v>
      </c>
      <c r="P330" t="str" cm="1">
        <f t="array" ref="P330">IF(K330=3,"",
  IFERROR(
    INDEX('Fairway Log'!$E$2:$V$70,
      MATCH(1,
        ('Fairway Log'!$A$2:$A$70=$A330)*
        ('Fairway Log'!$B$2:$B$70=$B330)*
        ('Fairway Log'!$C$2:$C401=$C330),
      0),
      MATCH($G330,'Fairway Log'!$E$1:$V$1,0)
    ),
  "")
)</f>
        <v>↑</v>
      </c>
      <c r="Q330" t="str" cm="1">
        <f t="array" ref="Q330">IFERROR(
  INDEX('GIR Log'!$E$2:$V$70,
    MATCH(1,
      ('GIR Log'!$A$2:$A$70=$A330)*
      ('GIR Log'!$B$2:$B$70=$B330)*
      ('GIR Log'!$C$2:$C$70=$C330),
    0),
    MATCH($G330,'GIR Log'!$E$1:$V$1,0)
  ),
"")</f>
        <v>↓</v>
      </c>
    </row>
    <row r="331" spans="1:17" x14ac:dyDescent="0.25">
      <c r="A331" s="20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Log'!$E$2:$V$70,
    MATCH(1,
      ('Golf Log'!$A$2:$A$70=$A331)*
      ('Golf Log'!$B$2:$B$70=$B331)*
      ('Golf Log'!$C$2:$C$70=$C331),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Log'!$E$2:$V$70,
    MATCH(1,
      ('Putt Log'!$A$2:$A$70=$A331)*
      ('Putt Log'!$B$2:$B$70=$B331)*
      ('Putt Log'!$C$2:$C$70=$C331),
    0),
    MATCH($G331,'Putt Log'!$E$1:$V$1,0)
  ),
"")</f>
        <v>2</v>
      </c>
      <c r="P331" t="str" cm="1">
        <f t="array" ref="P331">IF(K331=3,"",
  IFERROR(
    INDEX('Fairway Log'!$E$2:$V$70,
      MATCH(1,
        ('Fairway Log'!$A$2:$A$70=$A331)*
        ('Fairway Log'!$B$2:$B$70=$B331)*
        ('Fairway Log'!$C$2:$C402=$C331),
      0),
      MATCH($G331,'Fairway Log'!$E$1:$V$1,0)
    ),
  "")
)</f>
        <v/>
      </c>
      <c r="Q331" t="str" cm="1">
        <f t="array" ref="Q331">IFERROR(
  INDEX('GIR Log'!$E$2:$V$70,
    MATCH(1,
      ('GIR Log'!$A$2:$A$70=$A331)*
      ('GIR Log'!$B$2:$B$70=$B331)*
      ('GIR Log'!$C$2:$C$70=$C331),
    0),
    MATCH($G331,'GIR Log'!$E$1:$V$1,0)
  ),
"")</f>
        <v>↓</v>
      </c>
    </row>
    <row r="332" spans="1:17" x14ac:dyDescent="0.25">
      <c r="A332" s="20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Log'!$E$2:$V$70,
    MATCH(1,
      ('Golf Log'!$A$2:$A$70=$A332)*
      ('Golf Log'!$B$2:$B$70=$B332)*
      ('Golf Log'!$C$2:$C$70=$C332),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Log'!$E$2:$V$70,
    MATCH(1,
      ('Putt Log'!$A$2:$A$70=$A332)*
      ('Putt Log'!$B$2:$B$70=$B332)*
      ('Putt Log'!$C$2:$C$70=$C332),
    0),
    MATCH($G332,'Putt Log'!$E$1:$V$1,0)
  ),
"")</f>
        <v>2</v>
      </c>
      <c r="P332" t="str" cm="1">
        <f t="array" ref="P332">IF(K332=3,"",
  IFERROR(
    INDEX('Fairway Log'!$E$2:$V$70,
      MATCH(1,
        ('Fairway Log'!$A$2:$A$70=$A332)*
        ('Fairway Log'!$B$2:$B$70=$B332)*
        ('Fairway Log'!$C$2:$C403=$C332),
      0),
      MATCH($G332,'Fairway Log'!$E$1:$V$1,0)
    ),
  "")
)</f>
        <v>→</v>
      </c>
      <c r="Q332" cm="1">
        <f t="array" ref="Q332">IFERROR(
  INDEX('GIR Log'!$E$2:$V$70,
    MATCH(1,
      ('GIR Log'!$A$2:$A$70=$A332)*
      ('GIR Log'!$B$2:$B$70=$B332)*
      ('GIR Log'!$C$2:$C$70=$C332),
    0),
    MATCH($G332,'GIR Log'!$E$1:$V$1,0)
  ),
"")</f>
        <v>1</v>
      </c>
    </row>
    <row r="333" spans="1:17" x14ac:dyDescent="0.25">
      <c r="A333" s="20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Log'!$E$2:$V$70,
    MATCH(1,
      ('Golf Log'!$A$2:$A$70=$A333)*
      ('Golf Log'!$B$2:$B$70=$B333)*
      ('Golf Log'!$C$2:$C$70=$C333),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Log'!$E$2:$V$70,
    MATCH(1,
      ('Putt Log'!$A$2:$A$70=$A333)*
      ('Putt Log'!$B$2:$B$70=$B333)*
      ('Putt Log'!$C$2:$C$70=$C333),
    0),
    MATCH($G333,'Putt Log'!$E$1:$V$1,0)
  ),
"")</f>
        <v>2</v>
      </c>
      <c r="P333" t="str" cm="1">
        <f t="array" ref="P333">IF(K333=3,"",
  IFERROR(
    INDEX('Fairway Log'!$E$2:$V$70,
      MATCH(1,
        ('Fairway Log'!$A$2:$A$70=$A333)*
        ('Fairway Log'!$B$2:$B$70=$B333)*
        ('Fairway Log'!$C$2:$C404=$C333),
      0),
      MATCH($G333,'Fairway Log'!$E$1:$V$1,0)
    ),
  "")
)</f>
        <v>→</v>
      </c>
      <c r="Q333" t="str" cm="1">
        <f t="array" ref="Q333">IFERROR(
  INDEX('GIR Log'!$E$2:$V$70,
    MATCH(1,
      ('GIR Log'!$A$2:$A$70=$A333)*
      ('GIR Log'!$B$2:$B$70=$B333)*
      ('GIR Log'!$C$2:$C$70=$C333),
    0),
    MATCH($G333,'GIR Log'!$E$1:$V$1,0)
  ),
"")</f>
        <v>↓</v>
      </c>
    </row>
    <row r="334" spans="1:17" x14ac:dyDescent="0.25">
      <c r="A334" s="20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Log'!$E$2:$V$70,
    MATCH(1,
      ('Golf Log'!$A$2:$A$70=$A334)*
      ('Golf Log'!$B$2:$B$70=$B334)*
      ('Golf Log'!$C$2:$C$70=$C334),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Log'!$E$2:$V$70,
    MATCH(1,
      ('Putt Log'!$A$2:$A$70=$A334)*
      ('Putt Log'!$B$2:$B$70=$B334)*
      ('Putt Log'!$C$2:$C$70=$C334),
    0),
    MATCH($G334,'Putt Log'!$E$1:$V$1,0)
  ),
"")</f>
        <v>2</v>
      </c>
      <c r="P334" cm="1">
        <f t="array" ref="P334">IF(K334=3,"",
  IFERROR(
    INDEX('Fairway Log'!$E$2:$V$70,
      MATCH(1,
        ('Fairway Log'!$A$2:$A$70=$A334)*
        ('Fairway Log'!$B$2:$B$70=$B334)*
        ('Fairway Log'!$C$2:$C405=$C334),
      0),
      MATCH($G334,'Fairway Log'!$E$1:$V$1,0)
    ),
  "")
)</f>
        <v>1</v>
      </c>
      <c r="Q334" t="str" cm="1">
        <f t="array" ref="Q334">IFERROR(
  INDEX('GIR Log'!$E$2:$V$70,
    MATCH(1,
      ('GIR Log'!$A$2:$A$70=$A334)*
      ('GIR Log'!$B$2:$B$70=$B334)*
      ('GIR Log'!$C$2:$C$70=$C334),
    0),
    MATCH($G334,'GIR Log'!$E$1:$V$1,0)
  ),
"")</f>
        <v>↓</v>
      </c>
    </row>
    <row r="335" spans="1:17" x14ac:dyDescent="0.25">
      <c r="A335" s="20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Log'!$E$2:$V$70,
    MATCH(1,
      ('Golf Log'!$A$2:$A$70=$A335)*
      ('Golf Log'!$B$2:$B$70=$B335)*
      ('Golf Log'!$C$2:$C$70=$C335),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Log'!$E$2:$V$70,
    MATCH(1,
      ('Putt Log'!$A$2:$A$70=$A335)*
      ('Putt Log'!$B$2:$B$70=$B335)*
      ('Putt Log'!$C$2:$C$70=$C335),
    0),
    MATCH($G335,'Putt Log'!$E$1:$V$1,0)
  ),
"")</f>
        <v>2</v>
      </c>
      <c r="P335" t="str" cm="1">
        <f t="array" ref="P335">IF(K335=3,"",
  IFERROR(
    INDEX('Fairway Log'!$E$2:$V$70,
      MATCH(1,
        ('Fairway Log'!$A$2:$A$70=$A335)*
        ('Fairway Log'!$B$2:$B$70=$B335)*
        ('Fairway Log'!$C$2:$C406=$C335),
      0),
      MATCH($G335,'Fairway Log'!$E$1:$V$1,0)
    ),
  "")
)</f>
        <v>→</v>
      </c>
      <c r="Q335" t="str" cm="1">
        <f t="array" ref="Q335">IFERROR(
  INDEX('GIR Log'!$E$2:$V$70,
    MATCH(1,
      ('GIR Log'!$A$2:$A$70=$A335)*
      ('GIR Log'!$B$2:$B$70=$B335)*
      ('GIR Log'!$C$2:$C$70=$C335),
    0),
    MATCH($G335,'GIR Log'!$E$1:$V$1,0)
  ),
"")</f>
        <v>↓</v>
      </c>
    </row>
    <row r="336" spans="1:17" x14ac:dyDescent="0.25">
      <c r="A336" s="20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Log'!$E$2:$V$70,
    MATCH(1,
      ('Golf Log'!$A$2:$A$70=$A336)*
      ('Golf Log'!$B$2:$B$70=$B336)*
      ('Golf Log'!$C$2:$C$70=$C336),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Log'!$E$2:$V$70,
    MATCH(1,
      ('Putt Log'!$A$2:$A$70=$A336)*
      ('Putt Log'!$B$2:$B$70=$B336)*
      ('Putt Log'!$C$2:$C$70=$C336),
    0),
    MATCH($G336,'Putt Log'!$E$1:$V$1,0)
  ),
"")</f>
        <v>2</v>
      </c>
      <c r="P336" t="str" cm="1">
        <f t="array" ref="P336">IF(K336=3,"",
  IFERROR(
    INDEX('Fairway Log'!$E$2:$V$70,
      MATCH(1,
        ('Fairway Log'!$A$2:$A$70=$A336)*
        ('Fairway Log'!$B$2:$B$70=$B336)*
        ('Fairway Log'!$C$2:$C407=$C336),
      0),
      MATCH($G336,'Fairway Log'!$E$1:$V$1,0)
    ),
  "")
)</f>
        <v/>
      </c>
      <c r="Q336" t="str" cm="1">
        <f t="array" ref="Q336">IFERROR(
  INDEX('GIR Log'!$E$2:$V$70,
    MATCH(1,
      ('GIR Log'!$A$2:$A$70=$A336)*
      ('GIR Log'!$B$2:$B$70=$B336)*
      ('GIR Log'!$C$2:$C$70=$C336),
    0),
    MATCH($G336,'GIR Log'!$E$1:$V$1,0)
  ),
"")</f>
        <v>↓</v>
      </c>
    </row>
    <row r="337" spans="1:17" x14ac:dyDescent="0.25">
      <c r="A337" s="20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Log'!$E$2:$V$70,
    MATCH(1,
      ('Golf Log'!$A$2:$A$70=$A337)*
      ('Golf Log'!$B$2:$B$70=$B337)*
      ('Golf Log'!$C$2:$C$70=$C337),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Log'!$E$2:$V$70,
    MATCH(1,
      ('Putt Log'!$A$2:$A$70=$A337)*
      ('Putt Log'!$B$2:$B$70=$B337)*
      ('Putt Log'!$C$2:$C$70=$C337),
    0),
    MATCH($G337,'Putt Log'!$E$1:$V$1,0)
  ),
"")</f>
        <v>3</v>
      </c>
      <c r="P337" t="str" cm="1">
        <f t="array" ref="P337">IF(K337=3,"",
  IFERROR(
    INDEX('Fairway Log'!$E$2:$V$70,
      MATCH(1,
        ('Fairway Log'!$A$2:$A$70=$A337)*
        ('Fairway Log'!$B$2:$B$70=$B337)*
        ('Fairway Log'!$C$2:$C408=$C337),
      0),
      MATCH($G337,'Fairway Log'!$E$1:$V$1,0)
    ),
  "")
)</f>
        <v>↑</v>
      </c>
      <c r="Q337" cm="1">
        <f t="array" ref="Q337">IFERROR(
  INDEX('GIR Log'!$E$2:$V$70,
    MATCH(1,
      ('GIR Log'!$A$2:$A$70=$A337)*
      ('GIR Log'!$B$2:$B$70=$B337)*
      ('GIR Log'!$C$2:$C$70=$C337),
    0),
    MATCH($G337,'GIR Log'!$E$1:$V$1,0)
  ),
"")</f>
        <v>1</v>
      </c>
    </row>
    <row r="338" spans="1:17" x14ac:dyDescent="0.25">
      <c r="A338" s="20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Log'!$E$2:$V$70,
    MATCH(1,
      ('Golf Log'!$A$2:$A$70=$A338)*
      ('Golf Log'!$B$2:$B$70=$B338)*
      ('Golf Log'!$C$2:$C$70=$C338),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Log'!$E$2:$V$70,
    MATCH(1,
      ('Putt Log'!$A$2:$A$70=$A338)*
      ('Putt Log'!$B$2:$B$70=$B338)*
      ('Putt Log'!$C$2:$C$70=$C338),
    0),
    MATCH($G338,'Putt Log'!$E$1:$V$1,0)
  ),
"")</f>
        <v>2</v>
      </c>
      <c r="P338" t="str" cm="1">
        <f t="array" ref="P338">IF(K338=3,"",
  IFERROR(
    INDEX('Fairway Log'!$E$2:$V$70,
      MATCH(1,
        ('Fairway Log'!$A$2:$A$70=$A338)*
        ('Fairway Log'!$B$2:$B$70=$B338)*
        ('Fairway Log'!$C$2:$C409=$C338),
      0),
      MATCH($G338,'Fairway Log'!$E$1:$V$1,0)
    ),
  "")
)</f>
        <v>→</v>
      </c>
      <c r="Q338" t="str" cm="1">
        <f t="array" ref="Q338">IFERROR(
  INDEX('GIR Log'!$E$2:$V$70,
    MATCH(1,
      ('GIR Log'!$A$2:$A$70=$A338)*
      ('GIR Log'!$B$2:$B$70=$B338)*
      ('GIR Log'!$C$2:$C$70=$C338),
    0),
    MATCH($G338,'GIR Log'!$E$1:$V$1,0)
  ),
"")</f>
        <v>NC</v>
      </c>
    </row>
    <row r="339" spans="1:17" x14ac:dyDescent="0.25">
      <c r="A339" s="20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Log'!$E$2:$V$70,
    MATCH(1,
      ('Golf Log'!$A$2:$A$70=$A339)*
      ('Golf Log'!$B$2:$B$70=$B339)*
      ('Golf Log'!$C$2:$C$70=$C339),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Log'!$E$2:$V$70,
    MATCH(1,
      ('Putt Log'!$A$2:$A$70=$A339)*
      ('Putt Log'!$B$2:$B$70=$B339)*
      ('Putt Log'!$C$2:$C$70=$C339),
    0),
    MATCH($G339,'Putt Log'!$E$1:$V$1,0)
  ),
"")</f>
        <v>1</v>
      </c>
      <c r="P339" t="str" cm="1">
        <f t="array" ref="P339">IF(K339=3,"",
  IFERROR(
    INDEX('Fairway Log'!$E$2:$V$70,
      MATCH(1,
        ('Fairway Log'!$A$2:$A$70=$A339)*
        ('Fairway Log'!$B$2:$B$70=$B339)*
        ('Fairway Log'!$C$2:$C410=$C339),
      0),
      MATCH($G339,'Fairway Log'!$E$1:$V$1,0)
    ),
  "")
)</f>
        <v>←</v>
      </c>
      <c r="Q339" t="str" cm="1">
        <f t="array" ref="Q339">IFERROR(
  INDEX('GIR Log'!$E$2:$V$70,
    MATCH(1,
      ('GIR Log'!$A$2:$A$70=$A339)*
      ('GIR Log'!$B$2:$B$70=$B339)*
      ('GIR Log'!$C$2:$C$70=$C339),
    0),
    MATCH($G339,'GIR Log'!$E$1:$V$1,0)
  ),
"")</f>
        <v>→</v>
      </c>
    </row>
    <row r="340" spans="1:17" x14ac:dyDescent="0.25">
      <c r="A340" s="20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Log'!$E$2:$V$70,
    MATCH(1,
      ('Golf Log'!$A$2:$A$70=$A340)*
      ('Golf Log'!$B$2:$B$70=$B340)*
      ('Golf Log'!$C$2:$C$70=$C340),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Log'!$E$2:$V$70,
    MATCH(1,
      ('Putt Log'!$A$2:$A$70=$A340)*
      ('Putt Log'!$B$2:$B$70=$B340)*
      ('Putt Log'!$C$2:$C$70=$C340),
    0),
    MATCH($G340,'Putt Log'!$E$1:$V$1,0)
  ),
"")</f>
        <v>2</v>
      </c>
      <c r="P340" t="str" cm="1">
        <f t="array" ref="P340">IF(K340=3,"",
  IFERROR(
    INDEX('Fairway Log'!$E$2:$V$70,
      MATCH(1,
        ('Fairway Log'!$A$2:$A$70=$A340)*
        ('Fairway Log'!$B$2:$B$70=$B340)*
        ('Fairway Log'!$C$2:$C411=$C340),
      0),
      MATCH($G340,'Fairway Log'!$E$1:$V$1,0)
    ),
  "")
)</f>
        <v/>
      </c>
      <c r="Q340" cm="1">
        <f t="array" ref="Q340">IFERROR(
  INDEX('GIR Log'!$E$2:$V$70,
    MATCH(1,
      ('GIR Log'!$A$2:$A$70=$A340)*
      ('GIR Log'!$B$2:$B$70=$B340)*
      ('GIR Log'!$C$2:$C$70=$C340),
    0),
    MATCH($G340,'GIR Log'!$E$1:$V$1,0)
  ),
"")</f>
        <v>1</v>
      </c>
    </row>
    <row r="341" spans="1:17" x14ac:dyDescent="0.25">
      <c r="A341" s="20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Log'!$E$2:$V$70,
    MATCH(1,
      ('Golf Log'!$A$2:$A$70=$A341)*
      ('Golf Log'!$B$2:$B$70=$B341)*
      ('Golf Log'!$C$2:$C$70=$C341),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Log'!$E$2:$V$70,
    MATCH(1,
      ('Putt Log'!$A$2:$A$70=$A341)*
      ('Putt Log'!$B$2:$B$70=$B341)*
      ('Putt Log'!$C$2:$C$70=$C341),
    0),
    MATCH($G341,'Putt Log'!$E$1:$V$1,0)
  ),
"")</f>
        <v>1</v>
      </c>
      <c r="P341" cm="1">
        <f t="array" ref="P341">IF(K341=3,"",
  IFERROR(
    INDEX('Fairway Log'!$E$2:$V$70,
      MATCH(1,
        ('Fairway Log'!$A$2:$A$70=$A341)*
        ('Fairway Log'!$B$2:$B$70=$B341)*
        ('Fairway Log'!$C$2:$C412=$C341),
      0),
      MATCH($G341,'Fairway Log'!$E$1:$V$1,0)
    ),
  "")
)</f>
        <v>1</v>
      </c>
      <c r="Q341" cm="1">
        <f t="array" ref="Q341">IFERROR(
  INDEX('GIR Log'!$E$2:$V$70,
    MATCH(1,
      ('GIR Log'!$A$2:$A$70=$A341)*
      ('GIR Log'!$B$2:$B$70=$B341)*
      ('GIR Log'!$C$2:$C$70=$C341),
    0),
    MATCH($G341,'GIR Log'!$E$1:$V$1,0)
  ),
"")</f>
        <v>1</v>
      </c>
    </row>
    <row r="342" spans="1:17" x14ac:dyDescent="0.25">
      <c r="A342" s="20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Log'!$E$2:$V$70,
    MATCH(1,
      ('Golf Log'!$A$2:$A$70=$A342)*
      ('Golf Log'!$B$2:$B$70=$B342)*
      ('Golf Log'!$C$2:$C$70=$C342),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Log'!$E$2:$V$70,
    MATCH(1,
      ('Putt Log'!$A$2:$A$70=$A342)*
      ('Putt Log'!$B$2:$B$70=$B342)*
      ('Putt Log'!$C$2:$C$70=$C342),
    0),
    MATCH($G342,'Putt Log'!$E$1:$V$1,0)
  ),
"")</f>
        <v>2</v>
      </c>
      <c r="P342" t="str" cm="1">
        <f t="array" ref="P342">IF(K342=3,"",
  IFERROR(
    INDEX('Fairway Log'!$E$2:$V$70,
      MATCH(1,
        ('Fairway Log'!$A$2:$A$70=$A342)*
        ('Fairway Log'!$B$2:$B$70=$B342)*
        ('Fairway Log'!$C$2:$C413=$C342),
      0),
      MATCH($G342,'Fairway Log'!$E$1:$V$1,0)
    ),
  "")
)</f>
        <v>→</v>
      </c>
      <c r="Q342" t="str" cm="1">
        <f t="array" ref="Q342">IFERROR(
  INDEX('GIR Log'!$E$2:$V$70,
    MATCH(1,
      ('GIR Log'!$A$2:$A$70=$A342)*
      ('GIR Log'!$B$2:$B$70=$B342)*
      ('GIR Log'!$C$2:$C$70=$C342),
    0),
    MATCH($G342,'GIR Log'!$E$1:$V$1,0)
  ),
"")</f>
        <v>NC</v>
      </c>
    </row>
    <row r="343" spans="1:17" x14ac:dyDescent="0.25">
      <c r="A343" s="20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Log'!$E$2:$V$70,
    MATCH(1,
      ('Golf Log'!$A$2:$A$70=$A343)*
      ('Golf Log'!$B$2:$B$70=$B343)*
      ('Golf Log'!$C$2:$C$70=$C343),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Log'!$E$2:$V$70,
    MATCH(1,
      ('Putt Log'!$A$2:$A$70=$A343)*
      ('Putt Log'!$B$2:$B$70=$B343)*
      ('Putt Log'!$C$2:$C$70=$C343),
    0),
    MATCH($G343,'Putt Log'!$E$1:$V$1,0)
  ),
"")</f>
        <v>2</v>
      </c>
      <c r="P343" cm="1">
        <f t="array" ref="P343">IF(K343=3,"",
  IFERROR(
    INDEX('Fairway Log'!$E$2:$V$70,
      MATCH(1,
        ('Fairway Log'!$A$2:$A$70=$A343)*
        ('Fairway Log'!$B$2:$B$70=$B343)*
        ('Fairway Log'!$C$2:$C414=$C343),
      0),
      MATCH($G343,'Fairway Log'!$E$1:$V$1,0)
    ),
  "")
)</f>
        <v>1</v>
      </c>
      <c r="Q343" cm="1">
        <f t="array" ref="Q343">IFERROR(
  INDEX('GIR Log'!$E$2:$V$70,
    MATCH(1,
      ('GIR Log'!$A$2:$A$70=$A343)*
      ('GIR Log'!$B$2:$B$70=$B343)*
      ('GIR Log'!$C$2:$C$70=$C343),
    0),
    MATCH($G343,'GIR Log'!$E$1:$V$1,0)
  ),
"")</f>
        <v>1</v>
      </c>
    </row>
    <row r="344" spans="1:17" x14ac:dyDescent="0.25">
      <c r="A344" s="20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Log'!$E$2:$V$70,
    MATCH(1,
      ('Golf Log'!$A$2:$A$70=$A344)*
      ('Golf Log'!$B$2:$B$70=$B344)*
      ('Golf Log'!$C$2:$C$70=$C344),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Log'!$E$2:$V$70,
    MATCH(1,
      ('Putt Log'!$A$2:$A$70=$A344)*
      ('Putt Log'!$B$2:$B$70=$B344)*
      ('Putt Log'!$C$2:$C$70=$C344),
    0),
    MATCH($G344,'Putt Log'!$E$1:$V$1,0)
  ),
"")</f>
        <v>3</v>
      </c>
      <c r="P344" cm="1">
        <f t="array" ref="P344">IF(K344=3,"",
  IFERROR(
    INDEX('Fairway Log'!$E$2:$V$70,
      MATCH(1,
        ('Fairway Log'!$A$2:$A$70=$A344)*
        ('Fairway Log'!$B$2:$B$70=$B344)*
        ('Fairway Log'!$C$2:$C415=$C344),
      0),
      MATCH($G344,'Fairway Log'!$E$1:$V$1,0)
    ),
  "")
)</f>
        <v>1</v>
      </c>
      <c r="Q344" cm="1">
        <f t="array" ref="Q344">IFERROR(
  INDEX('GIR Log'!$E$2:$V$70,
    MATCH(1,
      ('GIR Log'!$A$2:$A$70=$A344)*
      ('GIR Log'!$B$2:$B$70=$B344)*
      ('GIR Log'!$C$2:$C$70=$C344),
    0),
    MATCH($G344,'GIR Log'!$E$1:$V$1,0)
  ),
"")</f>
        <v>0</v>
      </c>
    </row>
    <row r="345" spans="1:17" x14ac:dyDescent="0.25">
      <c r="A345" s="20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Log'!$E$2:$V$70,
    MATCH(1,
      ('Golf Log'!$A$2:$A$70=$A345)*
      ('Golf Log'!$B$2:$B$70=$B345)*
      ('Golf Log'!$C$2:$C$70=$C345),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Log'!$E$2:$V$70,
    MATCH(1,
      ('Putt Log'!$A$2:$A$70=$A345)*
      ('Putt Log'!$B$2:$B$70=$B345)*
      ('Putt Log'!$C$2:$C$70=$C345),
    0),
    MATCH($G345,'Putt Log'!$E$1:$V$1,0)
  ),
"")</f>
        <v>2</v>
      </c>
      <c r="P345" cm="1">
        <f t="array" ref="P345">IF(K345=3,"",
  IFERROR(
    INDEX('Fairway Log'!$E$2:$V$70,
      MATCH(1,
        ('Fairway Log'!$A$2:$A$70=$A345)*
        ('Fairway Log'!$B$2:$B$70=$B345)*
        ('Fairway Log'!$C$2:$C416=$C345),
      0),
      MATCH($G345,'Fairway Log'!$E$1:$V$1,0)
    ),
  "")
)</f>
        <v>1</v>
      </c>
      <c r="Q345" cm="1">
        <f t="array" ref="Q345">IFERROR(
  INDEX('GIR Log'!$E$2:$V$70,
    MATCH(1,
      ('GIR Log'!$A$2:$A$70=$A345)*
      ('GIR Log'!$B$2:$B$70=$B345)*
      ('GIR Log'!$C$2:$C$70=$C345),
    0),
    MATCH($G345,'GIR Log'!$E$1:$V$1,0)
  ),
"")</f>
        <v>0</v>
      </c>
    </row>
    <row r="346" spans="1:17" x14ac:dyDescent="0.25">
      <c r="A346" s="20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Log'!$E$2:$V$70,
    MATCH(1,
      ('Golf Log'!$A$2:$A$70=$A346)*
      ('Golf Log'!$B$2:$B$70=$B346)*
      ('Golf Log'!$C$2:$C$70=$C346),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Log'!$E$2:$V$70,
    MATCH(1,
      ('Putt Log'!$A$2:$A$70=$A346)*
      ('Putt Log'!$B$2:$B$70=$B346)*
      ('Putt Log'!$C$2:$C$70=$C346),
    0),
    MATCH($G346,'Putt Log'!$E$1:$V$1,0)
  ),
"")</f>
        <v>2</v>
      </c>
      <c r="P346" t="str" cm="1">
        <f t="array" ref="P346">IF(K346=3,"",
  IFERROR(
    INDEX('Fairway Log'!$E$2:$V$70,
      MATCH(1,
        ('Fairway Log'!$A$2:$A$70=$A346)*
        ('Fairway Log'!$B$2:$B$70=$B346)*
        ('Fairway Log'!$C$2:$C417=$C346),
      0),
      MATCH($G346,'Fairway Log'!$E$1:$V$1,0)
    ),
  "")
)</f>
        <v>↑</v>
      </c>
      <c r="Q346" cm="1">
        <f t="array" ref="Q346">IFERROR(
  INDEX('GIR Log'!$E$2:$V$70,
    MATCH(1,
      ('GIR Log'!$A$2:$A$70=$A346)*
      ('GIR Log'!$B$2:$B$70=$B346)*
      ('GIR Log'!$C$2:$C$70=$C346),
    0),
    MATCH($G346,'GIR Log'!$E$1:$V$1,0)
  ),
"")</f>
        <v>0</v>
      </c>
    </row>
    <row r="347" spans="1:17" x14ac:dyDescent="0.25">
      <c r="A347" s="20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Log'!$E$2:$V$70,
    MATCH(1,
      ('Golf Log'!$A$2:$A$70=$A347)*
      ('Golf Log'!$B$2:$B$70=$B347)*
      ('Golf Log'!$C$2:$C$70=$C347),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Log'!$E$2:$V$70,
    MATCH(1,
      ('Putt Log'!$A$2:$A$70=$A347)*
      ('Putt Log'!$B$2:$B$70=$B347)*
      ('Putt Log'!$C$2:$C$70=$C347),
    0),
    MATCH($G347,'Putt Log'!$E$1:$V$1,0)
  ),
"")</f>
        <v>1</v>
      </c>
      <c r="P347" t="str" cm="1">
        <f t="array" ref="P347">IF(K347=3,"",
  IFERROR(
    INDEX('Fairway Log'!$E$2:$V$70,
      MATCH(1,
        ('Fairway Log'!$A$2:$A$70=$A347)*
        ('Fairway Log'!$B$2:$B$70=$B347)*
        ('Fairway Log'!$C$2:$C418=$C347),
      0),
      MATCH($G347,'Fairway Log'!$E$1:$V$1,0)
    ),
  "")
)</f>
        <v/>
      </c>
      <c r="Q347" cm="1">
        <f t="array" ref="Q347">IFERROR(
  INDEX('GIR Log'!$E$2:$V$70,
    MATCH(1,
      ('GIR Log'!$A$2:$A$70=$A347)*
      ('GIR Log'!$B$2:$B$70=$B347)*
      ('GIR Log'!$C$2:$C$70=$C347),
    0),
    MATCH($G347,'GIR Log'!$E$1:$V$1,0)
  ),
"")</f>
        <v>0</v>
      </c>
    </row>
    <row r="348" spans="1:17" x14ac:dyDescent="0.25">
      <c r="A348" s="20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Log'!$E$2:$V$70,
    MATCH(1,
      ('Golf Log'!$A$2:$A$70=$A348)*
      ('Golf Log'!$B$2:$B$70=$B348)*
      ('Golf Log'!$C$2:$C$70=$C348),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Log'!$E$2:$V$70,
    MATCH(1,
      ('Putt Log'!$A$2:$A$70=$A348)*
      ('Putt Log'!$B$2:$B$70=$B348)*
      ('Putt Log'!$C$2:$C$70=$C348),
    0),
    MATCH($G348,'Putt Log'!$E$1:$V$1,0)
  ),
"")</f>
        <v>2</v>
      </c>
      <c r="P348" cm="1">
        <f t="array" ref="P348">IF(K348=3,"",
  IFERROR(
    INDEX('Fairway Log'!$E$2:$V$70,
      MATCH(1,
        ('Fairway Log'!$A$2:$A$70=$A348)*
        ('Fairway Log'!$B$2:$B$70=$B348)*
        ('Fairway Log'!$C$2:$C419=$C348),
      0),
      MATCH($G348,'Fairway Log'!$E$1:$V$1,0)
    ),
  "")
)</f>
        <v>1</v>
      </c>
      <c r="Q348" cm="1">
        <f t="array" ref="Q348">IFERROR(
  INDEX('GIR Log'!$E$2:$V$70,
    MATCH(1,
      ('GIR Log'!$A$2:$A$70=$A348)*
      ('GIR Log'!$B$2:$B$70=$B348)*
      ('GIR Log'!$C$2:$C$70=$C348),
    0),
    MATCH($G348,'GIR Log'!$E$1:$V$1,0)
  ),
"")</f>
        <v>0</v>
      </c>
    </row>
    <row r="349" spans="1:17" x14ac:dyDescent="0.25">
      <c r="A349" s="20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Log'!$E$2:$V$70,
    MATCH(1,
      ('Golf Log'!$A$2:$A$70=$A349)*
      ('Golf Log'!$B$2:$B$70=$B349)*
      ('Golf Log'!$C$2:$C$70=$C349),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Log'!$E$2:$V$70,
    MATCH(1,
      ('Putt Log'!$A$2:$A$70=$A349)*
      ('Putt Log'!$B$2:$B$70=$B349)*
      ('Putt Log'!$C$2:$C$70=$C349),
    0),
    MATCH($G349,'Putt Log'!$E$1:$V$1,0)
  ),
"")</f>
        <v>1</v>
      </c>
      <c r="P349" cm="1">
        <f t="array" ref="P349">IF(K349=3,"",
  IFERROR(
    INDEX('Fairway Log'!$E$2:$V$70,
      MATCH(1,
        ('Fairway Log'!$A$2:$A$70=$A349)*
        ('Fairway Log'!$B$2:$B$70=$B349)*
        ('Fairway Log'!$C$2:$C420=$C349),
      0),
      MATCH($G349,'Fairway Log'!$E$1:$V$1,0)
    ),
  "")
)</f>
        <v>1</v>
      </c>
      <c r="Q349" cm="1">
        <f t="array" ref="Q349">IFERROR(
  INDEX('GIR Log'!$E$2:$V$70,
    MATCH(1,
      ('GIR Log'!$A$2:$A$70=$A349)*
      ('GIR Log'!$B$2:$B$70=$B349)*
      ('GIR Log'!$C$2:$C$70=$C349),
    0),
    MATCH($G349,'GIR Log'!$E$1:$V$1,0)
  ),
"")</f>
        <v>0</v>
      </c>
    </row>
    <row r="350" spans="1:17" x14ac:dyDescent="0.25">
      <c r="A350" s="20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Log'!$E$2:$V$70,
    MATCH(1,
      ('Golf Log'!$A$2:$A$70=$A350)*
      ('Golf Log'!$B$2:$B$70=$B350)*
      ('Golf Log'!$C$2:$C$70=$C350),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Log'!$E$2:$V$70,
    MATCH(1,
      ('Putt Log'!$A$2:$A$70=$A350)*
      ('Putt Log'!$B$2:$B$70=$B350)*
      ('Putt Log'!$C$2:$C$70=$C350),
    0),
    MATCH($G350,'Putt Log'!$E$1:$V$1,0)
  ),
"")</f>
        <v>2</v>
      </c>
      <c r="P350" t="str" cm="1">
        <f t="array" ref="P350">IF(K350=3,"",
  IFERROR(
    INDEX('Fairway Log'!$E$2:$V$70,
      MATCH(1,
        ('Fairway Log'!$A$2:$A$70=$A350)*
        ('Fairway Log'!$B$2:$B$70=$B350)*
        ('Fairway Log'!$C$2:$C421=$C350),
      0),
      MATCH($G350,'Fairway Log'!$E$1:$V$1,0)
    ),
  "")
)</f>
        <v/>
      </c>
      <c r="Q350" cm="1">
        <f t="array" ref="Q350">IFERROR(
  INDEX('GIR Log'!$E$2:$V$70,
    MATCH(1,
      ('GIR Log'!$A$2:$A$70=$A350)*
      ('GIR Log'!$B$2:$B$70=$B350)*
      ('GIR Log'!$C$2:$C$70=$C350),
    0),
    MATCH($G350,'GIR Log'!$E$1:$V$1,0)
  ),
"")</f>
        <v>0</v>
      </c>
    </row>
    <row r="351" spans="1:17" x14ac:dyDescent="0.25">
      <c r="A351" s="20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Log'!$E$2:$V$70,
    MATCH(1,
      ('Golf Log'!$A$2:$A$70=$A351)*
      ('Golf Log'!$B$2:$B$70=$B351)*
      ('Golf Log'!$C$2:$C$70=$C351),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Log'!$E$2:$V$70,
    MATCH(1,
      ('Putt Log'!$A$2:$A$70=$A351)*
      ('Putt Log'!$B$2:$B$70=$B351)*
      ('Putt Log'!$C$2:$C$70=$C351),
    0),
    MATCH($G351,'Putt Log'!$E$1:$V$1,0)
  ),
"")</f>
        <v>2</v>
      </c>
      <c r="P351" t="str" cm="1">
        <f t="array" ref="P351">IF(K351=3,"",
  IFERROR(
    INDEX('Fairway Log'!$E$2:$V$70,
      MATCH(1,
        ('Fairway Log'!$A$2:$A$70=$A351)*
        ('Fairway Log'!$B$2:$B$70=$B351)*
        ('Fairway Log'!$C$2:$C422=$C351),
      0),
      MATCH($G351,'Fairway Log'!$E$1:$V$1,0)
    ),
  "")
)</f>
        <v>↓</v>
      </c>
      <c r="Q351" cm="1">
        <f t="array" ref="Q351">IFERROR(
  INDEX('GIR Log'!$E$2:$V$70,
    MATCH(1,
      ('GIR Log'!$A$2:$A$70=$A351)*
      ('GIR Log'!$B$2:$B$70=$B351)*
      ('GIR Log'!$C$2:$C$70=$C351),
    0),
    MATCH($G351,'GIR Log'!$E$1:$V$1,0)
  ),
"")</f>
        <v>0</v>
      </c>
    </row>
    <row r="352" spans="1:17" x14ac:dyDescent="0.25">
      <c r="A352" s="20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Log'!$E$2:$V$70,
    MATCH(1,
      ('Golf Log'!$A$2:$A$70=$A352)*
      ('Golf Log'!$B$2:$B$70=$B352)*
      ('Golf Log'!$C$2:$C$70=$C352),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Log'!$E$2:$V$70,
    MATCH(1,
      ('Putt Log'!$A$2:$A$70=$A352)*
      ('Putt Log'!$B$2:$B$70=$B352)*
      ('Putt Log'!$C$2:$C$70=$C352),
    0),
    MATCH($G352,'Putt Log'!$E$1:$V$1,0)
  ),
"")</f>
        <v>2</v>
      </c>
      <c r="P352" t="str" cm="1">
        <f t="array" ref="P352">IF(K352=3,"",
  IFERROR(
    INDEX('Fairway Log'!$E$2:$V$70,
      MATCH(1,
        ('Fairway Log'!$A$2:$A$70=$A352)*
        ('Fairway Log'!$B$2:$B$70=$B352)*
        ('Fairway Log'!$C$2:$C423=$C352),
      0),
      MATCH($G352,'Fairway Log'!$E$1:$V$1,0)
    ),
  "")
)</f>
        <v>↓</v>
      </c>
      <c r="Q352" cm="1">
        <f t="array" ref="Q352">IFERROR(
  INDEX('GIR Log'!$E$2:$V$70,
    MATCH(1,
      ('GIR Log'!$A$2:$A$70=$A352)*
      ('GIR Log'!$B$2:$B$70=$B352)*
      ('GIR Log'!$C$2:$C$70=$C352),
    0),
    MATCH($G352,'GIR Log'!$E$1:$V$1,0)
  ),
"")</f>
        <v>0</v>
      </c>
    </row>
    <row r="353" spans="1:17" x14ac:dyDescent="0.25">
      <c r="A353" s="20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Log'!$E$2:$V$70,
    MATCH(1,
      ('Golf Log'!$A$2:$A$70=$A353)*
      ('Golf Log'!$B$2:$B$70=$B353)*
      ('Golf Log'!$C$2:$C$70=$C353),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Log'!$E$2:$V$70,
    MATCH(1,
      ('Putt Log'!$A$2:$A$70=$A353)*
      ('Putt Log'!$B$2:$B$70=$B353)*
      ('Putt Log'!$C$2:$C$70=$C353),
    0),
    MATCH($G353,'Putt Log'!$E$1:$V$1,0)
  ),
"")</f>
        <v>1</v>
      </c>
      <c r="P353" cm="1">
        <f t="array" ref="P353">IF(K353=3,"",
  IFERROR(
    INDEX('Fairway Log'!$E$2:$V$70,
      MATCH(1,
        ('Fairway Log'!$A$2:$A$70=$A353)*
        ('Fairway Log'!$B$2:$B$70=$B353)*
        ('Fairway Log'!$C$2:$C424=$C353),
      0),
      MATCH($G353,'Fairway Log'!$E$1:$V$1,0)
    ),
  "")
)</f>
        <v>1</v>
      </c>
      <c r="Q353" cm="1">
        <f t="array" ref="Q353">IFERROR(
  INDEX('GIR Log'!$E$2:$V$70,
    MATCH(1,
      ('GIR Log'!$A$2:$A$70=$A353)*
      ('GIR Log'!$B$2:$B$70=$B353)*
      ('GIR Log'!$C$2:$C$70=$C353),
    0),
    MATCH($G353,'GIR Log'!$E$1:$V$1,0)
  ),
"")</f>
        <v>0</v>
      </c>
    </row>
    <row r="354" spans="1:17" x14ac:dyDescent="0.25">
      <c r="A354" s="20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Log'!$E$2:$V$70,
    MATCH(1,
      ('Golf Log'!$A$2:$A$70=$A354)*
      ('Golf Log'!$B$2:$B$70=$B354)*
      ('Golf Log'!$C$2:$C$70=$C354),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Log'!$E$2:$V$70,
    MATCH(1,
      ('Putt Log'!$A$2:$A$70=$A354)*
      ('Putt Log'!$B$2:$B$70=$B354)*
      ('Putt Log'!$C$2:$C$70=$C354),
    0),
    MATCH($G354,'Putt Log'!$E$1:$V$1,0)
  ),
"")</f>
        <v>2</v>
      </c>
      <c r="P354" t="str" cm="1">
        <f t="array" ref="P354">IF(K354=3,"",
  IFERROR(
    INDEX('Fairway Log'!$E$2:$V$70,
      MATCH(1,
        ('Fairway Log'!$A$2:$A$70=$A354)*
        ('Fairway Log'!$B$2:$B$70=$B354)*
        ('Fairway Log'!$C$2:$C425=$C354),
      0),
      MATCH($G354,'Fairway Log'!$E$1:$V$1,0)
    ),
  "")
)</f>
        <v/>
      </c>
      <c r="Q354" cm="1">
        <f t="array" ref="Q354">IFERROR(
  INDEX('GIR Log'!$E$2:$V$70,
    MATCH(1,
      ('GIR Log'!$A$2:$A$70=$A354)*
      ('GIR Log'!$B$2:$B$70=$B354)*
      ('GIR Log'!$C$2:$C$70=$C354),
    0),
    MATCH($G354,'GIR Log'!$E$1:$V$1,0)
  ),
"")</f>
        <v>0</v>
      </c>
    </row>
    <row r="355" spans="1:17" x14ac:dyDescent="0.25">
      <c r="A355" s="20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Log'!$E$2:$V$70,
    MATCH(1,
      ('Golf Log'!$A$2:$A$70=$A355)*
      ('Golf Log'!$B$2:$B$70=$B355)*
      ('Golf Log'!$C$2:$C$70=$C355),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Log'!$E$2:$V$70,
    MATCH(1,
      ('Putt Log'!$A$2:$A$70=$A355)*
      ('Putt Log'!$B$2:$B$70=$B355)*
      ('Putt Log'!$C$2:$C$70=$C355),
    0),
    MATCH($G355,'Putt Log'!$E$1:$V$1,0)
  ),
"")</f>
        <v>1</v>
      </c>
      <c r="P355" t="str" cm="1">
        <f t="array" ref="P355">IF(K355=3,"",
  IFERROR(
    INDEX('Fairway Log'!$E$2:$V$70,
      MATCH(1,
        ('Fairway Log'!$A$2:$A$70=$A355)*
        ('Fairway Log'!$B$2:$B$70=$B355)*
        ('Fairway Log'!$C$2:$C426=$C355),
      0),
      MATCH($G355,'Fairway Log'!$E$1:$V$1,0)
    ),
  "")
)</f>
        <v>→</v>
      </c>
      <c r="Q355" cm="1">
        <f t="array" ref="Q355">IFERROR(
  INDEX('GIR Log'!$E$2:$V$70,
    MATCH(1,
      ('GIR Log'!$A$2:$A$70=$A355)*
      ('GIR Log'!$B$2:$B$70=$B355)*
      ('GIR Log'!$C$2:$C$70=$C355),
    0),
    MATCH($G355,'GIR Log'!$E$1:$V$1,0)
  ),
"")</f>
        <v>0</v>
      </c>
    </row>
    <row r="356" spans="1:17" x14ac:dyDescent="0.25">
      <c r="A356" s="20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Log'!$E$2:$V$70,
    MATCH(1,
      ('Golf Log'!$A$2:$A$70=$A356)*
      ('Golf Log'!$B$2:$B$70=$B356)*
      ('Golf Log'!$C$2:$C$70=$C356),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Log'!$E$2:$V$70,
    MATCH(1,
      ('Putt Log'!$A$2:$A$70=$A356)*
      ('Putt Log'!$B$2:$B$70=$B356)*
      ('Putt Log'!$C$2:$C$70=$C356),
    0),
    MATCH($G356,'Putt Log'!$E$1:$V$1,0)
  ),
"")</f>
        <v>2</v>
      </c>
      <c r="P356" t="str" cm="1">
        <f t="array" ref="P356">IF(K356=3,"",
  IFERROR(
    INDEX('Fairway Log'!$E$2:$V$70,
      MATCH(1,
        ('Fairway Log'!$A$2:$A$70=$A356)*
        ('Fairway Log'!$B$2:$B$70=$B356)*
        ('Fairway Log'!$C$2:$C427=$C356),
      0),
      MATCH($G356,'Fairway Log'!$E$1:$V$1,0)
    ),
  "")
)</f>
        <v>←</v>
      </c>
      <c r="Q356" cm="1">
        <f t="array" ref="Q356">IFERROR(
  INDEX('GIR Log'!$E$2:$V$70,
    MATCH(1,
      ('GIR Log'!$A$2:$A$70=$A356)*
      ('GIR Log'!$B$2:$B$70=$B356)*
      ('GIR Log'!$C$2:$C$70=$C356),
    0),
    MATCH($G356,'GIR Log'!$E$1:$V$1,0)
  ),
"")</f>
        <v>0</v>
      </c>
    </row>
    <row r="357" spans="1:17" x14ac:dyDescent="0.25">
      <c r="A357" s="20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Log'!$E$2:$V$70,
    MATCH(1,
      ('Golf Log'!$A$2:$A$70=$A357)*
      ('Golf Log'!$B$2:$B$70=$B357)*
      ('Golf Log'!$C$2:$C$70=$C357),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Log'!$E$2:$V$70,
    MATCH(1,
      ('Putt Log'!$A$2:$A$70=$A357)*
      ('Putt Log'!$B$2:$B$70=$B357)*
      ('Putt Log'!$C$2:$C$70=$C357),
    0),
    MATCH($G357,'Putt Log'!$E$1:$V$1,0)
  ),
"")</f>
        <v>2</v>
      </c>
      <c r="P357" t="str" cm="1">
        <f t="array" ref="P357">IF(K357=3,"",
  IFERROR(
    INDEX('Fairway Log'!$E$2:$V$70,
      MATCH(1,
        ('Fairway Log'!$A$2:$A$70=$A357)*
        ('Fairway Log'!$B$2:$B$70=$B357)*
        ('Fairway Log'!$C$2:$C428=$C357),
      0),
      MATCH($G357,'Fairway Log'!$E$1:$V$1,0)
    ),
  "")
)</f>
        <v/>
      </c>
      <c r="Q357" cm="1">
        <f t="array" ref="Q357">IFERROR(
  INDEX('GIR Log'!$E$2:$V$70,
    MATCH(1,
      ('GIR Log'!$A$2:$A$70=$A357)*
      ('GIR Log'!$B$2:$B$70=$B357)*
      ('GIR Log'!$C$2:$C$70=$C357),
    0),
    MATCH($G357,'GIR Log'!$E$1:$V$1,0)
  ),
"")</f>
        <v>0</v>
      </c>
    </row>
    <row r="358" spans="1:17" x14ac:dyDescent="0.25">
      <c r="A358" s="20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Log'!$E$2:$V$70,
    MATCH(1,
      ('Golf Log'!$A$2:$A$70=$A358)*
      ('Golf Log'!$B$2:$B$70=$B358)*
      ('Golf Log'!$C$2:$C$70=$C358),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Log'!$E$2:$V$70,
    MATCH(1,
      ('Putt Log'!$A$2:$A$70=$A358)*
      ('Putt Log'!$B$2:$B$70=$B358)*
      ('Putt Log'!$C$2:$C$70=$C358),
    0),
    MATCH($G358,'Putt Log'!$E$1:$V$1,0)
  ),
"")</f>
        <v>2</v>
      </c>
      <c r="P358" t="str" cm="1">
        <f t="array" ref="P358">IF(K358=3,"",
  IFERROR(
    INDEX('Fairway Log'!$E$2:$V$70,
      MATCH(1,
        ('Fairway Log'!$A$2:$A$70=$A358)*
        ('Fairway Log'!$B$2:$B$70=$B358)*
        ('Fairway Log'!$C$2:$C429=$C358),
      0),
      MATCH($G358,'Fairway Log'!$E$1:$V$1,0)
    ),
  "")
)</f>
        <v>→</v>
      </c>
      <c r="Q358" cm="1">
        <f t="array" ref="Q358">IFERROR(
  INDEX('GIR Log'!$E$2:$V$70,
    MATCH(1,
      ('GIR Log'!$A$2:$A$70=$A358)*
      ('GIR Log'!$B$2:$B$70=$B358)*
      ('GIR Log'!$C$2:$C$70=$C358),
    0),
    MATCH($G358,'GIR Log'!$E$1:$V$1,0)
  ),
"")</f>
        <v>0</v>
      </c>
    </row>
    <row r="359" spans="1:17" x14ac:dyDescent="0.25">
      <c r="A359" s="20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Log'!$E$2:$V$70,
    MATCH(1,
      ('Golf Log'!$A$2:$A$70=$A359)*
      ('Golf Log'!$B$2:$B$70=$B359)*
      ('Golf Log'!$C$2:$C$70=$C359),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Log'!$E$2:$V$70,
    MATCH(1,
      ('Putt Log'!$A$2:$A$70=$A359)*
      ('Putt Log'!$B$2:$B$70=$B359)*
      ('Putt Log'!$C$2:$C$70=$C359),
    0),
    MATCH($G359,'Putt Log'!$E$1:$V$1,0)
  ),
"")</f>
        <v>2</v>
      </c>
      <c r="P359" cm="1">
        <f t="array" ref="P359">IF(K359=3,"",
  IFERROR(
    INDEX('Fairway Log'!$E$2:$V$70,
      MATCH(1,
        ('Fairway Log'!$A$2:$A$70=$A359)*
        ('Fairway Log'!$B$2:$B$70=$B359)*
        ('Fairway Log'!$C$2:$C430=$C359),
      0),
      MATCH($G359,'Fairway Log'!$E$1:$V$1,0)
    ),
  "")
)</f>
        <v>1</v>
      </c>
      <c r="Q359" cm="1">
        <f t="array" ref="Q359">IFERROR(
  INDEX('GIR Log'!$E$2:$V$70,
    MATCH(1,
      ('GIR Log'!$A$2:$A$70=$A359)*
      ('GIR Log'!$B$2:$B$70=$B359)*
      ('GIR Log'!$C$2:$C$70=$C359),
    0),
    MATCH($G359,'GIR Log'!$E$1:$V$1,0)
  ),
"")</f>
        <v>0</v>
      </c>
    </row>
    <row r="360" spans="1:17" x14ac:dyDescent="0.25">
      <c r="A360" s="20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Log'!$E$2:$V$70,
    MATCH(1,
      ('Golf Log'!$A$2:$A$70=$A360)*
      ('Golf Log'!$B$2:$B$70=$B360)*
      ('Golf Log'!$C$2:$C$70=$C360),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Log'!$E$2:$V$70,
    MATCH(1,
      ('Putt Log'!$A$2:$A$70=$A360)*
      ('Putt Log'!$B$2:$B$70=$B360)*
      ('Putt Log'!$C$2:$C$70=$C360),
    0),
    MATCH($G360,'Putt Log'!$E$1:$V$1,0)
  ),
"")</f>
        <v>2</v>
      </c>
      <c r="P360" cm="1">
        <f t="array" ref="P360">IF(K360=3,"",
  IFERROR(
    INDEX('Fairway Log'!$E$2:$V$70,
      MATCH(1,
        ('Fairway Log'!$A$2:$A$70=$A360)*
        ('Fairway Log'!$B$2:$B$70=$B360)*
        ('Fairway Log'!$C$2:$C431=$C360),
      0),
      MATCH($G360,'Fairway Log'!$E$1:$V$1,0)
    ),
  "")
)</f>
        <v>1</v>
      </c>
      <c r="Q360" cm="1">
        <f t="array" ref="Q360">IFERROR(
  INDEX('GIR Log'!$E$2:$V$70,
    MATCH(1,
      ('GIR Log'!$A$2:$A$70=$A360)*
      ('GIR Log'!$B$2:$B$70=$B360)*
      ('GIR Log'!$C$2:$C$70=$C360),
    0),
    MATCH($G360,'GIR Log'!$E$1:$V$1,0)
  ),
"")</f>
        <v>1</v>
      </c>
    </row>
    <row r="361" spans="1:17" x14ac:dyDescent="0.25">
      <c r="A361" s="20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Log'!$E$2:$V$70,
    MATCH(1,
      ('Golf Log'!$A$2:$A$70=$A361)*
      ('Golf Log'!$B$2:$B$70=$B361)*
      ('Golf Log'!$C$2:$C$70=$C361),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Log'!$E$2:$V$70,
    MATCH(1,
      ('Putt Log'!$A$2:$A$70=$A361)*
      ('Putt Log'!$B$2:$B$70=$B361)*
      ('Putt Log'!$C$2:$C$70=$C361),
    0),
    MATCH($G361,'Putt Log'!$E$1:$V$1,0)
  ),
"")</f>
        <v>2</v>
      </c>
      <c r="P361" t="str" cm="1">
        <f t="array" ref="P361">IF(K361=3,"",
  IFERROR(
    INDEX('Fairway Log'!$E$2:$V$70,
      MATCH(1,
        ('Fairway Log'!$A$2:$A$70=$A361)*
        ('Fairway Log'!$B$2:$B$70=$B361)*
        ('Fairway Log'!$C$2:$C432=$C361),
      0),
      MATCH($G361,'Fairway Log'!$E$1:$V$1,0)
    ),
  "")
)</f>
        <v>→</v>
      </c>
      <c r="Q361" cm="1">
        <f t="array" ref="Q361">IFERROR(
  INDEX('GIR Log'!$E$2:$V$70,
    MATCH(1,
      ('GIR Log'!$A$2:$A$70=$A361)*
      ('GIR Log'!$B$2:$B$70=$B361)*
      ('GIR Log'!$C$2:$C$70=$C361),
    0),
    MATCH($G361,'GIR Log'!$E$1:$V$1,0)
  ),
"")</f>
        <v>1</v>
      </c>
    </row>
    <row r="362" spans="1:17" x14ac:dyDescent="0.25">
      <c r="A362" s="20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Log'!$E$2:$V$70,
    MATCH(1,
      ('Golf Log'!$A$2:$A$70=$A362)*
      ('Golf Log'!$B$2:$B$70=$B362)*
      ('Golf Log'!$C$2:$C$70=$C362),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Log'!$E$2:$V$70,
    MATCH(1,
      ('Putt Log'!$A$2:$A$70=$A362)*
      ('Putt Log'!$B$2:$B$70=$B362)*
      ('Putt Log'!$C$2:$C$70=$C362),
    0),
    MATCH($G362,'Putt Log'!$E$1:$V$1,0)
  ),
"")</f>
        <v>3</v>
      </c>
      <c r="P362" t="str" cm="1">
        <f t="array" ref="P362">IF(K362=3,"",
  IFERROR(
    INDEX('Fairway Log'!$E$2:$V$70,
      MATCH(1,
        ('Fairway Log'!$A$2:$A$70=$A362)*
        ('Fairway Log'!$B$2:$B$70=$B362)*
        ('Fairway Log'!$C$2:$C433=$C362),
      0),
      MATCH($G362,'Fairway Log'!$E$1:$V$1,0)
    ),
  "")
)</f>
        <v>↑</v>
      </c>
      <c r="Q362" cm="1">
        <f t="array" ref="Q362">IFERROR(
  INDEX('GIR Log'!$E$2:$V$70,
    MATCH(1,
      ('GIR Log'!$A$2:$A$70=$A362)*
      ('GIR Log'!$B$2:$B$70=$B362)*
      ('GIR Log'!$C$2:$C$70=$C362),
    0),
    MATCH($G362,'GIR Log'!$E$1:$V$1,0)
  ),
"")</f>
        <v>0</v>
      </c>
    </row>
    <row r="363" spans="1:17" x14ac:dyDescent="0.25">
      <c r="A363" s="20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Log'!$E$2:$V$70,
    MATCH(1,
      ('Golf Log'!$A$2:$A$70=$A363)*
      ('Golf Log'!$B$2:$B$70=$B363)*
      ('Golf Log'!$C$2:$C$70=$C363),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Log'!$E$2:$V$70,
    MATCH(1,
      ('Putt Log'!$A$2:$A$70=$A363)*
      ('Putt Log'!$B$2:$B$70=$B363)*
      ('Putt Log'!$C$2:$C$70=$C363),
    0),
    MATCH($G363,'Putt Log'!$E$1:$V$1,0)
  ),
"")</f>
        <v>2</v>
      </c>
      <c r="P363" t="str" cm="1">
        <f t="array" ref="P363">IF(K363=3,"",
  IFERROR(
    INDEX('Fairway Log'!$E$2:$V$70,
      MATCH(1,
        ('Fairway Log'!$A$2:$A$70=$A363)*
        ('Fairway Log'!$B$2:$B$70=$B363)*
        ('Fairway Log'!$C$2:$C434=$C363),
      0),
      MATCH($G363,'Fairway Log'!$E$1:$V$1,0)
    ),
  "")
)</f>
        <v>←</v>
      </c>
      <c r="Q363" cm="1">
        <f t="array" ref="Q363">IFERROR(
  INDEX('GIR Log'!$E$2:$V$70,
    MATCH(1,
      ('GIR Log'!$A$2:$A$70=$A363)*
      ('GIR Log'!$B$2:$B$70=$B363)*
      ('GIR Log'!$C$2:$C$70=$C363),
    0),
    MATCH($G363,'GIR Log'!$E$1:$V$1,0)
  ),
"")</f>
        <v>0</v>
      </c>
    </row>
    <row r="364" spans="1:17" x14ac:dyDescent="0.25">
      <c r="A364" s="20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Log'!$E$2:$V$70,
    MATCH(1,
      ('Golf Log'!$A$2:$A$70=$A364)*
      ('Golf Log'!$B$2:$B$70=$B364)*
      ('Golf Log'!$C$2:$C$70=$C364),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Log'!$E$2:$V$70,
    MATCH(1,
      ('Putt Log'!$A$2:$A$70=$A364)*
      ('Putt Log'!$B$2:$B$70=$B364)*
      ('Putt Log'!$C$2:$C$70=$C364),
    0),
    MATCH($G364,'Putt Log'!$E$1:$V$1,0)
  ),
"")</f>
        <v>2</v>
      </c>
      <c r="P364" t="str" cm="1">
        <f t="array" ref="P364">IF(K364=3,"",
  IFERROR(
    INDEX('Fairway Log'!$E$2:$V$70,
      MATCH(1,
        ('Fairway Log'!$A$2:$A$70=$A364)*
        ('Fairway Log'!$B$2:$B$70=$B364)*
        ('Fairway Log'!$C$2:$C435=$C364),
      0),
      MATCH($G364,'Fairway Log'!$E$1:$V$1,0)
    ),
  "")
)</f>
        <v>←</v>
      </c>
      <c r="Q364" cm="1">
        <f t="array" ref="Q364">IFERROR(
  INDEX('GIR Log'!$E$2:$V$70,
    MATCH(1,
      ('GIR Log'!$A$2:$A$70=$A364)*
      ('GIR Log'!$B$2:$B$70=$B364)*
      ('GIR Log'!$C$2:$C$70=$C364),
    0),
    MATCH($G364,'GIR Log'!$E$1:$V$1,0)
  ),
"")</f>
        <v>0</v>
      </c>
    </row>
    <row r="365" spans="1:17" x14ac:dyDescent="0.25">
      <c r="A365" s="20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Log'!$E$2:$V$70,
    MATCH(1,
      ('Golf Log'!$A$2:$A$70=$A365)*
      ('Golf Log'!$B$2:$B$70=$B365)*
      ('Golf Log'!$C$2:$C$70=$C365),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Log'!$E$2:$V$70,
    MATCH(1,
      ('Putt Log'!$A$2:$A$70=$A365)*
      ('Putt Log'!$B$2:$B$70=$B365)*
      ('Putt Log'!$C$2:$C$70=$C365),
    0),
    MATCH($G365,'Putt Log'!$E$1:$V$1,0)
  ),
"")</f>
        <v>3</v>
      </c>
      <c r="P365" t="str" cm="1">
        <f t="array" ref="P365">IF(K365=3,"",
  IFERROR(
    INDEX('Fairway Log'!$E$2:$V$70,
      MATCH(1,
        ('Fairway Log'!$A$2:$A$70=$A365)*
        ('Fairway Log'!$B$2:$B$70=$B365)*
        ('Fairway Log'!$C$2:$C436=$C365),
      0),
      MATCH($G365,'Fairway Log'!$E$1:$V$1,0)
    ),
  "")
)</f>
        <v/>
      </c>
      <c r="Q365" cm="1">
        <f t="array" ref="Q365">IFERROR(
  INDEX('GIR Log'!$E$2:$V$70,
    MATCH(1,
      ('GIR Log'!$A$2:$A$70=$A365)*
      ('GIR Log'!$B$2:$B$70=$B365)*
      ('GIR Log'!$C$2:$C$70=$C365),
    0),
    MATCH($G365,'GIR Log'!$E$1:$V$1,0)
  ),
"")</f>
        <v>1</v>
      </c>
    </row>
    <row r="366" spans="1:17" x14ac:dyDescent="0.25">
      <c r="A366" s="20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Log'!$E$2:$V$70,
    MATCH(1,
      ('Golf Log'!$A$2:$A$70=$A366)*
      ('Golf Log'!$B$2:$B$70=$B366)*
      ('Golf Log'!$C$2:$C$70=$C366),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Log'!$E$2:$V$70,
    MATCH(1,
      ('Putt Log'!$A$2:$A$70=$A366)*
      ('Putt Log'!$B$2:$B$70=$B366)*
      ('Putt Log'!$C$2:$C$70=$C366),
    0),
    MATCH($G366,'Putt Log'!$E$1:$V$1,0)
  ),
"")</f>
        <v>2</v>
      </c>
      <c r="P366" t="str" cm="1">
        <f t="array" ref="P366">IF(K366=3,"",
  IFERROR(
    INDEX('Fairway Log'!$E$2:$V$70,
      MATCH(1,
        ('Fairway Log'!$A$2:$A$70=$A366)*
        ('Fairway Log'!$B$2:$B$70=$B366)*
        ('Fairway Log'!$C$2:$C437=$C366),
      0),
      MATCH($G366,'Fairway Log'!$E$1:$V$1,0)
    ),
  "")
)</f>
        <v>→</v>
      </c>
      <c r="Q366" cm="1">
        <f t="array" ref="Q366">IFERROR(
  INDEX('GIR Log'!$E$2:$V$70,
    MATCH(1,
      ('GIR Log'!$A$2:$A$70=$A366)*
      ('GIR Log'!$B$2:$B$70=$B366)*
      ('GIR Log'!$C$2:$C$70=$C366),
    0),
    MATCH($G366,'GIR Log'!$E$1:$V$1,0)
  ),
"")</f>
        <v>0</v>
      </c>
    </row>
    <row r="367" spans="1:17" x14ac:dyDescent="0.25">
      <c r="A367" s="20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Log'!$E$2:$V$70,
    MATCH(1,
      ('Golf Log'!$A$2:$A$70=$A367)*
      ('Golf Log'!$B$2:$B$70=$B367)*
      ('Golf Log'!$C$2:$C$70=$C367),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Log'!$E$2:$V$70,
    MATCH(1,
      ('Putt Log'!$A$2:$A$70=$A367)*
      ('Putt Log'!$B$2:$B$70=$B367)*
      ('Putt Log'!$C$2:$C$70=$C367),
    0),
    MATCH($G367,'Putt Log'!$E$1:$V$1,0)
  ),
"")</f>
        <v>2</v>
      </c>
      <c r="P367" t="str" cm="1">
        <f t="array" ref="P367">IF(K367=3,"",
  IFERROR(
    INDEX('Fairway Log'!$E$2:$V$70,
      MATCH(1,
        ('Fairway Log'!$A$2:$A$70=$A367)*
        ('Fairway Log'!$B$2:$B$70=$B367)*
        ('Fairway Log'!$C$2:$C438=$C367),
      0),
      MATCH($G367,'Fairway Log'!$E$1:$V$1,0)
    ),
  "")
)</f>
        <v>→</v>
      </c>
      <c r="Q367" cm="1">
        <f t="array" ref="Q367">IFERROR(
  INDEX('GIR Log'!$E$2:$V$70,
    MATCH(1,
      ('GIR Log'!$A$2:$A$70=$A367)*
      ('GIR Log'!$B$2:$B$70=$B367)*
      ('GIR Log'!$C$2:$C$70=$C367),
    0),
    MATCH($G367,'GIR Log'!$E$1:$V$1,0)
  ),
"")</f>
        <v>0</v>
      </c>
    </row>
    <row r="368" spans="1:17" x14ac:dyDescent="0.25">
      <c r="A368" s="20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Log'!$E$2:$V$70,
    MATCH(1,
      ('Golf Log'!$A$2:$A$70=$A368)*
      ('Golf Log'!$B$2:$B$70=$B368)*
      ('Golf Log'!$C$2:$C$70=$C368),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Log'!$E$2:$V$70,
    MATCH(1,
      ('Putt Log'!$A$2:$A$70=$A368)*
      ('Putt Log'!$B$2:$B$70=$B368)*
      ('Putt Log'!$C$2:$C$70=$C368),
    0),
    MATCH($G368,'Putt Log'!$E$1:$V$1,0)
  ),
"")</f>
        <v>2</v>
      </c>
      <c r="P368" t="str" cm="1">
        <f t="array" ref="P368">IF(K368=3,"",
  IFERROR(
    INDEX('Fairway Log'!$E$2:$V$70,
      MATCH(1,
        ('Fairway Log'!$A$2:$A$70=$A368)*
        ('Fairway Log'!$B$2:$B$70=$B368)*
        ('Fairway Log'!$C$2:$C439=$C368),
      0),
      MATCH($G368,'Fairway Log'!$E$1:$V$1,0)
    ),
  "")
)</f>
        <v/>
      </c>
      <c r="Q368" cm="1">
        <f t="array" ref="Q368">IFERROR(
  INDEX('GIR Log'!$E$2:$V$70,
    MATCH(1,
      ('GIR Log'!$A$2:$A$70=$A368)*
      ('GIR Log'!$B$2:$B$70=$B368)*
      ('GIR Log'!$C$2:$C$70=$C368),
    0),
    MATCH($G368,'GIR Log'!$E$1:$V$1,0)
  ),
"")</f>
        <v>0</v>
      </c>
    </row>
    <row r="369" spans="1:17" x14ac:dyDescent="0.25">
      <c r="A369" s="20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Log'!$E$2:$V$70,
    MATCH(1,
      ('Golf Log'!$A$2:$A$70=$A369)*
      ('Golf Log'!$B$2:$B$70=$B369)*
      ('Golf Log'!$C$2:$C$70=$C369),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Log'!$E$2:$V$70,
    MATCH(1,
      ('Putt Log'!$A$2:$A$70=$A369)*
      ('Putt Log'!$B$2:$B$70=$B369)*
      ('Putt Log'!$C$2:$C$70=$C369),
    0),
    MATCH($G369,'Putt Log'!$E$1:$V$1,0)
  ),
"")</f>
        <v>2</v>
      </c>
      <c r="P369" cm="1">
        <f t="array" ref="P369">IF(K369=3,"",
  IFERROR(
    INDEX('Fairway Log'!$E$2:$V$70,
      MATCH(1,
        ('Fairway Log'!$A$2:$A$70=$A369)*
        ('Fairway Log'!$B$2:$B$70=$B369)*
        ('Fairway Log'!$C$2:$C440=$C369),
      0),
      MATCH($G369,'Fairway Log'!$E$1:$V$1,0)
    ),
  "")
)</f>
        <v>1</v>
      </c>
      <c r="Q369" cm="1">
        <f t="array" ref="Q369">IFERROR(
  INDEX('GIR Log'!$E$2:$V$70,
    MATCH(1,
      ('GIR Log'!$A$2:$A$70=$A369)*
      ('GIR Log'!$B$2:$B$70=$B369)*
      ('GIR Log'!$C$2:$C$70=$C369),
    0),
    MATCH($G369,'GIR Log'!$E$1:$V$1,0)
  ),
"")</f>
        <v>1</v>
      </c>
    </row>
    <row r="370" spans="1:17" x14ac:dyDescent="0.25">
      <c r="A370" s="20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Log'!$E$2:$V$70,
    MATCH(1,
      ('Golf Log'!$A$2:$A$70=$A370)*
      ('Golf Log'!$B$2:$B$70=$B370)*
      ('Golf Log'!$C$2:$C$70=$C370),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Log'!$E$2:$V$70,
    MATCH(1,
      ('Putt Log'!$A$2:$A$70=$A370)*
      ('Putt Log'!$B$2:$B$70=$B370)*
      ('Putt Log'!$C$2:$C$70=$C370),
    0),
    MATCH($G370,'Putt Log'!$E$1:$V$1,0)
  ),
"")</f>
        <v>2</v>
      </c>
      <c r="P370" t="str" cm="1">
        <f t="array" ref="P370">IF(K370=3,"",
  IFERROR(
    INDEX('Fairway Log'!$E$2:$V$70,
      MATCH(1,
        ('Fairway Log'!$A$2:$A$70=$A370)*
        ('Fairway Log'!$B$2:$B$70=$B370)*
        ('Fairway Log'!$C$2:$C441=$C370),
      0),
      MATCH($G370,'Fairway Log'!$E$1:$V$1,0)
    ),
  "")
)</f>
        <v>↑</v>
      </c>
      <c r="Q370" cm="1">
        <f t="array" ref="Q370">IFERROR(
  INDEX('GIR Log'!$E$2:$V$70,
    MATCH(1,
      ('GIR Log'!$A$2:$A$70=$A370)*
      ('GIR Log'!$B$2:$B$70=$B370)*
      ('GIR Log'!$C$2:$C$70=$C370),
    0),
    MATCH($G370,'GIR Log'!$E$1:$V$1,0)
  ),
"")</f>
        <v>0</v>
      </c>
    </row>
    <row r="371" spans="1:17" x14ac:dyDescent="0.25">
      <c r="A371" s="20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Log'!$E$2:$V$70,
    MATCH(1,
      ('Golf Log'!$A$2:$A$70=$A371)*
      ('Golf Log'!$B$2:$B$70=$B371)*
      ('Golf Log'!$C$2:$C$70=$C371),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Log'!$E$2:$V$70,
    MATCH(1,
      ('Putt Log'!$A$2:$A$70=$A371)*
      ('Putt Log'!$B$2:$B$70=$B371)*
      ('Putt Log'!$C$2:$C$70=$C371),
    0),
    MATCH($G371,'Putt Log'!$E$1:$V$1,0)
  ),
"")</f>
        <v>2</v>
      </c>
      <c r="P371" cm="1">
        <f t="array" ref="P371">IF(K371=3,"",
  IFERROR(
    INDEX('Fairway Log'!$E$2:$V$70,
      MATCH(1,
        ('Fairway Log'!$A$2:$A$70=$A371)*
        ('Fairway Log'!$B$2:$B$70=$B371)*
        ('Fairway Log'!$C$2:$C442=$C371),
      0),
      MATCH($G371,'Fairway Log'!$E$1:$V$1,0)
    ),
  "")
)</f>
        <v>1</v>
      </c>
      <c r="Q371" cm="1">
        <f t="array" ref="Q371">IFERROR(
  INDEX('GIR Log'!$E$2:$V$70,
    MATCH(1,
      ('GIR Log'!$A$2:$A$70=$A371)*
      ('GIR Log'!$B$2:$B$70=$B371)*
      ('GIR Log'!$C$2:$C$70=$C371),
    0),
    MATCH($G371,'GIR Log'!$E$1:$V$1,0)
  ),
"")</f>
        <v>0</v>
      </c>
    </row>
    <row r="372" spans="1:17" x14ac:dyDescent="0.25">
      <c r="A372" s="20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Log'!$E$2:$V$70,
    MATCH(1,
      ('Golf Log'!$A$2:$A$70=$A372)*
      ('Golf Log'!$B$2:$B$70=$B372)*
      ('Golf Log'!$C$2:$C$70=$C372),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Log'!$E$2:$V$70,
    MATCH(1,
      ('Putt Log'!$A$2:$A$70=$A372)*
      ('Putt Log'!$B$2:$B$70=$B372)*
      ('Putt Log'!$C$2:$C$70=$C372),
    0),
    MATCH($G372,'Putt Log'!$E$1:$V$1,0)
  ),
"")</f>
        <v>2</v>
      </c>
      <c r="P372" t="str" cm="1">
        <f t="array" ref="P372">IF(K372=3,"",
  IFERROR(
    INDEX('Fairway Log'!$E$2:$V$70,
      MATCH(1,
        ('Fairway Log'!$A$2:$A$70=$A372)*
        ('Fairway Log'!$B$2:$B$70=$B372)*
        ('Fairway Log'!$C$2:$C443=$C372),
      0),
      MATCH($G372,'Fairway Log'!$E$1:$V$1,0)
    ),
  "")
)</f>
        <v/>
      </c>
      <c r="Q372" cm="1">
        <f t="array" ref="Q372">IFERROR(
  INDEX('GIR Log'!$E$2:$V$70,
    MATCH(1,
      ('GIR Log'!$A$2:$A$70=$A372)*
      ('GIR Log'!$B$2:$B$70=$B372)*
      ('GIR Log'!$C$2:$C$70=$C372),
    0),
    MATCH($G372,'GIR Log'!$E$1:$V$1,0)
  ),
"")</f>
        <v>1</v>
      </c>
    </row>
    <row r="373" spans="1:17" x14ac:dyDescent="0.25">
      <c r="A373" s="20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Log'!$E$2:$V$70,
    MATCH(1,
      ('Golf Log'!$A$2:$A$70=$A373)*
      ('Golf Log'!$B$2:$B$70=$B373)*
      ('Golf Log'!$C$2:$C$70=$C373),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Log'!$E$2:$V$70,
    MATCH(1,
      ('Putt Log'!$A$2:$A$70=$A373)*
      ('Putt Log'!$B$2:$B$70=$B373)*
      ('Putt Log'!$C$2:$C$70=$C373),
    0),
    MATCH($G373,'Putt Log'!$E$1:$V$1,0)
  ),
"")</f>
        <v>3</v>
      </c>
      <c r="P373" t="str" cm="1">
        <f t="array" ref="P373">IF(K373=3,"",
  IFERROR(
    INDEX('Fairway Log'!$E$2:$V$70,
      MATCH(1,
        ('Fairway Log'!$A$2:$A$70=$A373)*
        ('Fairway Log'!$B$2:$B$70=$B373)*
        ('Fairway Log'!$C$2:$C444=$C373),
      0),
      MATCH($G373,'Fairway Log'!$E$1:$V$1,0)
    ),
  "")
)</f>
        <v>→</v>
      </c>
      <c r="Q373" cm="1">
        <f t="array" ref="Q373">IFERROR(
  INDEX('GIR Log'!$E$2:$V$70,
    MATCH(1,
      ('GIR Log'!$A$2:$A$70=$A373)*
      ('GIR Log'!$B$2:$B$70=$B373)*
      ('GIR Log'!$C$2:$C$70=$C373),
    0),
    MATCH($G373,'GIR Log'!$E$1:$V$1,0)
  ),
"")</f>
        <v>1</v>
      </c>
    </row>
    <row r="374" spans="1:17" x14ac:dyDescent="0.25">
      <c r="A374" s="20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Log'!$E$2:$V$70,
    MATCH(1,
      ('Golf Log'!$A$2:$A$70=$A374)*
      ('Golf Log'!$B$2:$B$70=$B374)*
      ('Golf Log'!$C$2:$C$70=$C374),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Log'!$E$2:$V$70,
    MATCH(1,
      ('Putt Log'!$A$2:$A$70=$A374)*
      ('Putt Log'!$B$2:$B$70=$B374)*
      ('Putt Log'!$C$2:$C$70=$C374),
    0),
    MATCH($G374,'Putt Log'!$E$1:$V$1,0)
  ),
"")</f>
        <v>1</v>
      </c>
      <c r="P374" t="str" cm="1">
        <f t="array" ref="P374">IF(K374=3,"",
  IFERROR(
    INDEX('Fairway Log'!$E$2:$V$70,
      MATCH(1,
        ('Fairway Log'!$A$2:$A$70=$A374)*
        ('Fairway Log'!$B$2:$B$70=$B374)*
        ('Fairway Log'!$C$2:$C445=$C374),
      0),
      MATCH($G374,'Fairway Log'!$E$1:$V$1,0)
    ),
  "")
)</f>
        <v>←</v>
      </c>
      <c r="Q374" cm="1">
        <f t="array" ref="Q374">IFERROR(
  INDEX('GIR Log'!$E$2:$V$70,
    MATCH(1,
      ('GIR Log'!$A$2:$A$70=$A374)*
      ('GIR Log'!$B$2:$B$70=$B374)*
      ('GIR Log'!$C$2:$C$70=$C374),
    0),
    MATCH($G374,'GIR Log'!$E$1:$V$1,0)
  ),
"")</f>
        <v>0</v>
      </c>
    </row>
    <row r="375" spans="1:17" x14ac:dyDescent="0.25">
      <c r="A375" s="20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Log'!$E$2:$V$70,
    MATCH(1,
      ('Golf Log'!$A$2:$A$70=$A375)*
      ('Golf Log'!$B$2:$B$70=$B375)*
      ('Golf Log'!$C$2:$C$70=$C375),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Log'!$E$2:$V$70,
    MATCH(1,
      ('Putt Log'!$A$2:$A$70=$A375)*
      ('Putt Log'!$B$2:$B$70=$B375)*
      ('Putt Log'!$C$2:$C$70=$C375),
    0),
    MATCH($G375,'Putt Log'!$E$1:$V$1,0)
  ),
"")</f>
        <v>2</v>
      </c>
      <c r="P375" t="str" cm="1">
        <f t="array" ref="P375">IF(K375=3,"",
  IFERROR(
    INDEX('Fairway Log'!$E$2:$V$70,
      MATCH(1,
        ('Fairway Log'!$A$2:$A$70=$A375)*
        ('Fairway Log'!$B$2:$B$70=$B375)*
        ('Fairway Log'!$C$2:$C446=$C375),
      0),
      MATCH($G375,'Fairway Log'!$E$1:$V$1,0)
    ),
  "")
)</f>
        <v/>
      </c>
      <c r="Q375" cm="1">
        <f t="array" ref="Q375">IFERROR(
  INDEX('GIR Log'!$E$2:$V$70,
    MATCH(1,
      ('GIR Log'!$A$2:$A$70=$A375)*
      ('GIR Log'!$B$2:$B$70=$B375)*
      ('GIR Log'!$C$2:$C$70=$C375),
    0),
    MATCH($G375,'GIR Log'!$E$1:$V$1,0)
  ),
"")</f>
        <v>1</v>
      </c>
    </row>
    <row r="376" spans="1:17" x14ac:dyDescent="0.25">
      <c r="A376" s="20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Log'!$E$2:$V$70,
    MATCH(1,
      ('Golf Log'!$A$2:$A$70=$A376)*
      ('Golf Log'!$B$2:$B$70=$B376)*
      ('Golf Log'!$C$2:$C$70=$C376),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Log'!$E$2:$V$70,
    MATCH(1,
      ('Putt Log'!$A$2:$A$70=$A376)*
      ('Putt Log'!$B$2:$B$70=$B376)*
      ('Putt Log'!$C$2:$C$70=$C376),
    0),
    MATCH($G376,'Putt Log'!$E$1:$V$1,0)
  ),
"")</f>
        <v>2</v>
      </c>
      <c r="P376" t="str" cm="1">
        <f t="array" ref="P376">IF(K376=3,"",
  IFERROR(
    INDEX('Fairway Log'!$E$2:$V$70,
      MATCH(1,
        ('Fairway Log'!$A$2:$A$70=$A376)*
        ('Fairway Log'!$B$2:$B$70=$B376)*
        ('Fairway Log'!$C$2:$C447=$C376),
      0),
      MATCH($G376,'Fairway Log'!$E$1:$V$1,0)
    ),
  "")
)</f>
        <v>→</v>
      </c>
      <c r="Q376" cm="1">
        <f t="array" ref="Q376">IFERROR(
  INDEX('GIR Log'!$E$2:$V$70,
    MATCH(1,
      ('GIR Log'!$A$2:$A$70=$A376)*
      ('GIR Log'!$B$2:$B$70=$B376)*
      ('GIR Log'!$C$2:$C$70=$C376),
    0),
    MATCH($G376,'GIR Log'!$E$1:$V$1,0)
  ),
"")</f>
        <v>1</v>
      </c>
    </row>
    <row r="377" spans="1:17" x14ac:dyDescent="0.25">
      <c r="A377" s="20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Log'!$E$2:$V$70,
    MATCH(1,
      ('Golf Log'!$A$2:$A$70=$A377)*
      ('Golf Log'!$B$2:$B$70=$B377)*
      ('Golf Log'!$C$2:$C$70=$C377),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Log'!$E$2:$V$70,
    MATCH(1,
      ('Putt Log'!$A$2:$A$70=$A377)*
      ('Putt Log'!$B$2:$B$70=$B377)*
      ('Putt Log'!$C$2:$C$70=$C377),
    0),
    MATCH($G377,'Putt Log'!$E$1:$V$1,0)
  ),
"")</f>
        <v>2</v>
      </c>
      <c r="P377" t="str" cm="1">
        <f t="array" ref="P377">IF(K377=3,"",
  IFERROR(
    INDEX('Fairway Log'!$E$2:$V$70,
      MATCH(1,
        ('Fairway Log'!$A$2:$A$70=$A377)*
        ('Fairway Log'!$B$2:$B$70=$B377)*
        ('Fairway Log'!$C$2:$C448=$C377),
      0),
      MATCH($G377,'Fairway Log'!$E$1:$V$1,0)
    ),
  "")
)</f>
        <v>←</v>
      </c>
      <c r="Q377" cm="1">
        <f t="array" ref="Q377">IFERROR(
  INDEX('GIR Log'!$E$2:$V$70,
    MATCH(1,
      ('GIR Log'!$A$2:$A$70=$A377)*
      ('GIR Log'!$B$2:$B$70=$B377)*
      ('GIR Log'!$C$2:$C$70=$C377),
    0),
    MATCH($G377,'GIR Log'!$E$1:$V$1,0)
  ),
"")</f>
        <v>0</v>
      </c>
    </row>
    <row r="378" spans="1:17" x14ac:dyDescent="0.25">
      <c r="A378" s="20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Log'!$E$2:$V$70,
    MATCH(1,
      ('Golf Log'!$A$2:$A$70=$A378)*
      ('Golf Log'!$B$2:$B$70=$B378)*
      ('Golf Log'!$C$2:$C$70=$C378),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Log'!$E$2:$V$70,
    MATCH(1,
      ('Putt Log'!$A$2:$A$70=$A378)*
      ('Putt Log'!$B$2:$B$70=$B378)*
      ('Putt Log'!$C$2:$C$70=$C378),
    0),
    MATCH($G378,'Putt Log'!$E$1:$V$1,0)
  ),
"")</f>
        <v>2</v>
      </c>
      <c r="P378" t="str" cm="1">
        <f t="array" ref="P378">IF(K378=3,"",
  IFERROR(
    INDEX('Fairway Log'!$E$2:$V$70,
      MATCH(1,
        ('Fairway Log'!$A$2:$A$70=$A378)*
        ('Fairway Log'!$B$2:$B$70=$B378)*
        ('Fairway Log'!$C$2:$C449=$C378),
      0),
      MATCH($G378,'Fairway Log'!$E$1:$V$1,0)
    ),
  "")
)</f>
        <v>←</v>
      </c>
      <c r="Q378" cm="1">
        <f t="array" ref="Q378">IFERROR(
  INDEX('GIR Log'!$E$2:$V$70,
    MATCH(1,
      ('GIR Log'!$A$2:$A$70=$A378)*
      ('GIR Log'!$B$2:$B$70=$B378)*
      ('GIR Log'!$C$2:$C$70=$C378),
    0),
    MATCH($G378,'GIR Log'!$E$1:$V$1,0)
  ),
"")</f>
        <v>0</v>
      </c>
    </row>
    <row r="379" spans="1:17" x14ac:dyDescent="0.25">
      <c r="A379" s="20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Log'!$E$2:$V$70,
    MATCH(1,
      ('Golf Log'!$A$2:$A$70=$A379)*
      ('Golf Log'!$B$2:$B$70=$B379)*
      ('Golf Log'!$C$2:$C$70=$C379),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Log'!$E$2:$V$70,
    MATCH(1,
      ('Putt Log'!$A$2:$A$70=$A379)*
      ('Putt Log'!$B$2:$B$70=$B379)*
      ('Putt Log'!$C$2:$C$70=$C379),
    0),
    MATCH($G379,'Putt Log'!$E$1:$V$1,0)
  ),
"")</f>
        <v>2</v>
      </c>
      <c r="P379" cm="1">
        <f t="array" ref="P379">IF(K379=3,"",
  IFERROR(
    INDEX('Fairway Log'!$E$2:$V$70,
      MATCH(1,
        ('Fairway Log'!$A$2:$A$70=$A379)*
        ('Fairway Log'!$B$2:$B$70=$B379)*
        ('Fairway Log'!$C$2:$C450=$C379),
      0),
      MATCH($G379,'Fairway Log'!$E$1:$V$1,0)
    ),
  "")
)</f>
        <v>1</v>
      </c>
      <c r="Q379" cm="1">
        <f t="array" ref="Q379">IFERROR(
  INDEX('GIR Log'!$E$2:$V$70,
    MATCH(1,
      ('GIR Log'!$A$2:$A$70=$A379)*
      ('GIR Log'!$B$2:$B$70=$B379)*
      ('GIR Log'!$C$2:$C$70=$C379),
    0),
    MATCH($G379,'GIR Log'!$E$1:$V$1,0)
  ),
"")</f>
        <v>0</v>
      </c>
    </row>
    <row r="380" spans="1:17" x14ac:dyDescent="0.25">
      <c r="A380" s="20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Log'!$E$2:$V$70,
    MATCH(1,
      ('Golf Log'!$A$2:$A$70=$A380)*
      ('Golf Log'!$B$2:$B$70=$B380)*
      ('Golf Log'!$C$2:$C$70=$C380),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Log'!$E$2:$V$70,
    MATCH(1,
      ('Putt Log'!$A$2:$A$70=$A380)*
      ('Putt Log'!$B$2:$B$70=$B380)*
      ('Putt Log'!$C$2:$C$70=$C380),
    0),
    MATCH($G380,'Putt Log'!$E$1:$V$1,0)
  ),
"")</f>
        <v>2</v>
      </c>
      <c r="P380" t="str" cm="1">
        <f t="array" ref="P380">IF(K380=3,"",
  IFERROR(
    INDEX('Fairway Log'!$E$2:$V$70,
      MATCH(1,
        ('Fairway Log'!$A$2:$A$70=$A380)*
        ('Fairway Log'!$B$2:$B$70=$B380)*
        ('Fairway Log'!$C$2:$C451=$C380),
      0),
      MATCH($G380,'Fairway Log'!$E$1:$V$1,0)
    ),
  "")
)</f>
        <v>←</v>
      </c>
      <c r="Q380" cm="1">
        <f t="array" ref="Q380">IFERROR(
  INDEX('GIR Log'!$E$2:$V$70,
    MATCH(1,
      ('GIR Log'!$A$2:$A$70=$A380)*
      ('GIR Log'!$B$2:$B$70=$B380)*
      ('GIR Log'!$C$2:$C$70=$C380),
    0),
    MATCH($G380,'GIR Log'!$E$1:$V$1,0)
  ),
"")</f>
        <v>0</v>
      </c>
    </row>
    <row r="381" spans="1:17" x14ac:dyDescent="0.25">
      <c r="A381" s="20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Log'!$E$2:$V$70,
    MATCH(1,
      ('Golf Log'!$A$2:$A$70=$A381)*
      ('Golf Log'!$B$2:$B$70=$B381)*
      ('Golf Log'!$C$2:$C$70=$C381),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Log'!$E$2:$V$70,
    MATCH(1,
      ('Putt Log'!$A$2:$A$70=$A381)*
      ('Putt Log'!$B$2:$B$70=$B381)*
      ('Putt Log'!$C$2:$C$70=$C381),
    0),
    MATCH($G381,'Putt Log'!$E$1:$V$1,0)
  ),
"")</f>
        <v>2</v>
      </c>
      <c r="P381" cm="1">
        <f t="array" ref="P381">IF(K381=3,"",
  IFERROR(
    INDEX('Fairway Log'!$E$2:$V$70,
      MATCH(1,
        ('Fairway Log'!$A$2:$A$70=$A381)*
        ('Fairway Log'!$B$2:$B$70=$B381)*
        ('Fairway Log'!$C$2:$C452=$C381),
      0),
      MATCH($G381,'Fairway Log'!$E$1:$V$1,0)
    ),
  "")
)</f>
        <v>1</v>
      </c>
      <c r="Q381" cm="1">
        <f t="array" ref="Q381">IFERROR(
  INDEX('GIR Log'!$E$2:$V$70,
    MATCH(1,
      ('GIR Log'!$A$2:$A$70=$A381)*
      ('GIR Log'!$B$2:$B$70=$B381)*
      ('GIR Log'!$C$2:$C$70=$C381),
    0),
    MATCH($G381,'GIR Log'!$E$1:$V$1,0)
  ),
"")</f>
        <v>0</v>
      </c>
    </row>
    <row r="382" spans="1:17" x14ac:dyDescent="0.25">
      <c r="A382" s="20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Log'!$E$2:$V$70,
    MATCH(1,
      ('Golf Log'!$A$2:$A$70=$A382)*
      ('Golf Log'!$B$2:$B$70=$B382)*
      ('Golf Log'!$C$2:$C$70=$C382),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Log'!$E$2:$V$70,
    MATCH(1,
      ('Putt Log'!$A$2:$A$70=$A382)*
      ('Putt Log'!$B$2:$B$70=$B382)*
      ('Putt Log'!$C$2:$C$70=$C382),
    0),
    MATCH($G382,'Putt Log'!$E$1:$V$1,0)
  ),
"")</f>
        <v>2</v>
      </c>
      <c r="P382" t="str" cm="1">
        <f t="array" ref="P382">IF(K382=3,"",
  IFERROR(
    INDEX('Fairway Log'!$E$2:$V$70,
      MATCH(1,
        ('Fairway Log'!$A$2:$A$70=$A382)*
        ('Fairway Log'!$B$2:$B$70=$B382)*
        ('Fairway Log'!$C$2:$C453=$C382),
      0),
      MATCH($G382,'Fairway Log'!$E$1:$V$1,0)
    ),
  "")
)</f>
        <v/>
      </c>
      <c r="Q382" cm="1">
        <f t="array" ref="Q382">IFERROR(
  INDEX('GIR Log'!$E$2:$V$70,
    MATCH(1,
      ('GIR Log'!$A$2:$A$70=$A382)*
      ('GIR Log'!$B$2:$B$70=$B382)*
      ('GIR Log'!$C$2:$C$70=$C382),
    0),
    MATCH($G382,'GIR Log'!$E$1:$V$1,0)
  ),
"")</f>
        <v>0</v>
      </c>
    </row>
    <row r="383" spans="1:17" x14ac:dyDescent="0.25">
      <c r="A383" s="20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Log'!$E$2:$V$70,
    MATCH(1,
      ('Golf Log'!$A$2:$A$70=$A383)*
      ('Golf Log'!$B$2:$B$70=$B383)*
      ('Golf Log'!$C$2:$C$70=$C383),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Log'!$E$2:$V$70,
    MATCH(1,
      ('Putt Log'!$A$2:$A$70=$A383)*
      ('Putt Log'!$B$2:$B$70=$B383)*
      ('Putt Log'!$C$2:$C$70=$C383),
    0),
    MATCH($G383,'Putt Log'!$E$1:$V$1,0)
  ),
"")</f>
        <v>2</v>
      </c>
      <c r="P383" t="str" cm="1">
        <f t="array" ref="P383">IF(K383=3,"",
  IFERROR(
    INDEX('Fairway Log'!$E$2:$V$70,
      MATCH(1,
        ('Fairway Log'!$A$2:$A$70=$A383)*
        ('Fairway Log'!$B$2:$B$70=$B383)*
        ('Fairway Log'!$C$2:$C454=$C383),
      0),
      MATCH($G383,'Fairway Log'!$E$1:$V$1,0)
    ),
  "")
)</f>
        <v>↑</v>
      </c>
      <c r="Q383" cm="1">
        <f t="array" ref="Q383">IFERROR(
  INDEX('GIR Log'!$E$2:$V$70,
    MATCH(1,
      ('GIR Log'!$A$2:$A$70=$A383)*
      ('GIR Log'!$B$2:$B$70=$B383)*
      ('GIR Log'!$C$2:$C$70=$C383),
    0),
    MATCH($G383,'GIR Log'!$E$1:$V$1,0)
  ),
"")</f>
        <v>0</v>
      </c>
    </row>
    <row r="384" spans="1:17" x14ac:dyDescent="0.25">
      <c r="A384" s="20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Log'!$E$2:$V$70,
    MATCH(1,
      ('Golf Log'!$A$2:$A$70=$A384)*
      ('Golf Log'!$B$2:$B$70=$B384)*
      ('Golf Log'!$C$2:$C$70=$C384),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Log'!$E$2:$V$70,
    MATCH(1,
      ('Putt Log'!$A$2:$A$70=$A384)*
      ('Putt Log'!$B$2:$B$70=$B384)*
      ('Putt Log'!$C$2:$C$70=$C384),
    0),
    MATCH($G384,'Putt Log'!$E$1:$V$1,0)
  ),
"")</f>
        <v>3</v>
      </c>
      <c r="P384" cm="1">
        <f t="array" ref="P384">IF(K384=3,"",
  IFERROR(
    INDEX('Fairway Log'!$E$2:$V$70,
      MATCH(1,
        ('Fairway Log'!$A$2:$A$70=$A384)*
        ('Fairway Log'!$B$2:$B$70=$B384)*
        ('Fairway Log'!$C$2:$C455=$C384),
      0),
      MATCH($G384,'Fairway Log'!$E$1:$V$1,0)
    ),
  "")
)</f>
        <v>1</v>
      </c>
      <c r="Q384" cm="1">
        <f t="array" ref="Q384">IFERROR(
  INDEX('GIR Log'!$E$2:$V$70,
    MATCH(1,
      ('GIR Log'!$A$2:$A$70=$A384)*
      ('GIR Log'!$B$2:$B$70=$B384)*
      ('GIR Log'!$C$2:$C$70=$C384),
    0),
    MATCH($G384,'GIR Log'!$E$1:$V$1,0)
  ),
"")</f>
        <v>0</v>
      </c>
    </row>
    <row r="385" spans="1:17" x14ac:dyDescent="0.25">
      <c r="A385" s="20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Log'!$E$2:$V$70,
    MATCH(1,
      ('Golf Log'!$A$2:$A$70=$A385)*
      ('Golf Log'!$B$2:$B$70=$B385)*
      ('Golf Log'!$C$2:$C$70=$C385),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Log'!$E$2:$V$70,
    MATCH(1,
      ('Putt Log'!$A$2:$A$70=$A385)*
      ('Putt Log'!$B$2:$B$70=$B385)*
      ('Putt Log'!$C$2:$C$70=$C385),
    0),
    MATCH($G385,'Putt Log'!$E$1:$V$1,0)
  ),
"")</f>
        <v>2</v>
      </c>
      <c r="P385" t="str" cm="1">
        <f t="array" ref="P385">IF(K385=3,"",
  IFERROR(
    INDEX('Fairway Log'!$E$2:$V$70,
      MATCH(1,
        ('Fairway Log'!$A$2:$A$70=$A385)*
        ('Fairway Log'!$B$2:$B$70=$B385)*
        ('Fairway Log'!$C$2:$C456=$C385),
      0),
      MATCH($G385,'Fairway Log'!$E$1:$V$1,0)
    ),
  "")
)</f>
        <v/>
      </c>
      <c r="Q385" cm="1">
        <f t="array" ref="Q385">IFERROR(
  INDEX('GIR Log'!$E$2:$V$70,
    MATCH(1,
      ('GIR Log'!$A$2:$A$70=$A385)*
      ('GIR Log'!$B$2:$B$70=$B385)*
      ('GIR Log'!$C$2:$C$70=$C385),
    0),
    MATCH($G385,'GIR Log'!$E$1:$V$1,0)
  ),
"")</f>
        <v>0</v>
      </c>
    </row>
    <row r="386" spans="1:17" x14ac:dyDescent="0.25">
      <c r="A386" s="20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Log'!$E$2:$V$70,
    MATCH(1,
      ('Golf Log'!$A$2:$A$70=$A386)*
      ('Golf Log'!$B$2:$B$70=$B386)*
      ('Golf Log'!$C$2:$C$70=$C386),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Log'!$E$2:$V$70,
    MATCH(1,
      ('Putt Log'!$A$2:$A$70=$A386)*
      ('Putt Log'!$B$2:$B$70=$B386)*
      ('Putt Log'!$C$2:$C$70=$C386),
    0),
    MATCH($G386,'Putt Log'!$E$1:$V$1,0)
  ),
"")</f>
        <v>2</v>
      </c>
      <c r="P386" cm="1">
        <f t="array" ref="P386">IF(K386=3,"",
  IFERROR(
    INDEX('Fairway Log'!$E$2:$V$70,
      MATCH(1,
        ('Fairway Log'!$A$2:$A$70=$A386)*
        ('Fairway Log'!$B$2:$B$70=$B386)*
        ('Fairway Log'!$C$2:$C457=$C386),
      0),
      MATCH($G386,'Fairway Log'!$E$1:$V$1,0)
    ),
  "")
)</f>
        <v>1</v>
      </c>
      <c r="Q386" cm="1">
        <f t="array" ref="Q386">IFERROR(
  INDEX('GIR Log'!$E$2:$V$70,
    MATCH(1,
      ('GIR Log'!$A$2:$A$70=$A386)*
      ('GIR Log'!$B$2:$B$70=$B386)*
      ('GIR Log'!$C$2:$C$70=$C386),
    0),
    MATCH($G386,'GIR Log'!$E$1:$V$1,0)
  ),
"")</f>
        <v>1</v>
      </c>
    </row>
    <row r="387" spans="1:17" x14ac:dyDescent="0.25">
      <c r="A387" s="20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Log'!$E$2:$V$70,
    MATCH(1,
      ('Golf Log'!$A$2:$A$70=$A387)*
      ('Golf Log'!$B$2:$B$70=$B387)*
      ('Golf Log'!$C$2:$C$70=$C387),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Log'!$E$2:$V$70,
    MATCH(1,
      ('Putt Log'!$A$2:$A$70=$A387)*
      ('Putt Log'!$B$2:$B$70=$B387)*
      ('Putt Log'!$C$2:$C$70=$C387),
    0),
    MATCH($G387,'Putt Log'!$E$1:$V$1,0)
  ),
"")</f>
        <v>2</v>
      </c>
      <c r="P387" cm="1">
        <f t="array" ref="P387">IF(K387=3,"",
  IFERROR(
    INDEX('Fairway Log'!$E$2:$V$70,
      MATCH(1,
        ('Fairway Log'!$A$2:$A$70=$A387)*
        ('Fairway Log'!$B$2:$B$70=$B387)*
        ('Fairway Log'!$C$2:$C458=$C387),
      0),
      MATCH($G387,'Fairway Log'!$E$1:$V$1,0)
    ),
  "")
)</f>
        <v>1</v>
      </c>
      <c r="Q387" cm="1">
        <f t="array" ref="Q387">IFERROR(
  INDEX('GIR Log'!$E$2:$V$70,
    MATCH(1,
      ('GIR Log'!$A$2:$A$70=$A387)*
      ('GIR Log'!$B$2:$B$70=$B387)*
      ('GIR Log'!$C$2:$C$70=$C387),
    0),
    MATCH($G387,'GIR Log'!$E$1:$V$1,0)
  ),
"")</f>
        <v>0</v>
      </c>
    </row>
    <row r="388" spans="1:17" x14ac:dyDescent="0.25">
      <c r="A388" s="20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Log'!$E$2:$V$70,
    MATCH(1,
      ('Golf Log'!$A$2:$A$70=$A388)*
      ('Golf Log'!$B$2:$B$70=$B388)*
      ('Golf Log'!$C$2:$C$70=$C388),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Log'!$E$2:$V$70,
    MATCH(1,
      ('Putt Log'!$A$2:$A$70=$A388)*
      ('Putt Log'!$B$2:$B$70=$B388)*
      ('Putt Log'!$C$2:$C$70=$C388),
    0),
    MATCH($G388,'Putt Log'!$E$1:$V$1,0)
  ),
"")</f>
        <v>2</v>
      </c>
      <c r="P388" cm="1">
        <f t="array" ref="P388">IF(K388=3,"",
  IFERROR(
    INDEX('Fairway Log'!$E$2:$V$70,
      MATCH(1,
        ('Fairway Log'!$A$2:$A$70=$A388)*
        ('Fairway Log'!$B$2:$B$70=$B388)*
        ('Fairway Log'!$C$2:$C459=$C388),
      0),
      MATCH($G388,'Fairway Log'!$E$1:$V$1,0)
    ),
  "")
)</f>
        <v>1</v>
      </c>
      <c r="Q388" cm="1">
        <f t="array" ref="Q388">IFERROR(
  INDEX('GIR Log'!$E$2:$V$70,
    MATCH(1,
      ('GIR Log'!$A$2:$A$70=$A388)*
      ('GIR Log'!$B$2:$B$70=$B388)*
      ('GIR Log'!$C$2:$C$70=$C388),
    0),
    MATCH($G388,'GIR Log'!$E$1:$V$1,0)
  ),
"")</f>
        <v>0</v>
      </c>
    </row>
    <row r="389" spans="1:17" x14ac:dyDescent="0.25">
      <c r="A389" s="20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Log'!$E$2:$V$70,
    MATCH(1,
      ('Golf Log'!$A$2:$A$70=$A389)*
      ('Golf Log'!$B$2:$B$70=$B389)*
      ('Golf Log'!$C$2:$C$70=$C389),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Log'!$E$2:$V$70,
    MATCH(1,
      ('Putt Log'!$A$2:$A$70=$A389)*
      ('Putt Log'!$B$2:$B$70=$B389)*
      ('Putt Log'!$C$2:$C$70=$C389),
    0),
    MATCH($G389,'Putt Log'!$E$1:$V$1,0)
  ),
"")</f>
        <v>2</v>
      </c>
      <c r="P389" t="str" cm="1">
        <f t="array" ref="P389">IF(K389=3,"",
  IFERROR(
    INDEX('Fairway Log'!$E$2:$V$70,
      MATCH(1,
        ('Fairway Log'!$A$2:$A$70=$A389)*
        ('Fairway Log'!$B$2:$B$70=$B389)*
        ('Fairway Log'!$C$2:$C460=$C389),
      0),
      MATCH($G389,'Fairway Log'!$E$1:$V$1,0)
    ),
  "")
)</f>
        <v>↑</v>
      </c>
      <c r="Q389" cm="1">
        <f t="array" ref="Q389">IFERROR(
  INDEX('GIR Log'!$E$2:$V$70,
    MATCH(1,
      ('GIR Log'!$A$2:$A$70=$A389)*
      ('GIR Log'!$B$2:$B$70=$B389)*
      ('GIR Log'!$C$2:$C$70=$C389),
    0),
    MATCH($G389,'GIR Log'!$E$1:$V$1,0)
  ),
"")</f>
        <v>1</v>
      </c>
    </row>
    <row r="390" spans="1:17" x14ac:dyDescent="0.25">
      <c r="A390" s="20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Log'!$E$2:$V$70,
    MATCH(1,
      ('Golf Log'!$A$2:$A$70=$A390)*
      ('Golf Log'!$B$2:$B$70=$B390)*
      ('Golf Log'!$C$2:$C$70=$C390),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Log'!$E$2:$V$70,
    MATCH(1,
      ('Putt Log'!$A$2:$A$70=$A390)*
      ('Putt Log'!$B$2:$B$70=$B390)*
      ('Putt Log'!$C$2:$C$70=$C390),
    0),
    MATCH($G390,'Putt Log'!$E$1:$V$1,0)
  ),
"")</f>
        <v>1</v>
      </c>
      <c r="P390" t="str" cm="1">
        <f t="array" ref="P390">IF(K390=3,"",
  IFERROR(
    INDEX('Fairway Log'!$E$2:$V$70,
      MATCH(1,
        ('Fairway Log'!$A$2:$A$70=$A390)*
        ('Fairway Log'!$B$2:$B$70=$B390)*
        ('Fairway Log'!$C$2:$C461=$C390),
      0),
      MATCH($G390,'Fairway Log'!$E$1:$V$1,0)
    ),
  "")
)</f>
        <v/>
      </c>
      <c r="Q390" cm="1">
        <f t="array" ref="Q390">IFERROR(
  INDEX('GIR Log'!$E$2:$V$70,
    MATCH(1,
      ('GIR Log'!$A$2:$A$70=$A390)*
      ('GIR Log'!$B$2:$B$70=$B390)*
      ('GIR Log'!$C$2:$C$70=$C390),
    0),
    MATCH($G390,'GIR Log'!$E$1:$V$1,0)
  ),
"")</f>
        <v>1</v>
      </c>
    </row>
    <row r="391" spans="1:17" x14ac:dyDescent="0.25">
      <c r="A391" s="20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Log'!$E$2:$V$70,
    MATCH(1,
      ('Golf Log'!$A$2:$A$70=$A391)*
      ('Golf Log'!$B$2:$B$70=$B391)*
      ('Golf Log'!$C$2:$C$70=$C391),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Log'!$E$2:$V$70,
    MATCH(1,
      ('Putt Log'!$A$2:$A$70=$A391)*
      ('Putt Log'!$B$2:$B$70=$B391)*
      ('Putt Log'!$C$2:$C$70=$C391),
    0),
    MATCH($G391,'Putt Log'!$E$1:$V$1,0)
  ),
"")</f>
        <v>2</v>
      </c>
      <c r="P391" cm="1">
        <f t="array" ref="P391">IF(K391=3,"",
  IFERROR(
    INDEX('Fairway Log'!$E$2:$V$70,
      MATCH(1,
        ('Fairway Log'!$A$2:$A$70=$A391)*
        ('Fairway Log'!$B$2:$B$70=$B391)*
        ('Fairway Log'!$C$2:$C462=$C391),
      0),
      MATCH($G391,'Fairway Log'!$E$1:$V$1,0)
    ),
  "")
)</f>
        <v>1</v>
      </c>
      <c r="Q391" cm="1">
        <f t="array" ref="Q391">IFERROR(
  INDEX('GIR Log'!$E$2:$V$70,
    MATCH(1,
      ('GIR Log'!$A$2:$A$70=$A391)*
      ('GIR Log'!$B$2:$B$70=$B391)*
      ('GIR Log'!$C$2:$C$70=$C391),
    0),
    MATCH($G391,'GIR Log'!$E$1:$V$1,0)
  ),
"")</f>
        <v>1</v>
      </c>
    </row>
    <row r="392" spans="1:17" x14ac:dyDescent="0.25">
      <c r="A392" s="20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Log'!$E$2:$V$70,
    MATCH(1,
      ('Golf Log'!$A$2:$A$70=$A392)*
      ('Golf Log'!$B$2:$B$70=$B392)*
      ('Golf Log'!$C$2:$C$70=$C392),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Log'!$E$2:$V$70,
    MATCH(1,
      ('Putt Log'!$A$2:$A$70=$A392)*
      ('Putt Log'!$B$2:$B$70=$B392)*
      ('Putt Log'!$C$2:$C$70=$C392),
    0),
    MATCH($G392,'Putt Log'!$E$1:$V$1,0)
  ),
"")</f>
        <v>3</v>
      </c>
      <c r="P392" cm="1">
        <f t="array" ref="P392">IF(K392=3,"",
  IFERROR(
    INDEX('Fairway Log'!$E$2:$V$70,
      MATCH(1,
        ('Fairway Log'!$A$2:$A$70=$A392)*
        ('Fairway Log'!$B$2:$B$70=$B392)*
        ('Fairway Log'!$C$2:$C463=$C392),
      0),
      MATCH($G392,'Fairway Log'!$E$1:$V$1,0)
    ),
  "")
)</f>
        <v>1</v>
      </c>
      <c r="Q392" cm="1">
        <f t="array" ref="Q392">IFERROR(
  INDEX('GIR Log'!$E$2:$V$70,
    MATCH(1,
      ('GIR Log'!$A$2:$A$70=$A392)*
      ('GIR Log'!$B$2:$B$70=$B392)*
      ('GIR Log'!$C$2:$C$70=$C392),
    0),
    MATCH($G392,'GIR Log'!$E$1:$V$1,0)
  ),
"")</f>
        <v>1</v>
      </c>
    </row>
    <row r="393" spans="1:17" x14ac:dyDescent="0.25">
      <c r="A393" s="20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Log'!$E$2:$V$70,
    MATCH(1,
      ('Golf Log'!$A$2:$A$70=$A393)*
      ('Golf Log'!$B$2:$B$70=$B393)*
      ('Golf Log'!$C$2:$C$70=$C393),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Log'!$E$2:$V$70,
    MATCH(1,
      ('Putt Log'!$A$2:$A$70=$A393)*
      ('Putt Log'!$B$2:$B$70=$B393)*
      ('Putt Log'!$C$2:$C$70=$C393),
    0),
    MATCH($G393,'Putt Log'!$E$1:$V$1,0)
  ),
"")</f>
        <v>3</v>
      </c>
      <c r="P393" t="str" cm="1">
        <f t="array" ref="P393">IF(K393=3,"",
  IFERROR(
    INDEX('Fairway Log'!$E$2:$V$70,
      MATCH(1,
        ('Fairway Log'!$A$2:$A$70=$A393)*
        ('Fairway Log'!$B$2:$B$70=$B393)*
        ('Fairway Log'!$C$2:$C464=$C393),
      0),
      MATCH($G393,'Fairway Log'!$E$1:$V$1,0)
    ),
  "")
)</f>
        <v>↑</v>
      </c>
      <c r="Q393" cm="1">
        <f t="array" ref="Q393">IFERROR(
  INDEX('GIR Log'!$E$2:$V$70,
    MATCH(1,
      ('GIR Log'!$A$2:$A$70=$A393)*
      ('GIR Log'!$B$2:$B$70=$B393)*
      ('GIR Log'!$C$2:$C$70=$C393),
    0),
    MATCH($G393,'GIR Log'!$E$1:$V$1,0)
  ),
"")</f>
        <v>1</v>
      </c>
    </row>
    <row r="394" spans="1:17" x14ac:dyDescent="0.25">
      <c r="A394" s="20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Log'!$E$2:$V$70,
    MATCH(1,
      ('Golf Log'!$A$2:$A$70=$A394)*
      ('Golf Log'!$B$2:$B$70=$B394)*
      ('Golf Log'!$C$2:$C$70=$C394),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Log'!$E$2:$V$70,
    MATCH(1,
      ('Putt Log'!$A$2:$A$70=$A394)*
      ('Putt Log'!$B$2:$B$70=$B394)*
      ('Putt Log'!$C$2:$C$70=$C394),
    0),
    MATCH($G394,'Putt Log'!$E$1:$V$1,0)
  ),
"")</f>
        <v>2</v>
      </c>
      <c r="P394" t="str" cm="1">
        <f t="array" ref="P394">IF(K394=3,"",
  IFERROR(
    INDEX('Fairway Log'!$E$2:$V$70,
      MATCH(1,
        ('Fairway Log'!$A$2:$A$70=$A394)*
        ('Fairway Log'!$B$2:$B$70=$B394)*
        ('Fairway Log'!$C$2:$C465=$C394),
      0),
      MATCH($G394,'Fairway Log'!$E$1:$V$1,0)
    ),
  "")
)</f>
        <v/>
      </c>
      <c r="Q394" cm="1">
        <f t="array" ref="Q394">IFERROR(
  INDEX('GIR Log'!$E$2:$V$70,
    MATCH(1,
      ('GIR Log'!$A$2:$A$70=$A394)*
      ('GIR Log'!$B$2:$B$70=$B394)*
      ('GIR Log'!$C$2:$C$70=$C394),
    0),
    MATCH($G394,'GIR Log'!$E$1:$V$1,0)
  ),
"")</f>
        <v>0</v>
      </c>
    </row>
    <row r="395" spans="1:17" x14ac:dyDescent="0.25">
      <c r="A395" s="20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Log'!$E$2:$V$70,
    MATCH(1,
      ('Golf Log'!$A$2:$A$70=$A395)*
      ('Golf Log'!$B$2:$B$70=$B395)*
      ('Golf Log'!$C$2:$C$70=$C395),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Log'!$E$2:$V$70,
    MATCH(1,
      ('Putt Log'!$A$2:$A$70=$A395)*
      ('Putt Log'!$B$2:$B$70=$B395)*
      ('Putt Log'!$C$2:$C$70=$C395),
    0),
    MATCH($G395,'Putt Log'!$E$1:$V$1,0)
  ),
"")</f>
        <v>2</v>
      </c>
      <c r="P395" t="str" cm="1">
        <f t="array" ref="P395">IF(K395=3,"",
  IFERROR(
    INDEX('Fairway Log'!$E$2:$V$70,
      MATCH(1,
        ('Fairway Log'!$A$2:$A$70=$A395)*
        ('Fairway Log'!$B$2:$B$70=$B395)*
        ('Fairway Log'!$C$2:$C466=$C395),
      0),
      MATCH($G395,'Fairway Log'!$E$1:$V$1,0)
    ),
  "")
)</f>
        <v>→</v>
      </c>
      <c r="Q395" cm="1">
        <f t="array" ref="Q395">IFERROR(
  INDEX('GIR Log'!$E$2:$V$70,
    MATCH(1,
      ('GIR Log'!$A$2:$A$70=$A395)*
      ('GIR Log'!$B$2:$B$70=$B395)*
      ('GIR Log'!$C$2:$C$70=$C395),
    0),
    MATCH($G395,'GIR Log'!$E$1:$V$1,0)
  ),
"")</f>
        <v>0</v>
      </c>
    </row>
    <row r="396" spans="1:17" x14ac:dyDescent="0.25">
      <c r="A396" s="20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Log'!$E$2:$V$70,
    MATCH(1,
      ('Golf Log'!$A$2:$A$70=$A396)*
      ('Golf Log'!$B$2:$B$70=$B396)*
      ('Golf Log'!$C$2:$C$70=$C396),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Log'!$E$2:$V$70,
    MATCH(1,
      ('Putt Log'!$A$2:$A$70=$A396)*
      ('Putt Log'!$B$2:$B$70=$B396)*
      ('Putt Log'!$C$2:$C$70=$C396),
    0),
    MATCH($G396,'Putt Log'!$E$1:$V$1,0)
  ),
"")</f>
        <v>1</v>
      </c>
      <c r="P396" t="str" cm="1">
        <f t="array" ref="P396">IF(K396=3,"",
  IFERROR(
    INDEX('Fairway Log'!$E$2:$V$70,
      MATCH(1,
        ('Fairway Log'!$A$2:$A$70=$A396)*
        ('Fairway Log'!$B$2:$B$70=$B396)*
        ('Fairway Log'!$C$2:$C467=$C396),
      0),
      MATCH($G396,'Fairway Log'!$E$1:$V$1,0)
    ),
  "")
)</f>
        <v>→</v>
      </c>
      <c r="Q396" cm="1">
        <f t="array" ref="Q396">IFERROR(
  INDEX('GIR Log'!$E$2:$V$70,
    MATCH(1,
      ('GIR Log'!$A$2:$A$70=$A396)*
      ('GIR Log'!$B$2:$B$70=$B396)*
      ('GIR Log'!$C$2:$C$70=$C396),
    0),
    MATCH($G396,'GIR Log'!$E$1:$V$1,0)
  ),
"")</f>
        <v>0</v>
      </c>
    </row>
    <row r="397" spans="1:17" x14ac:dyDescent="0.25">
      <c r="A397" s="20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Log'!$E$2:$V$70,
    MATCH(1,
      ('Golf Log'!$A$2:$A$70=$A397)*
      ('Golf Log'!$B$2:$B$70=$B397)*
      ('Golf Log'!$C$2:$C$70=$C397),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Log'!$E$2:$V$70,
    MATCH(1,
      ('Putt Log'!$A$2:$A$70=$A397)*
      ('Putt Log'!$B$2:$B$70=$B397)*
      ('Putt Log'!$C$2:$C$70=$C397),
    0),
    MATCH($G397,'Putt Log'!$E$1:$V$1,0)
  ),
"")</f>
        <v>2</v>
      </c>
      <c r="P397" cm="1">
        <f t="array" ref="P397">IF(K397=3,"",
  IFERROR(
    INDEX('Fairway Log'!$E$2:$V$70,
      MATCH(1,
        ('Fairway Log'!$A$2:$A$70=$A397)*
        ('Fairway Log'!$B$2:$B$70=$B397)*
        ('Fairway Log'!$C$2:$C468=$C397),
      0),
      MATCH($G397,'Fairway Log'!$E$1:$V$1,0)
    ),
  "")
)</f>
        <v>1</v>
      </c>
      <c r="Q397" cm="1">
        <f t="array" ref="Q397">IFERROR(
  INDEX('GIR Log'!$E$2:$V$70,
    MATCH(1,
      ('GIR Log'!$A$2:$A$70=$A397)*
      ('GIR Log'!$B$2:$B$70=$B397)*
      ('GIR Log'!$C$2:$C$70=$C397),
    0),
    MATCH($G397,'GIR Log'!$E$1:$V$1,0)
  ),
"")</f>
        <v>0</v>
      </c>
    </row>
    <row r="398" spans="1:17" x14ac:dyDescent="0.25">
      <c r="A398" s="20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Log'!$E$2:$V$70,
    MATCH(1,
      ('Golf Log'!$A$2:$A$70=$A398)*
      ('Golf Log'!$B$2:$B$70=$B398)*
      ('Golf Log'!$C$2:$C$70=$C398),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Log'!$E$2:$V$70,
    MATCH(1,
      ('Putt Log'!$A$2:$A$70=$A398)*
      ('Putt Log'!$B$2:$B$70=$B398)*
      ('Putt Log'!$C$2:$C$70=$C398),
    0),
    MATCH($G398,'Putt Log'!$E$1:$V$1,0)
  ),
"")</f>
        <v>2</v>
      </c>
      <c r="P398" t="str" cm="1">
        <f t="array" ref="P398">IF(K398=3,"",
  IFERROR(
    INDEX('Fairway Log'!$E$2:$V$70,
      MATCH(1,
        ('Fairway Log'!$A$2:$A$70=$A398)*
        ('Fairway Log'!$B$2:$B$70=$B398)*
        ('Fairway Log'!$C$2:$C469=$C398),
      0),
      MATCH($G398,'Fairway Log'!$E$1:$V$1,0)
    ),
  "")
)</f>
        <v>→</v>
      </c>
      <c r="Q398" cm="1">
        <f t="array" ref="Q398">IFERROR(
  INDEX('GIR Log'!$E$2:$V$70,
    MATCH(1,
      ('GIR Log'!$A$2:$A$70=$A398)*
      ('GIR Log'!$B$2:$B$70=$B398)*
      ('GIR Log'!$C$2:$C$70=$C398),
    0),
    MATCH($G398,'GIR Log'!$E$1:$V$1,0)
  ),
"")</f>
        <v>0</v>
      </c>
    </row>
    <row r="399" spans="1:17" x14ac:dyDescent="0.25">
      <c r="A399" s="20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Log'!$E$2:$V$70,
    MATCH(1,
      ('Golf Log'!$A$2:$A$70=$A399)*
      ('Golf Log'!$B$2:$B$70=$B399)*
      ('Golf Log'!$C$2:$C$70=$C399),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Log'!$E$2:$V$70,
    MATCH(1,
      ('Putt Log'!$A$2:$A$70=$A399)*
      ('Putt Log'!$B$2:$B$70=$B399)*
      ('Putt Log'!$C$2:$C$70=$C399),
    0),
    MATCH($G399,'Putt Log'!$E$1:$V$1,0)
  ),
"")</f>
        <v>2</v>
      </c>
      <c r="P399" cm="1">
        <f t="array" ref="P399">IF(K399=3,"",
  IFERROR(
    INDEX('Fairway Log'!$E$2:$V$70,
      MATCH(1,
        ('Fairway Log'!$A$2:$A$70=$A399)*
        ('Fairway Log'!$B$2:$B$70=$B399)*
        ('Fairway Log'!$C$2:$C470=$C399),
      0),
      MATCH($G399,'Fairway Log'!$E$1:$V$1,0)
    ),
  "")
)</f>
        <v>1</v>
      </c>
      <c r="Q399" cm="1">
        <f t="array" ref="Q399">IFERROR(
  INDEX('GIR Log'!$E$2:$V$70,
    MATCH(1,
      ('GIR Log'!$A$2:$A$70=$A399)*
      ('GIR Log'!$B$2:$B$70=$B399)*
      ('GIR Log'!$C$2:$C$70=$C399),
    0),
    MATCH($G399,'GIR Log'!$E$1:$V$1,0)
  ),
"")</f>
        <v>0</v>
      </c>
    </row>
    <row r="400" spans="1:17" x14ac:dyDescent="0.25">
      <c r="A400" s="20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Log'!$E$2:$V$70,
    MATCH(1,
      ('Golf Log'!$A$2:$A$70=$A400)*
      ('Golf Log'!$B$2:$B$70=$B400)*
      ('Golf Log'!$C$2:$C$70=$C400),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Log'!$E$2:$V$70,
    MATCH(1,
      ('Putt Log'!$A$2:$A$70=$A400)*
      ('Putt Log'!$B$2:$B$70=$B400)*
      ('Putt Log'!$C$2:$C$70=$C400),
    0),
    MATCH($G400,'Putt Log'!$E$1:$V$1,0)
  ),
"")</f>
        <v>2</v>
      </c>
      <c r="P400" t="str" cm="1">
        <f t="array" ref="P400">IF(K400=3,"",
  IFERROR(
    INDEX('Fairway Log'!$E$2:$V$70,
      MATCH(1,
        ('Fairway Log'!$A$2:$A$70=$A400)*
        ('Fairway Log'!$B$2:$B$70=$B400)*
        ('Fairway Log'!$C$2:$C471=$C400),
      0),
      MATCH($G400,'Fairway Log'!$E$1:$V$1,0)
    ),
  "")
)</f>
        <v>↑</v>
      </c>
      <c r="Q400" cm="1">
        <f t="array" ref="Q400">IFERROR(
  INDEX('GIR Log'!$E$2:$V$70,
    MATCH(1,
      ('GIR Log'!$A$2:$A$70=$A400)*
      ('GIR Log'!$B$2:$B$70=$B400)*
      ('GIR Log'!$C$2:$C$70=$C400),
    0),
    MATCH($G400,'GIR Log'!$E$1:$V$1,0)
  ),
"")</f>
        <v>0</v>
      </c>
    </row>
    <row r="401" spans="1:17" x14ac:dyDescent="0.25">
      <c r="A401" s="20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Log'!$E$2:$V$70,
    MATCH(1,
      ('Golf Log'!$A$2:$A$70=$A401)*
      ('Golf Log'!$B$2:$B$70=$B401)*
      ('Golf Log'!$C$2:$C$70=$C401),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Log'!$E$2:$V$70,
    MATCH(1,
      ('Putt Log'!$A$2:$A$70=$A401)*
      ('Putt Log'!$B$2:$B$70=$B401)*
      ('Putt Log'!$C$2:$C$70=$C401),
    0),
    MATCH($G401,'Putt Log'!$E$1:$V$1,0)
  ),
"")</f>
        <v>2</v>
      </c>
      <c r="P401" t="str" cm="1">
        <f t="array" ref="P401">IF(K401=3,"",
  IFERROR(
    INDEX('Fairway Log'!$E$2:$V$70,
      MATCH(1,
        ('Fairway Log'!$A$2:$A$70=$A401)*
        ('Fairway Log'!$B$2:$B$70=$B401)*
        ('Fairway Log'!$C$2:$C472=$C401),
      0),
      MATCH($G401,'Fairway Log'!$E$1:$V$1,0)
    ),
  "")
)</f>
        <v/>
      </c>
      <c r="Q401" cm="1">
        <f t="array" ref="Q401">IFERROR(
  INDEX('GIR Log'!$E$2:$V$70,
    MATCH(1,
      ('GIR Log'!$A$2:$A$70=$A401)*
      ('GIR Log'!$B$2:$B$70=$B401)*
      ('GIR Log'!$C$2:$C$70=$C401),
    0),
    MATCH($G401,'GIR Log'!$E$1:$V$1,0)
  ),
"")</f>
        <v>0</v>
      </c>
    </row>
    <row r="402" spans="1:17" x14ac:dyDescent="0.25">
      <c r="A402" s="20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Log'!$E$2:$V$70,
    MATCH(1,
      ('Golf Log'!$A$2:$A$70=$A402)*
      ('Golf Log'!$B$2:$B$70=$B402)*
      ('Golf Log'!$C$2:$C$70=$C402),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Log'!$E$2:$V$70,
    MATCH(1,
      ('Putt Log'!$A$2:$A$70=$A402)*
      ('Putt Log'!$B$2:$B$70=$B402)*
      ('Putt Log'!$C$2:$C$70=$C402),
    0),
    MATCH($G402,'Putt Log'!$E$1:$V$1,0)
  ),
"")</f>
        <v>2</v>
      </c>
      <c r="P402" t="str" cm="1">
        <f t="array" ref="P402">IF(K402=3,"",
  IFERROR(
    INDEX('Fairway Log'!$E$2:$V$70,
      MATCH(1,
        ('Fairway Log'!$A$2:$A$70=$A402)*
        ('Fairway Log'!$B$2:$B$70=$B402)*
        ('Fairway Log'!$C$2:$C473=$C402),
      0),
      MATCH($G402,'Fairway Log'!$E$1:$V$1,0)
    ),
  "")
)</f>
        <v>→</v>
      </c>
      <c r="Q402" cm="1">
        <f t="array" ref="Q402">IFERROR(
  INDEX('GIR Log'!$E$2:$V$70,
    MATCH(1,
      ('GIR Log'!$A$2:$A$70=$A402)*
      ('GIR Log'!$B$2:$B$70=$B402)*
      ('GIR Log'!$C$2:$C$70=$C402),
    0),
    MATCH($G402,'GIR Log'!$E$1:$V$1,0)
  ),
"")</f>
        <v>0</v>
      </c>
    </row>
    <row r="403" spans="1:17" x14ac:dyDescent="0.25">
      <c r="A403" s="20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Log'!$E$2:$V$70,
    MATCH(1,
      ('Golf Log'!$A$2:$A$70=$A403)*
      ('Golf Log'!$B$2:$B$70=$B403)*
      ('Golf Log'!$C$2:$C$70=$C403),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Log'!$E$2:$V$70,
    MATCH(1,
      ('Putt Log'!$A$2:$A$70=$A403)*
      ('Putt Log'!$B$2:$B$70=$B403)*
      ('Putt Log'!$C$2:$C$70=$C403),
    0),
    MATCH($G403,'Putt Log'!$E$1:$V$1,0)
  ),
"")</f>
        <v>2</v>
      </c>
      <c r="P403" cm="1">
        <f t="array" ref="P403">IF(K403=3,"",
  IFERROR(
    INDEX('Fairway Log'!$E$2:$V$70,
      MATCH(1,
        ('Fairway Log'!$A$2:$A$70=$A403)*
        ('Fairway Log'!$B$2:$B$70=$B403)*
        ('Fairway Log'!$C$2:$C474=$C403),
      0),
      MATCH($G403,'Fairway Log'!$E$1:$V$1,0)
    ),
  "")
)</f>
        <v>1</v>
      </c>
      <c r="Q403" cm="1">
        <f t="array" ref="Q403">IFERROR(
  INDEX('GIR Log'!$E$2:$V$70,
    MATCH(1,
      ('GIR Log'!$A$2:$A$70=$A403)*
      ('GIR Log'!$B$2:$B$70=$B403)*
      ('GIR Log'!$C$2:$C$70=$C403),
    0),
    MATCH($G403,'GIR Log'!$E$1:$V$1,0)
  ),
"")</f>
        <v>0</v>
      </c>
    </row>
    <row r="404" spans="1:17" x14ac:dyDescent="0.25">
      <c r="A404" s="20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Log'!$E$2:$V$70,
    MATCH(1,
      ('Golf Log'!$A$2:$A$70=$A404)*
      ('Golf Log'!$B$2:$B$70=$B404)*
      ('Golf Log'!$C$2:$C$70=$C404),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Log'!$E$2:$V$70,
    MATCH(1,
      ('Putt Log'!$A$2:$A$70=$A404)*
      ('Putt Log'!$B$2:$B$70=$B404)*
      ('Putt Log'!$C$2:$C$70=$C404),
    0),
    MATCH($G404,'Putt Log'!$E$1:$V$1,0)
  ),
"")</f>
        <v>2</v>
      </c>
      <c r="P404" cm="1">
        <f t="array" ref="P404">IF(K404=3,"",
  IFERROR(
    INDEX('Fairway Log'!$E$2:$V$70,
      MATCH(1,
        ('Fairway Log'!$A$2:$A$70=$A404)*
        ('Fairway Log'!$B$2:$B$70=$B404)*
        ('Fairway Log'!$C$2:$C475=$C404),
      0),
      MATCH($G404,'Fairway Log'!$E$1:$V$1,0)
    ),
  "")
)</f>
        <v>1</v>
      </c>
      <c r="Q404" cm="1">
        <f t="array" ref="Q404">IFERROR(
  INDEX('GIR Log'!$E$2:$V$70,
    MATCH(1,
      ('GIR Log'!$A$2:$A$70=$A404)*
      ('GIR Log'!$B$2:$B$70=$B404)*
      ('GIR Log'!$C$2:$C$70=$C404),
    0),
    MATCH($G404,'GIR Log'!$E$1:$V$1,0)
  ),
"")</f>
        <v>1</v>
      </c>
    </row>
    <row r="405" spans="1:17" x14ac:dyDescent="0.25">
      <c r="A405" s="20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Log'!$E$2:$V$70,
    MATCH(1,
      ('Golf Log'!$A$2:$A$70=$A405)*
      ('Golf Log'!$B$2:$B$70=$B405)*
      ('Golf Log'!$C$2:$C$70=$C405),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Log'!$E$2:$V$70,
    MATCH(1,
      ('Putt Log'!$A$2:$A$70=$A405)*
      ('Putt Log'!$B$2:$B$70=$B405)*
      ('Putt Log'!$C$2:$C$70=$C405),
    0),
    MATCH($G405,'Putt Log'!$E$1:$V$1,0)
  ),
"")</f>
        <v>2</v>
      </c>
      <c r="P405" t="str" cm="1">
        <f t="array" ref="P405">IF(K405=3,"",
  IFERROR(
    INDEX('Fairway Log'!$E$2:$V$70,
      MATCH(1,
        ('Fairway Log'!$A$2:$A$70=$A405)*
        ('Fairway Log'!$B$2:$B$70=$B405)*
        ('Fairway Log'!$C$2:$C476=$C405),
      0),
      MATCH($G405,'Fairway Log'!$E$1:$V$1,0)
    ),
  "")
)</f>
        <v/>
      </c>
      <c r="Q405" cm="1">
        <f t="array" ref="Q405">IFERROR(
  INDEX('GIR Log'!$E$2:$V$70,
    MATCH(1,
      ('GIR Log'!$A$2:$A$70=$A405)*
      ('GIR Log'!$B$2:$B$70=$B405)*
      ('GIR Log'!$C$2:$C$70=$C405),
    0),
    MATCH($G405,'GIR Log'!$E$1:$V$1,0)
  ),
"")</f>
        <v>1</v>
      </c>
    </row>
    <row r="406" spans="1:17" x14ac:dyDescent="0.25">
      <c r="A406" s="20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Log'!$E$2:$V$70,
    MATCH(1,
      ('Golf Log'!$A$2:$A$70=$A406)*
      ('Golf Log'!$B$2:$B$70=$B406)*
      ('Golf Log'!$C$2:$C$70=$C406),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Log'!$E$2:$V$70,
    MATCH(1,
      ('Putt Log'!$A$2:$A$70=$A406)*
      ('Putt Log'!$B$2:$B$70=$B406)*
      ('Putt Log'!$C$2:$C$70=$C406),
    0),
    MATCH($G406,'Putt Log'!$E$1:$V$1,0)
  ),
"")</f>
        <v>1</v>
      </c>
      <c r="P406" t="str" cm="1">
        <f t="array" ref="P406">IF(K406=3,"",
  IFERROR(
    INDEX('Fairway Log'!$E$2:$V$70,
      MATCH(1,
        ('Fairway Log'!$A$2:$A$70=$A406)*
        ('Fairway Log'!$B$2:$B$70=$B406)*
        ('Fairway Log'!$C$2:$C477=$C406),
      0),
      MATCH($G406,'Fairway Log'!$E$1:$V$1,0)
    ),
  "")
)</f>
        <v>→</v>
      </c>
      <c r="Q406" cm="1">
        <f t="array" ref="Q406">IFERROR(
  INDEX('GIR Log'!$E$2:$V$70,
    MATCH(1,
      ('GIR Log'!$A$2:$A$70=$A406)*
      ('GIR Log'!$B$2:$B$70=$B406)*
      ('GIR Log'!$C$2:$C$70=$C406),
    0),
    MATCH($G406,'GIR Log'!$E$1:$V$1,0)
  ),
"")</f>
        <v>0</v>
      </c>
    </row>
    <row r="407" spans="1:17" x14ac:dyDescent="0.25">
      <c r="A407" s="20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Log'!$E$2:$V$70,
    MATCH(1,
      ('Golf Log'!$A$2:$A$70=$A407)*
      ('Golf Log'!$B$2:$B$70=$B407)*
      ('Golf Log'!$C$2:$C$70=$C407),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Log'!$E$2:$V$70,
    MATCH(1,
      ('Putt Log'!$A$2:$A$70=$A407)*
      ('Putt Log'!$B$2:$B$70=$B407)*
      ('Putt Log'!$C$2:$C$70=$C407),
    0),
    MATCH($G407,'Putt Log'!$E$1:$V$1,0)
  ),
"")</f>
        <v>2</v>
      </c>
      <c r="P407" t="str" cm="1">
        <f t="array" ref="P407">IF(K407=3,"",
  IFERROR(
    INDEX('Fairway Log'!$E$2:$V$70,
      MATCH(1,
        ('Fairway Log'!$A$2:$A$70=$A407)*
        ('Fairway Log'!$B$2:$B$70=$B407)*
        ('Fairway Log'!$C$2:$C478=$C407),
      0),
      MATCH($G407,'Fairway Log'!$E$1:$V$1,0)
    ),
  "")
)</f>
        <v>↑</v>
      </c>
      <c r="Q407" cm="1">
        <f t="array" ref="Q407">IFERROR(
  INDEX('GIR Log'!$E$2:$V$70,
    MATCH(1,
      ('GIR Log'!$A$2:$A$70=$A407)*
      ('GIR Log'!$B$2:$B$70=$B407)*
      ('GIR Log'!$C$2:$C$70=$C407),
    0),
    MATCH($G407,'GIR Log'!$E$1:$V$1,0)
  ),
"")</f>
        <v>0</v>
      </c>
    </row>
    <row r="408" spans="1:17" x14ac:dyDescent="0.25">
      <c r="A408" s="20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Log'!$E$2:$V$70,
    MATCH(1,
      ('Golf Log'!$A$2:$A$70=$A408)*
      ('Golf Log'!$B$2:$B$70=$B408)*
      ('Golf Log'!$C$2:$C$70=$C408),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Log'!$E$2:$V$70,
    MATCH(1,
      ('Putt Log'!$A$2:$A$70=$A408)*
      ('Putt Log'!$B$2:$B$70=$B408)*
      ('Putt Log'!$C$2:$C$70=$C408),
    0),
    MATCH($G408,'Putt Log'!$E$1:$V$1,0)
  ),
"")</f>
        <v>2</v>
      </c>
      <c r="P408" cm="1">
        <f t="array" ref="P408">IF(K408=3,"",
  IFERROR(
    INDEX('Fairway Log'!$E$2:$V$70,
      MATCH(1,
        ('Fairway Log'!$A$2:$A$70=$A408)*
        ('Fairway Log'!$B$2:$B$70=$B408)*
        ('Fairway Log'!$C$2:$C479=$C408),
      0),
      MATCH($G408,'Fairway Log'!$E$1:$V$1,0)
    ),
  "")
)</f>
        <v>1</v>
      </c>
      <c r="Q408" cm="1">
        <f t="array" ref="Q408">IFERROR(
  INDEX('GIR Log'!$E$2:$V$70,
    MATCH(1,
      ('GIR Log'!$A$2:$A$70=$A408)*
      ('GIR Log'!$B$2:$B$70=$B408)*
      ('GIR Log'!$C$2:$C$70=$C408),
    0),
    MATCH($G408,'GIR Log'!$E$1:$V$1,0)
  ),
"")</f>
        <v>0</v>
      </c>
    </row>
    <row r="409" spans="1:17" x14ac:dyDescent="0.25">
      <c r="A409" s="20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Log'!$E$2:$V$70,
    MATCH(1,
      ('Golf Log'!$A$2:$A$70=$A409)*
      ('Golf Log'!$B$2:$B$70=$B409)*
      ('Golf Log'!$C$2:$C$70=$C409),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Log'!$E$2:$V$70,
    MATCH(1,
      ('Putt Log'!$A$2:$A$70=$A409)*
      ('Putt Log'!$B$2:$B$70=$B409)*
      ('Putt Log'!$C$2:$C$70=$C409),
    0),
    MATCH($G409,'Putt Log'!$E$1:$V$1,0)
  ),
"")</f>
        <v>2</v>
      </c>
      <c r="P409" t="str" cm="1">
        <f t="array" ref="P409">IF(K409=3,"",
  IFERROR(
    INDEX('Fairway Log'!$E$2:$V$70,
      MATCH(1,
        ('Fairway Log'!$A$2:$A$70=$A409)*
        ('Fairway Log'!$B$2:$B$70=$B409)*
        ('Fairway Log'!$C$2:$C480=$C409),
      0),
      MATCH($G409,'Fairway Log'!$E$1:$V$1,0)
    ),
  "")
)</f>
        <v>→</v>
      </c>
      <c r="Q409" cm="1">
        <f t="array" ref="Q409">IFERROR(
  INDEX('GIR Log'!$E$2:$V$70,
    MATCH(1,
      ('GIR Log'!$A$2:$A$70=$A409)*
      ('GIR Log'!$B$2:$B$70=$B409)*
      ('GIR Log'!$C$2:$C$70=$C409),
    0),
    MATCH($G409,'GIR Log'!$E$1:$V$1,0)
  ),
"")</f>
        <v>0</v>
      </c>
    </row>
    <row r="410" spans="1:17" x14ac:dyDescent="0.25">
      <c r="A410" s="20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Log'!$E$2:$V$70,
    MATCH(1,
      ('Golf Log'!$A$2:$A$70=$A410)*
      ('Golf Log'!$B$2:$B$70=$B410)*
      ('Golf Log'!$C$2:$C$70=$C410),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Log'!$E$2:$V$70,
    MATCH(1,
      ('Putt Log'!$A$2:$A$70=$A410)*
      ('Putt Log'!$B$2:$B$70=$B410)*
      ('Putt Log'!$C$2:$C$70=$C410),
    0),
    MATCH($G410,'Putt Log'!$E$1:$V$1,0)
  ),
"")</f>
        <v>2</v>
      </c>
      <c r="P410" t="str" cm="1">
        <f t="array" ref="P410">IF(K410=3,"",
  IFERROR(
    INDEX('Fairway Log'!$E$2:$V$70,
      MATCH(1,
        ('Fairway Log'!$A$2:$A$70=$A410)*
        ('Fairway Log'!$B$2:$B$70=$B410)*
        ('Fairway Log'!$C$2:$C481=$C410),
      0),
      MATCH($G410,'Fairway Log'!$E$1:$V$1,0)
    ),
  "")
)</f>
        <v/>
      </c>
      <c r="Q410" cm="1">
        <f t="array" ref="Q410">IFERROR(
  INDEX('GIR Log'!$E$2:$V$70,
    MATCH(1,
      ('GIR Log'!$A$2:$A$70=$A410)*
      ('GIR Log'!$B$2:$B$70=$B410)*
      ('GIR Log'!$C$2:$C$70=$C410),
    0),
    MATCH($G410,'GIR Log'!$E$1:$V$1,0)
  ),
"")</f>
        <v>0</v>
      </c>
    </row>
    <row r="411" spans="1:17" x14ac:dyDescent="0.25">
      <c r="A411" s="20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Log'!$E$2:$V$70,
    MATCH(1,
      ('Golf Log'!$A$2:$A$70=$A411)*
      ('Golf Log'!$B$2:$B$70=$B411)*
      ('Golf Log'!$C$2:$C$70=$C411),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Log'!$E$2:$V$70,
    MATCH(1,
      ('Putt Log'!$A$2:$A$70=$A411)*
      ('Putt Log'!$B$2:$B$70=$B411)*
      ('Putt Log'!$C$2:$C$70=$C411),
    0),
    MATCH($G411,'Putt Log'!$E$1:$V$1,0)
  ),
"")</f>
        <v>2</v>
      </c>
      <c r="P411" t="str" cm="1">
        <f t="array" ref="P411">IF(K411=3,"",
  IFERROR(
    INDEX('Fairway Log'!$E$2:$V$70,
      MATCH(1,
        ('Fairway Log'!$A$2:$A$70=$A411)*
        ('Fairway Log'!$B$2:$B$70=$B411)*
        ('Fairway Log'!$C$2:$C482=$C411),
      0),
      MATCH($G411,'Fairway Log'!$E$1:$V$1,0)
    ),
  "")
)</f>
        <v>→</v>
      </c>
      <c r="Q411" cm="1">
        <f t="array" ref="Q411">IFERROR(
  INDEX('GIR Log'!$E$2:$V$70,
    MATCH(1,
      ('GIR Log'!$A$2:$A$70=$A411)*
      ('GIR Log'!$B$2:$B$70=$B411)*
      ('GIR Log'!$C$2:$C$70=$C411),
    0),
    MATCH($G411,'GIR Log'!$E$1:$V$1,0)
  ),
"")</f>
        <v>0</v>
      </c>
    </row>
    <row r="412" spans="1:17" x14ac:dyDescent="0.25">
      <c r="A412" s="20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Log'!$E$2:$V$70,
    MATCH(1,
      ('Golf Log'!$A$2:$A$70=$A412)*
      ('Golf Log'!$B$2:$B$70=$B412)*
      ('Golf Log'!$C$2:$C$70=$C412),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Log'!$E$2:$V$70,
    MATCH(1,
      ('Putt Log'!$A$2:$A$70=$A412)*
      ('Putt Log'!$B$2:$B$70=$B412)*
      ('Putt Log'!$C$2:$C$70=$C412),
    0),
    MATCH($G412,'Putt Log'!$E$1:$V$1,0)
  ),
"")</f>
        <v>2</v>
      </c>
      <c r="P412" t="str" cm="1">
        <f t="array" ref="P412">IF(K412=3,"",
  IFERROR(
    INDEX('Fairway Log'!$E$2:$V$70,
      MATCH(1,
        ('Fairway Log'!$A$2:$A$70=$A412)*
        ('Fairway Log'!$B$2:$B$70=$B412)*
        ('Fairway Log'!$C$2:$C483=$C412),
      0),
      MATCH($G412,'Fairway Log'!$E$1:$V$1,0)
    ),
  "")
)</f>
        <v>→</v>
      </c>
      <c r="Q412" cm="1">
        <f t="array" ref="Q412">IFERROR(
  INDEX('GIR Log'!$E$2:$V$70,
    MATCH(1,
      ('GIR Log'!$A$2:$A$70=$A412)*
      ('GIR Log'!$B$2:$B$70=$B412)*
      ('GIR Log'!$C$2:$C$70=$C412),
    0),
    MATCH($G412,'GIR Log'!$E$1:$V$1,0)
  ),
"")</f>
        <v>0</v>
      </c>
    </row>
    <row r="413" spans="1:17" x14ac:dyDescent="0.25">
      <c r="A413" s="20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Log'!$E$2:$V$70,
    MATCH(1,
      ('Golf Log'!$A$2:$A$70=$A413)*
      ('Golf Log'!$B$2:$B$70=$B413)*
      ('Golf Log'!$C$2:$C$70=$C413),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Log'!$E$2:$V$70,
    MATCH(1,
      ('Putt Log'!$A$2:$A$70=$A413)*
      ('Putt Log'!$B$2:$B$70=$B413)*
      ('Putt Log'!$C$2:$C$70=$C413),
    0),
    MATCH($G413,'Putt Log'!$E$1:$V$1,0)
  ),
"")</f>
        <v>2</v>
      </c>
      <c r="P413" cm="1">
        <f t="array" ref="P413">IF(K413=3,"",
  IFERROR(
    INDEX('Fairway Log'!$E$2:$V$70,
      MATCH(1,
        ('Fairway Log'!$A$2:$A$70=$A413)*
        ('Fairway Log'!$B$2:$B$70=$B413)*
        ('Fairway Log'!$C$2:$C484=$C413),
      0),
      MATCH($G413,'Fairway Log'!$E$1:$V$1,0)
    ),
  "")
)</f>
        <v>1</v>
      </c>
      <c r="Q413" cm="1">
        <f t="array" ref="Q413">IFERROR(
  INDEX('GIR Log'!$E$2:$V$70,
    MATCH(1,
      ('GIR Log'!$A$2:$A$70=$A413)*
      ('GIR Log'!$B$2:$B$70=$B413)*
      ('GIR Log'!$C$2:$C$70=$C413),
    0),
    MATCH($G413,'GIR Log'!$E$1:$V$1,0)
  ),
"")</f>
        <v>1</v>
      </c>
    </row>
    <row r="414" spans="1:17" x14ac:dyDescent="0.25">
      <c r="A414" s="20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Log'!$E$2:$V$70,
    MATCH(1,
      ('Golf Log'!$A$2:$A$70=$A414)*
      ('Golf Log'!$B$2:$B$70=$B414)*
      ('Golf Log'!$C$2:$C$70=$C414),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Log'!$E$2:$V$70,
    MATCH(1,
      ('Putt Log'!$A$2:$A$70=$A414)*
      ('Putt Log'!$B$2:$B$70=$B414)*
      ('Putt Log'!$C$2:$C$70=$C414),
    0),
    MATCH($G414,'Putt Log'!$E$1:$V$1,0)
  ),
"")</f>
        <v>2</v>
      </c>
      <c r="P414" t="str" cm="1">
        <f t="array" ref="P414">IF(K414=3,"",
  IFERROR(
    INDEX('Fairway Log'!$E$2:$V$70,
      MATCH(1,
        ('Fairway Log'!$A$2:$A$70=$A414)*
        ('Fairway Log'!$B$2:$B$70=$B414)*
        ('Fairway Log'!$C$2:$C485=$C414),
      0),
      MATCH($G414,'Fairway Log'!$E$1:$V$1,0)
    ),
  "")
)</f>
        <v/>
      </c>
      <c r="Q414" cm="1">
        <f t="array" ref="Q414">IFERROR(
  INDEX('GIR Log'!$E$2:$V$70,
    MATCH(1,
      ('GIR Log'!$A$2:$A$70=$A414)*
      ('GIR Log'!$B$2:$B$70=$B414)*
      ('GIR Log'!$C$2:$C$70=$C414),
    0),
    MATCH($G414,'GIR Log'!$E$1:$V$1,0)
  ),
"")</f>
        <v>0</v>
      </c>
    </row>
    <row r="415" spans="1:17" x14ac:dyDescent="0.25">
      <c r="A415" s="20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Log'!$E$2:$V$70,
    MATCH(1,
      ('Golf Log'!$A$2:$A$70=$A415)*
      ('Golf Log'!$B$2:$B$70=$B415)*
      ('Golf Log'!$C$2:$C$70=$C415),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Log'!$E$2:$V$70,
    MATCH(1,
      ('Putt Log'!$A$2:$A$70=$A415)*
      ('Putt Log'!$B$2:$B$70=$B415)*
      ('Putt Log'!$C$2:$C$70=$C415),
    0),
    MATCH($G415,'Putt Log'!$E$1:$V$1,0)
  ),
"")</f>
        <v>2</v>
      </c>
      <c r="P415" cm="1">
        <f t="array" ref="P415">IF(K415=3,"",
  IFERROR(
    INDEX('Fairway Log'!$E$2:$V$70,
      MATCH(1,
        ('Fairway Log'!$A$2:$A$70=$A415)*
        ('Fairway Log'!$B$2:$B$70=$B415)*
        ('Fairway Log'!$C$2:$C486=$C415),
      0),
      MATCH($G415,'Fairway Log'!$E$1:$V$1,0)
    ),
  "")
)</f>
        <v>1</v>
      </c>
      <c r="Q415" cm="1">
        <f t="array" ref="Q415">IFERROR(
  INDEX('GIR Log'!$E$2:$V$70,
    MATCH(1,
      ('GIR Log'!$A$2:$A$70=$A415)*
      ('GIR Log'!$B$2:$B$70=$B415)*
      ('GIR Log'!$C$2:$C$70=$C415),
    0),
    MATCH($G415,'GIR Log'!$E$1:$V$1,0)
  ),
"")</f>
        <v>1</v>
      </c>
    </row>
    <row r="416" spans="1:17" x14ac:dyDescent="0.25">
      <c r="A416" s="20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Log'!$E$2:$V$70,
    MATCH(1,
      ('Golf Log'!$A$2:$A$70=$A416)*
      ('Golf Log'!$B$2:$B$70=$B416)*
      ('Golf Log'!$C$2:$C$70=$C416),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Log'!$E$2:$V$70,
    MATCH(1,
      ('Putt Log'!$A$2:$A$70=$A416)*
      ('Putt Log'!$B$2:$B$70=$B416)*
      ('Putt Log'!$C$2:$C$70=$C416),
    0),
    MATCH($G416,'Putt Log'!$E$1:$V$1,0)
  ),
"")</f>
        <v>2</v>
      </c>
      <c r="P416" t="str" cm="1">
        <f t="array" ref="P416">IF(K416=3,"",
  IFERROR(
    INDEX('Fairway Log'!$E$2:$V$70,
      MATCH(1,
        ('Fairway Log'!$A$2:$A$70=$A416)*
        ('Fairway Log'!$B$2:$B$70=$B416)*
        ('Fairway Log'!$C$2:$C487=$C416),
      0),
      MATCH($G416,'Fairway Log'!$E$1:$V$1,0)
    ),
  "")
)</f>
        <v>→</v>
      </c>
      <c r="Q416" cm="1">
        <f t="array" ref="Q416">IFERROR(
  INDEX('GIR Log'!$E$2:$V$70,
    MATCH(1,
      ('GIR Log'!$A$2:$A$70=$A416)*
      ('GIR Log'!$B$2:$B$70=$B416)*
      ('GIR Log'!$C$2:$C$70=$C416),
    0),
    MATCH($G416,'GIR Log'!$E$1:$V$1,0)
  ),
"")</f>
        <v>0</v>
      </c>
    </row>
    <row r="417" spans="1:17" x14ac:dyDescent="0.25">
      <c r="A417" s="20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Log'!$E$2:$V$70,
    MATCH(1,
      ('Golf Log'!$A$2:$A$70=$A417)*
      ('Golf Log'!$B$2:$B$70=$B417)*
      ('Golf Log'!$C$2:$C$70=$C417),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Log'!$E$2:$V$70,
    MATCH(1,
      ('Putt Log'!$A$2:$A$70=$A417)*
      ('Putt Log'!$B$2:$B$70=$B417)*
      ('Putt Log'!$C$2:$C$70=$C417),
    0),
    MATCH($G417,'Putt Log'!$E$1:$V$1,0)
  ),
"")</f>
        <v>2</v>
      </c>
      <c r="P417" t="str" cm="1">
        <f t="array" ref="P417">IF(K417=3,"",
  IFERROR(
    INDEX('Fairway Log'!$E$2:$V$70,
      MATCH(1,
        ('Fairway Log'!$A$2:$A$70=$A417)*
        ('Fairway Log'!$B$2:$B$70=$B417)*
        ('Fairway Log'!$C$2:$C488=$C417),
      0),
      MATCH($G417,'Fairway Log'!$E$1:$V$1,0)
    ),
  "")
)</f>
        <v>←</v>
      </c>
      <c r="Q417" cm="1">
        <f t="array" ref="Q417">IFERROR(
  INDEX('GIR Log'!$E$2:$V$70,
    MATCH(1,
      ('GIR Log'!$A$2:$A$70=$A417)*
      ('GIR Log'!$B$2:$B$70=$B417)*
      ('GIR Log'!$C$2:$C$70=$C417),
    0),
    MATCH($G417,'GIR Log'!$E$1:$V$1,0)
  ),
"")</f>
        <v>0</v>
      </c>
    </row>
    <row r="418" spans="1:17" x14ac:dyDescent="0.25">
      <c r="A418" s="20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Log'!$E$2:$V$70,
    MATCH(1,
      ('Golf Log'!$A$2:$A$70=$A418)*
      ('Golf Log'!$B$2:$B$70=$B418)*
      ('Golf Log'!$C$2:$C$70=$C418),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Log'!$E$2:$V$70,
    MATCH(1,
      ('Putt Log'!$A$2:$A$70=$A418)*
      ('Putt Log'!$B$2:$B$70=$B418)*
      ('Putt Log'!$C$2:$C$70=$C418),
    0),
    MATCH($G418,'Putt Log'!$E$1:$V$1,0)
  ),
"")</f>
        <v>2</v>
      </c>
      <c r="P418" t="str" cm="1">
        <f t="array" ref="P418">IF(K418=3,"",
  IFERROR(
    INDEX('Fairway Log'!$E$2:$V$70,
      MATCH(1,
        ('Fairway Log'!$A$2:$A$70=$A418)*
        ('Fairway Log'!$B$2:$B$70=$B418)*
        ('Fairway Log'!$C$2:$C489=$C418),
      0),
      MATCH($G418,'Fairway Log'!$E$1:$V$1,0)
    ),
  "")
)</f>
        <v/>
      </c>
      <c r="Q418" cm="1">
        <f t="array" ref="Q418">IFERROR(
  INDEX('GIR Log'!$E$2:$V$70,
    MATCH(1,
      ('GIR Log'!$A$2:$A$70=$A418)*
      ('GIR Log'!$B$2:$B$70=$B418)*
      ('GIR Log'!$C$2:$C$70=$C418),
    0),
    MATCH($G418,'GIR Log'!$E$1:$V$1,0)
  ),
"")</f>
        <v>0</v>
      </c>
    </row>
    <row r="419" spans="1:17" x14ac:dyDescent="0.25">
      <c r="A419" s="20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Log'!$E$2:$V$70,
    MATCH(1,
      ('Golf Log'!$A$2:$A$70=$A419)*
      ('Golf Log'!$B$2:$B$70=$B419)*
      ('Golf Log'!$C$2:$C$70=$C419),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Log'!$E$2:$V$70,
    MATCH(1,
      ('Putt Log'!$A$2:$A$70=$A419)*
      ('Putt Log'!$B$2:$B$70=$B419)*
      ('Putt Log'!$C$2:$C$70=$C419),
    0),
    MATCH($G419,'Putt Log'!$E$1:$V$1,0)
  ),
"")</f>
        <v>1</v>
      </c>
      <c r="P419" cm="1">
        <f t="array" ref="P419">IF(K419=3,"",
  IFERROR(
    INDEX('Fairway Log'!$E$2:$V$70,
      MATCH(1,
        ('Fairway Log'!$A$2:$A$70=$A419)*
        ('Fairway Log'!$B$2:$B$70=$B419)*
        ('Fairway Log'!$C$2:$C490=$C419),
      0),
      MATCH($G419,'Fairway Log'!$E$1:$V$1,0)
    ),
  "")
)</f>
        <v>1</v>
      </c>
      <c r="Q419" cm="1">
        <f t="array" ref="Q419">IFERROR(
  INDEX('GIR Log'!$E$2:$V$70,
    MATCH(1,
      ('GIR Log'!$A$2:$A$70=$A419)*
      ('GIR Log'!$B$2:$B$70=$B419)*
      ('GIR Log'!$C$2:$C$70=$C419),
    0),
    MATCH($G419,'GIR Log'!$E$1:$V$1,0)
  ),
"")</f>
        <v>0</v>
      </c>
    </row>
    <row r="420" spans="1:17" x14ac:dyDescent="0.25">
      <c r="A420" s="20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Log'!$E$2:$V$70,
    MATCH(1,
      ('Golf Log'!$A$2:$A$70=$A420)*
      ('Golf Log'!$B$2:$B$70=$B420)*
      ('Golf Log'!$C$2:$C$70=$C420),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Log'!$E$2:$V$70,
    MATCH(1,
      ('Putt Log'!$A$2:$A$70=$A420)*
      ('Putt Log'!$B$2:$B$70=$B420)*
      ('Putt Log'!$C$2:$C$70=$C420),
    0),
    MATCH($G420,'Putt Log'!$E$1:$V$1,0)
  ),
"")</f>
        <v>2</v>
      </c>
      <c r="P420" t="str" cm="1">
        <f t="array" ref="P420">IF(K420=3,"",
  IFERROR(
    INDEX('Fairway Log'!$E$2:$V$70,
      MATCH(1,
        ('Fairway Log'!$A$2:$A$70=$A420)*
        ('Fairway Log'!$B$2:$B$70=$B420)*
        ('Fairway Log'!$C$2:$C491=$C420),
      0),
      MATCH($G420,'Fairway Log'!$E$1:$V$1,0)
    ),
  "")
)</f>
        <v>→</v>
      </c>
      <c r="Q420" cm="1">
        <f t="array" ref="Q420">IFERROR(
  INDEX('GIR Log'!$E$2:$V$70,
    MATCH(1,
      ('GIR Log'!$A$2:$A$70=$A420)*
      ('GIR Log'!$B$2:$B$70=$B420)*
      ('GIR Log'!$C$2:$C$70=$C420),
    0),
    MATCH($G420,'GIR Log'!$E$1:$V$1,0)
  ),
"")</f>
        <v>0</v>
      </c>
    </row>
    <row r="421" spans="1:17" x14ac:dyDescent="0.25">
      <c r="A421" s="20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Log'!$E$2:$V$70,
    MATCH(1,
      ('Golf Log'!$A$2:$A$70=$A421)*
      ('Golf Log'!$B$2:$B$70=$B421)*
      ('Golf Log'!$C$2:$C$70=$C421),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Log'!$E$2:$V$70,
    MATCH(1,
      ('Putt Log'!$A$2:$A$70=$A421)*
      ('Putt Log'!$B$2:$B$70=$B421)*
      ('Putt Log'!$C$2:$C$70=$C421),
    0),
    MATCH($G421,'Putt Log'!$E$1:$V$1,0)
  ),
"")</f>
        <v>1</v>
      </c>
      <c r="P421" cm="1">
        <f t="array" ref="P421">IF(K421=3,"",
  IFERROR(
    INDEX('Fairway Log'!$E$2:$V$70,
      MATCH(1,
        ('Fairway Log'!$A$2:$A$70=$A421)*
        ('Fairway Log'!$B$2:$B$70=$B421)*
        ('Fairway Log'!$C$2:$C492=$C421),
      0),
      MATCH($G421,'Fairway Log'!$E$1:$V$1,0)
    ),
  "")
)</f>
        <v>1</v>
      </c>
      <c r="Q421" cm="1">
        <f t="array" ref="Q421">IFERROR(
  INDEX('GIR Log'!$E$2:$V$70,
    MATCH(1,
      ('GIR Log'!$A$2:$A$70=$A421)*
      ('GIR Log'!$B$2:$B$70=$B421)*
      ('GIR Log'!$C$2:$C$70=$C421),
    0),
    MATCH($G421,'GIR Log'!$E$1:$V$1,0)
  ),
"")</f>
        <v>0</v>
      </c>
    </row>
    <row r="422" spans="1:17" x14ac:dyDescent="0.25">
      <c r="A422" s="20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Log'!$E$2:$V$70,
    MATCH(1,
      ('Golf Log'!$A$2:$A$70=$A422)*
      ('Golf Log'!$B$2:$B$70=$B422)*
      ('Golf Log'!$C$2:$C$70=$C422),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Log'!$E$2:$V$70,
    MATCH(1,
      ('Putt Log'!$A$2:$A$70=$A422)*
      ('Putt Log'!$B$2:$B$70=$B422)*
      ('Putt Log'!$C$2:$C$70=$C422),
    0),
    MATCH($G422,'Putt Log'!$E$1:$V$1,0)
  ),
"")</f>
        <v>2</v>
      </c>
      <c r="P422" cm="1">
        <f t="array" ref="P422">IF(K422=3,"",
  IFERROR(
    INDEX('Fairway Log'!$E$2:$V$70,
      MATCH(1,
        ('Fairway Log'!$A$2:$A$70=$A422)*
        ('Fairway Log'!$B$2:$B$70=$B422)*
        ('Fairway Log'!$C$2:$C493=$C422),
      0),
      MATCH($G422,'Fairway Log'!$E$1:$V$1,0)
    ),
  "")
)</f>
        <v>1</v>
      </c>
      <c r="Q422" cm="1">
        <f t="array" ref="Q422">IFERROR(
  INDEX('GIR Log'!$E$2:$V$70,
    MATCH(1,
      ('GIR Log'!$A$2:$A$70=$A422)*
      ('GIR Log'!$B$2:$B$70=$B422)*
      ('GIR Log'!$C$2:$C$70=$C422),
    0),
    MATCH($G422,'GIR Log'!$E$1:$V$1,0)
  ),
"")</f>
        <v>0</v>
      </c>
    </row>
    <row r="423" spans="1:17" x14ac:dyDescent="0.25">
      <c r="A423" s="20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Log'!$E$2:$V$70,
    MATCH(1,
      ('Golf Log'!$A$2:$A$70=$A423)*
      ('Golf Log'!$B$2:$B$70=$B423)*
      ('Golf Log'!$C$2:$C$70=$C423),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Log'!$E$2:$V$70,
    MATCH(1,
      ('Putt Log'!$A$2:$A$70=$A423)*
      ('Putt Log'!$B$2:$B$70=$B423)*
      ('Putt Log'!$C$2:$C$70=$C423),
    0),
    MATCH($G423,'Putt Log'!$E$1:$V$1,0)
  ),
"")</f>
        <v>2</v>
      </c>
      <c r="P423" t="str" cm="1">
        <f t="array" ref="P423">IF(K423=3,"",
  IFERROR(
    INDEX('Fairway Log'!$E$2:$V$70,
      MATCH(1,
        ('Fairway Log'!$A$2:$A$70=$A423)*
        ('Fairway Log'!$B$2:$B$70=$B423)*
        ('Fairway Log'!$C$2:$C494=$C423),
      0),
      MATCH($G423,'Fairway Log'!$E$1:$V$1,0)
    ),
  "")
)</f>
        <v/>
      </c>
      <c r="Q423" cm="1">
        <f t="array" ref="Q423">IFERROR(
  INDEX('GIR Log'!$E$2:$V$70,
    MATCH(1,
      ('GIR Log'!$A$2:$A$70=$A423)*
      ('GIR Log'!$B$2:$B$70=$B423)*
      ('GIR Log'!$C$2:$C$70=$C423),
    0),
    MATCH($G423,'GIR Log'!$E$1:$V$1,0)
  ),
"")</f>
        <v>0</v>
      </c>
    </row>
    <row r="424" spans="1:17" x14ac:dyDescent="0.25">
      <c r="A424" s="20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Log'!$E$2:$V$70,
    MATCH(1,
      ('Golf Log'!$A$2:$A$70=$A424)*
      ('Golf Log'!$B$2:$B$70=$B424)*
      ('Golf Log'!$C$2:$C$70=$C424),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Log'!$E$2:$V$70,
    MATCH(1,
      ('Putt Log'!$A$2:$A$70=$A424)*
      ('Putt Log'!$B$2:$B$70=$B424)*
      ('Putt Log'!$C$2:$C$70=$C424),
    0),
    MATCH($G424,'Putt Log'!$E$1:$V$1,0)
  ),
"")</f>
        <v>3</v>
      </c>
      <c r="P424" cm="1">
        <f t="array" ref="P424">IF(K424=3,"",
  IFERROR(
    INDEX('Fairway Log'!$E$2:$V$70,
      MATCH(1,
        ('Fairway Log'!$A$2:$A$70=$A424)*
        ('Fairway Log'!$B$2:$B$70=$B424)*
        ('Fairway Log'!$C$2:$C495=$C424),
      0),
      MATCH($G424,'Fairway Log'!$E$1:$V$1,0)
    ),
  "")
)</f>
        <v>1</v>
      </c>
      <c r="Q424" cm="1">
        <f t="array" ref="Q424">IFERROR(
  INDEX('GIR Log'!$E$2:$V$70,
    MATCH(1,
      ('GIR Log'!$A$2:$A$70=$A424)*
      ('GIR Log'!$B$2:$B$70=$B424)*
      ('GIR Log'!$C$2:$C$70=$C424),
    0),
    MATCH($G424,'GIR Log'!$E$1:$V$1,0)
  ),
"")</f>
        <v>0</v>
      </c>
    </row>
    <row r="425" spans="1:17" x14ac:dyDescent="0.25">
      <c r="A425" s="20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Log'!$E$2:$V$70,
    MATCH(1,
      ('Golf Log'!$A$2:$A$70=$A425)*
      ('Golf Log'!$B$2:$B$70=$B425)*
      ('Golf Log'!$C$2:$C$70=$C425),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Log'!$E$2:$V$70,
    MATCH(1,
      ('Putt Log'!$A$2:$A$70=$A425)*
      ('Putt Log'!$B$2:$B$70=$B425)*
      ('Putt Log'!$C$2:$C$70=$C425),
    0),
    MATCH($G425,'Putt Log'!$E$1:$V$1,0)
  ),
"")</f>
        <v>2</v>
      </c>
      <c r="P425" t="str" cm="1">
        <f t="array" ref="P425">IF(K425=3,"",
  IFERROR(
    INDEX('Fairway Log'!$E$2:$V$70,
      MATCH(1,
        ('Fairway Log'!$A$2:$A$70=$A425)*
        ('Fairway Log'!$B$2:$B$70=$B425)*
        ('Fairway Log'!$C$2:$C496=$C425),
      0),
      MATCH($G425,'Fairway Log'!$E$1:$V$1,0)
    ),
  "")
)</f>
        <v>→</v>
      </c>
      <c r="Q425" cm="1">
        <f t="array" ref="Q425">IFERROR(
  INDEX('GIR Log'!$E$2:$V$70,
    MATCH(1,
      ('GIR Log'!$A$2:$A$70=$A425)*
      ('GIR Log'!$B$2:$B$70=$B425)*
      ('GIR Log'!$C$2:$C$70=$C425),
    0),
    MATCH($G425,'GIR Log'!$E$1:$V$1,0)
  ),
"")</f>
        <v>0</v>
      </c>
    </row>
    <row r="426" spans="1:17" x14ac:dyDescent="0.25">
      <c r="A426" s="20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Log'!$E$2:$V$70,
    MATCH(1,
      ('Golf Log'!$A$2:$A$70=$A426)*
      ('Golf Log'!$B$2:$B$70=$B426)*
      ('Golf Log'!$C$2:$C$70=$C426),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Log'!$E$2:$V$70,
    MATCH(1,
      ('Putt Log'!$A$2:$A$70=$A426)*
      ('Putt Log'!$B$2:$B$70=$B426)*
      ('Putt Log'!$C$2:$C$70=$C426),
    0),
    MATCH($G426,'Putt Log'!$E$1:$V$1,0)
  ),
"")</f>
        <v>2</v>
      </c>
      <c r="P426" t="str" cm="1">
        <f t="array" ref="P426">IF(K426=3,"",
  IFERROR(
    INDEX('Fairway Log'!$E$2:$V$70,
      MATCH(1,
        ('Fairway Log'!$A$2:$A$70=$A426)*
        ('Fairway Log'!$B$2:$B$70=$B426)*
        ('Fairway Log'!$C$2:$C497=$C426),
      0),
      MATCH($G426,'Fairway Log'!$E$1:$V$1,0)
    ),
  "")
)</f>
        <v>→</v>
      </c>
      <c r="Q426" cm="1">
        <f t="array" ref="Q426">IFERROR(
  INDEX('GIR Log'!$E$2:$V$70,
    MATCH(1,
      ('GIR Log'!$A$2:$A$70=$A426)*
      ('GIR Log'!$B$2:$B$70=$B426)*
      ('GIR Log'!$C$2:$C$70=$C426),
    0),
    MATCH($G426,'GIR Log'!$E$1:$V$1,0)
  ),
"")</f>
        <v>0</v>
      </c>
    </row>
    <row r="427" spans="1:17" x14ac:dyDescent="0.25">
      <c r="A427" s="20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Log'!$E$2:$V$70,
    MATCH(1,
      ('Golf Log'!$A$2:$A$70=$A427)*
      ('Golf Log'!$B$2:$B$70=$B427)*
      ('Golf Log'!$C$2:$C$70=$C427),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Log'!$E$2:$V$70,
    MATCH(1,
      ('Putt Log'!$A$2:$A$70=$A427)*
      ('Putt Log'!$B$2:$B$70=$B427)*
      ('Putt Log'!$C$2:$C$70=$C427),
    0),
    MATCH($G427,'Putt Log'!$E$1:$V$1,0)
  ),
"")</f>
        <v>2</v>
      </c>
      <c r="P427" cm="1">
        <f t="array" ref="P427">IF(K427=3,"",
  IFERROR(
    INDEX('Fairway Log'!$E$2:$V$70,
      MATCH(1,
        ('Fairway Log'!$A$2:$A$70=$A427)*
        ('Fairway Log'!$B$2:$B$70=$B427)*
        ('Fairway Log'!$C$2:$C498=$C427),
      0),
      MATCH($G427,'Fairway Log'!$E$1:$V$1,0)
    ),
  "")
)</f>
        <v>1</v>
      </c>
      <c r="Q427" cm="1">
        <f t="array" ref="Q427">IFERROR(
  INDEX('GIR Log'!$E$2:$V$70,
    MATCH(1,
      ('GIR Log'!$A$2:$A$70=$A427)*
      ('GIR Log'!$B$2:$B$70=$B427)*
      ('GIR Log'!$C$2:$C$70=$C427),
    0),
    MATCH($G427,'GIR Log'!$E$1:$V$1,0)
  ),
"")</f>
        <v>0</v>
      </c>
    </row>
    <row r="428" spans="1:17" x14ac:dyDescent="0.25">
      <c r="A428" s="20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Log'!$E$2:$V$70,
    MATCH(1,
      ('Golf Log'!$A$2:$A$70=$A428)*
      ('Golf Log'!$B$2:$B$70=$B428)*
      ('Golf Log'!$C$2:$C$70=$C428),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Log'!$E$2:$V$70,
    MATCH(1,
      ('Putt Log'!$A$2:$A$70=$A428)*
      ('Putt Log'!$B$2:$B$70=$B428)*
      ('Putt Log'!$C$2:$C$70=$C428),
    0),
    MATCH($G428,'Putt Log'!$E$1:$V$1,0)
  ),
"")</f>
        <v>1</v>
      </c>
      <c r="P428" cm="1">
        <f t="array" ref="P428">IF(K428=3,"",
  IFERROR(
    INDEX('Fairway Log'!$E$2:$V$70,
      MATCH(1,
        ('Fairway Log'!$A$2:$A$70=$A428)*
        ('Fairway Log'!$B$2:$B$70=$B428)*
        ('Fairway Log'!$C$2:$C499=$C428),
      0),
      MATCH($G428,'Fairway Log'!$E$1:$V$1,0)
    ),
  "")
)</f>
        <v>1</v>
      </c>
      <c r="Q428" cm="1">
        <f t="array" ref="Q428">IFERROR(
  INDEX('GIR Log'!$E$2:$V$70,
    MATCH(1,
      ('GIR Log'!$A$2:$A$70=$A428)*
      ('GIR Log'!$B$2:$B$70=$B428)*
      ('GIR Log'!$C$2:$C$70=$C428),
    0),
    MATCH($G428,'GIR Log'!$E$1:$V$1,0)
  ),
"")</f>
        <v>0</v>
      </c>
    </row>
    <row r="429" spans="1:17" x14ac:dyDescent="0.25">
      <c r="A429" s="20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Log'!$E$2:$V$70,
    MATCH(1,
      ('Golf Log'!$A$2:$A$70=$A429)*
      ('Golf Log'!$B$2:$B$70=$B429)*
      ('Golf Log'!$C$2:$C$70=$C429),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Log'!$E$2:$V$70,
    MATCH(1,
      ('Putt Log'!$A$2:$A$70=$A429)*
      ('Putt Log'!$B$2:$B$70=$B429)*
      ('Putt Log'!$C$2:$C$70=$C429),
    0),
    MATCH($G429,'Putt Log'!$E$1:$V$1,0)
  ),
"")</f>
        <v>1</v>
      </c>
      <c r="P429" t="str" cm="1">
        <f t="array" ref="P429">IF(K429=3,"",
  IFERROR(
    INDEX('Fairway Log'!$E$2:$V$70,
      MATCH(1,
        ('Fairway Log'!$A$2:$A$70=$A429)*
        ('Fairway Log'!$B$2:$B$70=$B429)*
        ('Fairway Log'!$C$2:$C500=$C429),
      0),
      MATCH($G429,'Fairway Log'!$E$1:$V$1,0)
    ),
  "")
)</f>
        <v/>
      </c>
      <c r="Q429" cm="1">
        <f t="array" ref="Q429">IFERROR(
  INDEX('GIR Log'!$E$2:$V$70,
    MATCH(1,
      ('GIR Log'!$A$2:$A$70=$A429)*
      ('GIR Log'!$B$2:$B$70=$B429)*
      ('GIR Log'!$C$2:$C$70=$C429),
    0),
    MATCH($G429,'GIR Log'!$E$1:$V$1,0)
  ),
"")</f>
        <v>0</v>
      </c>
    </row>
    <row r="430" spans="1:17" x14ac:dyDescent="0.25">
      <c r="A430" s="20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Log'!$E$2:$V$70,
    MATCH(1,
      ('Golf Log'!$A$2:$A$70=$A430)*
      ('Golf Log'!$B$2:$B$70=$B430)*
      ('Golf Log'!$C$2:$C$70=$C430),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Log'!$E$2:$V$70,
    MATCH(1,
      ('Putt Log'!$A$2:$A$70=$A430)*
      ('Putt Log'!$B$2:$B$70=$B430)*
      ('Putt Log'!$C$2:$C$70=$C430),
    0),
    MATCH($G430,'Putt Log'!$E$1:$V$1,0)
  ),
"")</f>
        <v>1</v>
      </c>
      <c r="P430" t="str" cm="1">
        <f t="array" ref="P430">IF(K430=3,"",
  IFERROR(
    INDEX('Fairway Log'!$E$2:$V$70,
      MATCH(1,
        ('Fairway Log'!$A$2:$A$70=$A430)*
        ('Fairway Log'!$B$2:$B$70=$B430)*
        ('Fairway Log'!$C$2:$C501=$C430),
      0),
      MATCH($G430,'Fairway Log'!$E$1:$V$1,0)
    ),
  "")
)</f>
        <v>→</v>
      </c>
      <c r="Q430" cm="1">
        <f t="array" ref="Q430">IFERROR(
  INDEX('GIR Log'!$E$2:$V$70,
    MATCH(1,
      ('GIR Log'!$A$2:$A$70=$A430)*
      ('GIR Log'!$B$2:$B$70=$B430)*
      ('GIR Log'!$C$2:$C$70=$C430),
    0),
    MATCH($G430,'GIR Log'!$E$1:$V$1,0)
  ),
"")</f>
        <v>0</v>
      </c>
    </row>
    <row r="431" spans="1:17" x14ac:dyDescent="0.25">
      <c r="A431" s="20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Log'!$E$2:$V$70,
    MATCH(1,
      ('Golf Log'!$A$2:$A$70=$A431)*
      ('Golf Log'!$B$2:$B$70=$B431)*
      ('Golf Log'!$C$2:$C$70=$C431),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Log'!$E$2:$V$70,
    MATCH(1,
      ('Putt Log'!$A$2:$A$70=$A431)*
      ('Putt Log'!$B$2:$B$70=$B431)*
      ('Putt Log'!$C$2:$C$70=$C431),
    0),
    MATCH($G431,'Putt Log'!$E$1:$V$1,0)
  ),
"")</f>
        <v>1</v>
      </c>
      <c r="P431" cm="1">
        <f t="array" ref="P431">IF(K431=3,"",
  IFERROR(
    INDEX('Fairway Log'!$E$2:$V$70,
      MATCH(1,
        ('Fairway Log'!$A$2:$A$70=$A431)*
        ('Fairway Log'!$B$2:$B$70=$B431)*
        ('Fairway Log'!$C$2:$C502=$C431),
      0),
      MATCH($G431,'Fairway Log'!$E$1:$V$1,0)
    ),
  "")
)</f>
        <v>1</v>
      </c>
      <c r="Q431" cm="1">
        <f t="array" ref="Q431">IFERROR(
  INDEX('GIR Log'!$E$2:$V$70,
    MATCH(1,
      ('GIR Log'!$A$2:$A$70=$A431)*
      ('GIR Log'!$B$2:$B$70=$B431)*
      ('GIR Log'!$C$2:$C$70=$C431),
    0),
    MATCH($G431,'GIR Log'!$E$1:$V$1,0)
  ),
"")</f>
        <v>0</v>
      </c>
    </row>
    <row r="432" spans="1:17" x14ac:dyDescent="0.25">
      <c r="A432" s="20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Log'!$E$2:$V$70,
    MATCH(1,
      ('Golf Log'!$A$2:$A$70=$A432)*
      ('Golf Log'!$B$2:$B$70=$B432)*
      ('Golf Log'!$C$2:$C$70=$C432),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Log'!$E$2:$V$70,
    MATCH(1,
      ('Putt Log'!$A$2:$A$70=$A432)*
      ('Putt Log'!$B$2:$B$70=$B432)*
      ('Putt Log'!$C$2:$C$70=$C432),
    0),
    MATCH($G432,'Putt Log'!$E$1:$V$1,0)
  ),
"")</f>
        <v>3</v>
      </c>
      <c r="P432" t="str" cm="1">
        <f t="array" ref="P432">IF(K432=3,"",
  IFERROR(
    INDEX('Fairway Log'!$E$2:$V$70,
      MATCH(1,
        ('Fairway Log'!$A$2:$A$70=$A432)*
        ('Fairway Log'!$B$2:$B$70=$B432)*
        ('Fairway Log'!$C$2:$C503=$C432),
      0),
      MATCH($G432,'Fairway Log'!$E$1:$V$1,0)
    ),
  "")
)</f>
        <v/>
      </c>
      <c r="Q432" cm="1">
        <f t="array" ref="Q432">IFERROR(
  INDEX('GIR Log'!$E$2:$V$70,
    MATCH(1,
      ('GIR Log'!$A$2:$A$70=$A432)*
      ('GIR Log'!$B$2:$B$70=$B432)*
      ('GIR Log'!$C$2:$C$70=$C432),
    0),
    MATCH($G432,'GIR Log'!$E$1:$V$1,0)
  ),
"")</f>
        <v>1</v>
      </c>
    </row>
    <row r="433" spans="1:17" x14ac:dyDescent="0.25">
      <c r="A433" s="20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Log'!$E$2:$V$70,
    MATCH(1,
      ('Golf Log'!$A$2:$A$70=$A433)*
      ('Golf Log'!$B$2:$B$70=$B433)*
      ('Golf Log'!$C$2:$C$70=$C433),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Log'!$E$2:$V$70,
    MATCH(1,
      ('Putt Log'!$A$2:$A$70=$A433)*
      ('Putt Log'!$B$2:$B$70=$B433)*
      ('Putt Log'!$C$2:$C$70=$C433),
    0),
    MATCH($G433,'Putt Log'!$E$1:$V$1,0)
  ),
"")</f>
        <v>2</v>
      </c>
      <c r="P433" cm="1">
        <f t="array" ref="P433">IF(K433=3,"",
  IFERROR(
    INDEX('Fairway Log'!$E$2:$V$70,
      MATCH(1,
        ('Fairway Log'!$A$2:$A$70=$A433)*
        ('Fairway Log'!$B$2:$B$70=$B433)*
        ('Fairway Log'!$C$2:$C504=$C433),
      0),
      MATCH($G433,'Fairway Log'!$E$1:$V$1,0)
    ),
  "")
)</f>
        <v>1</v>
      </c>
      <c r="Q433" cm="1">
        <f t="array" ref="Q433">IFERROR(
  INDEX('GIR Log'!$E$2:$V$70,
    MATCH(1,
      ('GIR Log'!$A$2:$A$70=$A433)*
      ('GIR Log'!$B$2:$B$70=$B433)*
      ('GIR Log'!$C$2:$C$70=$C433),
    0),
    MATCH($G433,'GIR Log'!$E$1:$V$1,0)
  ),
"")</f>
        <v>0</v>
      </c>
    </row>
    <row r="434" spans="1:17" x14ac:dyDescent="0.25">
      <c r="A434" s="20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Log'!$E$2:$V$70,
    MATCH(1,
      ('Golf Log'!$A$2:$A$70=$A434)*
      ('Golf Log'!$B$2:$B$70=$B434)*
      ('Golf Log'!$C$2:$C$70=$C434),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Log'!$E$2:$V$70,
    MATCH(1,
      ('Putt Log'!$A$2:$A$70=$A434)*
      ('Putt Log'!$B$2:$B$70=$B434)*
      ('Putt Log'!$C$2:$C$70=$C434),
    0),
    MATCH($G434,'Putt Log'!$E$1:$V$1,0)
  ),
"")</f>
        <v>2</v>
      </c>
      <c r="P434" cm="1">
        <f t="array" ref="P434">IF(K434=3,"",
  IFERROR(
    INDEX('Fairway Log'!$E$2:$V$70,
      MATCH(1,
        ('Fairway Log'!$A$2:$A$70=$A434)*
        ('Fairway Log'!$B$2:$B$70=$B434)*
        ('Fairway Log'!$C$2:$C505=$C434),
      0),
      MATCH($G434,'Fairway Log'!$E$1:$V$1,0)
    ),
  "")
)</f>
        <v>1</v>
      </c>
      <c r="Q434" cm="1">
        <f t="array" ref="Q434">IFERROR(
  INDEX('GIR Log'!$E$2:$V$70,
    MATCH(1,
      ('GIR Log'!$A$2:$A$70=$A434)*
      ('GIR Log'!$B$2:$B$70=$B434)*
      ('GIR Log'!$C$2:$C$70=$C434),
    0),
    MATCH($G434,'GIR Log'!$E$1:$V$1,0)
  ),
"")</f>
        <v>0</v>
      </c>
    </row>
    <row r="435" spans="1:17" x14ac:dyDescent="0.25">
      <c r="A435" s="20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Log'!$E$2:$V$70,
    MATCH(1,
      ('Golf Log'!$A$2:$A$70=$A435)*
      ('Golf Log'!$B$2:$B$70=$B435)*
      ('Golf Log'!$C$2:$C$70=$C435),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Log'!$E$2:$V$70,
    MATCH(1,
      ('Putt Log'!$A$2:$A$70=$A435)*
      ('Putt Log'!$B$2:$B$70=$B435)*
      ('Putt Log'!$C$2:$C$70=$C435),
    0),
    MATCH($G435,'Putt Log'!$E$1:$V$1,0)
  ),
"")</f>
        <v>3</v>
      </c>
      <c r="P435" t="str" cm="1">
        <f t="array" ref="P435">IF(K435=3,"",
  IFERROR(
    INDEX('Fairway Log'!$E$2:$V$70,
      MATCH(1,
        ('Fairway Log'!$A$2:$A$70=$A435)*
        ('Fairway Log'!$B$2:$B$70=$B435)*
        ('Fairway Log'!$C$2:$C506=$C435),
      0),
      MATCH($G435,'Fairway Log'!$E$1:$V$1,0)
    ),
  "")
)</f>
        <v>→</v>
      </c>
      <c r="Q435" cm="1">
        <f t="array" ref="Q435">IFERROR(
  INDEX('GIR Log'!$E$2:$V$70,
    MATCH(1,
      ('GIR Log'!$A$2:$A$70=$A435)*
      ('GIR Log'!$B$2:$B$70=$B435)*
      ('GIR Log'!$C$2:$C$70=$C435),
    0),
    MATCH($G435,'GIR Log'!$E$1:$V$1,0)
  ),
"")</f>
        <v>0</v>
      </c>
    </row>
    <row r="436" spans="1:17" x14ac:dyDescent="0.25">
      <c r="A436" s="20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Log'!$E$2:$V$70,
    MATCH(1,
      ('Golf Log'!$A$2:$A$70=$A436)*
      ('Golf Log'!$B$2:$B$70=$B436)*
      ('Golf Log'!$C$2:$C$70=$C436),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Log'!$E$2:$V$70,
    MATCH(1,
      ('Putt Log'!$A$2:$A$70=$A436)*
      ('Putt Log'!$B$2:$B$70=$B436)*
      ('Putt Log'!$C$2:$C$70=$C436),
    0),
    MATCH($G436,'Putt Log'!$E$1:$V$1,0)
  ),
"")</f>
        <v>2</v>
      </c>
      <c r="P436" cm="1">
        <f t="array" ref="P436">IF(K436=3,"",
  IFERROR(
    INDEX('Fairway Log'!$E$2:$V$70,
      MATCH(1,
        ('Fairway Log'!$A$2:$A$70=$A436)*
        ('Fairway Log'!$B$2:$B$70=$B436)*
        ('Fairway Log'!$C$2:$C507=$C436),
      0),
      MATCH($G436,'Fairway Log'!$E$1:$V$1,0)
    ),
  "")
)</f>
        <v>1</v>
      </c>
      <c r="Q436" cm="1">
        <f t="array" ref="Q436">IFERROR(
  INDEX('GIR Log'!$E$2:$V$70,
    MATCH(1,
      ('GIR Log'!$A$2:$A$70=$A436)*
      ('GIR Log'!$B$2:$B$70=$B436)*
      ('GIR Log'!$C$2:$C$70=$C436),
    0),
    MATCH($G436,'GIR Log'!$E$1:$V$1,0)
  ),
"")</f>
        <v>0</v>
      </c>
    </row>
    <row r="437" spans="1:17" x14ac:dyDescent="0.25">
      <c r="A437" s="20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Log'!$E$2:$V$70,
    MATCH(1,
      ('Golf Log'!$A$2:$A$70=$A437)*
      ('Golf Log'!$B$2:$B$70=$B437)*
      ('Golf Log'!$C$2:$C$70=$C437),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Log'!$E$2:$V$70,
    MATCH(1,
      ('Putt Log'!$A$2:$A$70=$A437)*
      ('Putt Log'!$B$2:$B$70=$B437)*
      ('Putt Log'!$C$2:$C$70=$C437),
    0),
    MATCH($G437,'Putt Log'!$E$1:$V$1,0)
  ),
"")</f>
        <v>2</v>
      </c>
      <c r="P437" t="str" cm="1">
        <f t="array" ref="P437">IF(K437=3,"",
  IFERROR(
    INDEX('Fairway Log'!$E$2:$V$70,
      MATCH(1,
        ('Fairway Log'!$A$2:$A$70=$A437)*
        ('Fairway Log'!$B$2:$B$70=$B437)*
        ('Fairway Log'!$C$2:$C508=$C437),
      0),
      MATCH($G437,'Fairway Log'!$E$1:$V$1,0)
    ),
  "")
)</f>
        <v/>
      </c>
      <c r="Q437" cm="1">
        <f t="array" ref="Q437">IFERROR(
  INDEX('GIR Log'!$E$2:$V$70,
    MATCH(1,
      ('GIR Log'!$A$2:$A$70=$A437)*
      ('GIR Log'!$B$2:$B$70=$B437)*
      ('GIR Log'!$C$2:$C$70=$C437),
    0),
    MATCH($G437,'GIR Log'!$E$1:$V$1,0)
  ),
"")</f>
        <v>0</v>
      </c>
    </row>
    <row r="438" spans="1:17" x14ac:dyDescent="0.25">
      <c r="A438" s="20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Log'!$E$2:$V$70,
    MATCH(1,
      ('Golf Log'!$A$2:$A$70=$A438)*
      ('Golf Log'!$B$2:$B$70=$B438)*
      ('Golf Log'!$C$2:$C$70=$C438),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Log'!$E$2:$V$70,
    MATCH(1,
      ('Putt Log'!$A$2:$A$70=$A438)*
      ('Putt Log'!$B$2:$B$70=$B438)*
      ('Putt Log'!$C$2:$C$70=$C438),
    0),
    MATCH($G438,'Putt Log'!$E$1:$V$1,0)
  ),
"")</f>
        <v>2</v>
      </c>
      <c r="P438" t="str" cm="1">
        <f t="array" ref="P438">IF(K438=3,"",
  IFERROR(
    INDEX('Fairway Log'!$E$2:$V$70,
      MATCH(1,
        ('Fairway Log'!$A$2:$A$70=$A438)*
        ('Fairway Log'!$B$2:$B$70=$B438)*
        ('Fairway Log'!$C$2:$C509=$C438),
      0),
      MATCH($G438,'Fairway Log'!$E$1:$V$1,0)
    ),
  "")
)</f>
        <v>←</v>
      </c>
      <c r="Q438" cm="1">
        <f t="array" ref="Q438">IFERROR(
  INDEX('GIR Log'!$E$2:$V$70,
    MATCH(1,
      ('GIR Log'!$A$2:$A$70=$A438)*
      ('GIR Log'!$B$2:$B$70=$B438)*
      ('GIR Log'!$C$2:$C$70=$C438),
    0),
    MATCH($G438,'GIR Log'!$E$1:$V$1,0)
  ),
"")</f>
        <v>0</v>
      </c>
    </row>
    <row r="439" spans="1:17" x14ac:dyDescent="0.25">
      <c r="A439" s="20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Log'!$E$2:$V$70,
    MATCH(1,
      ('Golf Log'!$A$2:$A$70=$A439)*
      ('Golf Log'!$B$2:$B$70=$B439)*
      ('Golf Log'!$C$2:$C$70=$C439),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Log'!$E$2:$V$70,
    MATCH(1,
      ('Putt Log'!$A$2:$A$70=$A439)*
      ('Putt Log'!$B$2:$B$70=$B439)*
      ('Putt Log'!$C$2:$C$70=$C439),
    0),
    MATCH($G439,'Putt Log'!$E$1:$V$1,0)
  ),
"")</f>
        <v>3</v>
      </c>
      <c r="P439" cm="1">
        <f t="array" ref="P439">IF(K439=3,"",
  IFERROR(
    INDEX('Fairway Log'!$E$2:$V$70,
      MATCH(1,
        ('Fairway Log'!$A$2:$A$70=$A439)*
        ('Fairway Log'!$B$2:$B$70=$B439)*
        ('Fairway Log'!$C$2:$C510=$C439),
      0),
      MATCH($G439,'Fairway Log'!$E$1:$V$1,0)
    ),
  "")
)</f>
        <v>1</v>
      </c>
      <c r="Q439" cm="1">
        <f t="array" ref="Q439">IFERROR(
  INDEX('GIR Log'!$E$2:$V$70,
    MATCH(1,
      ('GIR Log'!$A$2:$A$70=$A439)*
      ('GIR Log'!$B$2:$B$70=$B439)*
      ('GIR Log'!$C$2:$C$70=$C439),
    0),
    MATCH($G439,'GIR Log'!$E$1:$V$1,0)
  ),
"")</f>
        <v>1</v>
      </c>
    </row>
    <row r="440" spans="1:17" x14ac:dyDescent="0.25">
      <c r="A440" s="20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Log'!$E$2:$V$70,
    MATCH(1,
      ('Golf Log'!$A$2:$A$70=$A440)*
      ('Golf Log'!$B$2:$B$70=$B440)*
      ('Golf Log'!$C$2:$C$70=$C440),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Log'!$E$2:$V$70,
    MATCH(1,
      ('Putt Log'!$A$2:$A$70=$A440)*
      ('Putt Log'!$B$2:$B$70=$B440)*
      ('Putt Log'!$C$2:$C$70=$C440),
    0),
    MATCH($G440,'Putt Log'!$E$1:$V$1,0)
  ),
"")</f>
        <v>3</v>
      </c>
      <c r="P440" t="str" cm="1">
        <f t="array" ref="P440">IF(K440=3,"",
  IFERROR(
    INDEX('Fairway Log'!$E$2:$V$70,
      MATCH(1,
        ('Fairway Log'!$A$2:$A$70=$A440)*
        ('Fairway Log'!$B$2:$B$70=$B440)*
        ('Fairway Log'!$C$2:$C511=$C440),
      0),
      MATCH($G440,'Fairway Log'!$E$1:$V$1,0)
    ),
  "")
)</f>
        <v/>
      </c>
      <c r="Q440" cm="1">
        <f t="array" ref="Q440">IFERROR(
  INDEX('GIR Log'!$E$2:$V$70,
    MATCH(1,
      ('GIR Log'!$A$2:$A$70=$A440)*
      ('GIR Log'!$B$2:$B$70=$B440)*
      ('GIR Log'!$C$2:$C$70=$C440),
    0),
    MATCH($G440,'GIR Log'!$E$1:$V$1,0)
  ),
"")</f>
        <v>1</v>
      </c>
    </row>
    <row r="441" spans="1:17" x14ac:dyDescent="0.25">
      <c r="A441" s="20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Log'!$E$2:$V$70,
    MATCH(1,
      ('Golf Log'!$A$2:$A$70=$A441)*
      ('Golf Log'!$B$2:$B$70=$B441)*
      ('Golf Log'!$C$2:$C$70=$C441),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Log'!$E$2:$V$70,
    MATCH(1,
      ('Putt Log'!$A$2:$A$70=$A441)*
      ('Putt Log'!$B$2:$B$70=$B441)*
      ('Putt Log'!$C$2:$C$70=$C441),
    0),
    MATCH($G441,'Putt Log'!$E$1:$V$1,0)
  ),
"")</f>
        <v>2</v>
      </c>
      <c r="P441" t="str" cm="1">
        <f t="array" ref="P441">IF(K441=3,"",
  IFERROR(
    INDEX('Fairway Log'!$E$2:$V$70,
      MATCH(1,
        ('Fairway Log'!$A$2:$A$70=$A441)*
        ('Fairway Log'!$B$2:$B$70=$B441)*
        ('Fairway Log'!$C$2:$C512=$C441),
      0),
      MATCH($G441,'Fairway Log'!$E$1:$V$1,0)
    ),
  "")
)</f>
        <v>←</v>
      </c>
      <c r="Q441" cm="1">
        <f t="array" ref="Q441">IFERROR(
  INDEX('GIR Log'!$E$2:$V$70,
    MATCH(1,
      ('GIR Log'!$A$2:$A$70=$A441)*
      ('GIR Log'!$B$2:$B$70=$B441)*
      ('GIR Log'!$C$2:$C$70=$C441),
    0),
    MATCH($G441,'GIR Log'!$E$1:$V$1,0)
  ),
"")</f>
        <v>0</v>
      </c>
    </row>
    <row r="442" spans="1:17" x14ac:dyDescent="0.25">
      <c r="A442" s="20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Log'!$E$2:$V$70,
    MATCH(1,
      ('Golf Log'!$A$2:$A$70=$A442)*
      ('Golf Log'!$B$2:$B$70=$B442)*
      ('Golf Log'!$C$2:$C$70=$C442),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Log'!$E$2:$V$70,
    MATCH(1,
      ('Putt Log'!$A$2:$A$70=$A442)*
      ('Putt Log'!$B$2:$B$70=$B442)*
      ('Putt Log'!$C$2:$C$70=$C442),
    0),
    MATCH($G442,'Putt Log'!$E$1:$V$1,0)
  ),
"")</f>
        <v>2</v>
      </c>
      <c r="P442" cm="1">
        <f t="array" ref="P442">IF(K442=3,"",
  IFERROR(
    INDEX('Fairway Log'!$E$2:$V$70,
      MATCH(1,
        ('Fairway Log'!$A$2:$A$70=$A442)*
        ('Fairway Log'!$B$2:$B$70=$B442)*
        ('Fairway Log'!$C$2:$C513=$C442),
      0),
      MATCH($G442,'Fairway Log'!$E$1:$V$1,0)
    ),
  "")
)</f>
        <v>0</v>
      </c>
      <c r="Q442" cm="1">
        <f t="array" ref="Q442">IFERROR(
  INDEX('GIR Log'!$E$2:$V$70,
    MATCH(1,
      ('GIR Log'!$A$2:$A$70=$A442)*
      ('GIR Log'!$B$2:$B$70=$B442)*
      ('GIR Log'!$C$2:$C$70=$C442),
    0),
    MATCH($G442,'GIR Log'!$E$1:$V$1,0)
  ),
"")</f>
        <v>0</v>
      </c>
    </row>
    <row r="443" spans="1:17" x14ac:dyDescent="0.25">
      <c r="A443" s="20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Log'!$E$2:$V$70,
    MATCH(1,
      ('Golf Log'!$A$2:$A$70=$A443)*
      ('Golf Log'!$B$2:$B$70=$B443)*
      ('Golf Log'!$C$2:$C$70=$C443),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Log'!$E$2:$V$70,
    MATCH(1,
      ('Putt Log'!$A$2:$A$70=$A443)*
      ('Putt Log'!$B$2:$B$70=$B443)*
      ('Putt Log'!$C$2:$C$70=$C443),
    0),
    MATCH($G443,'Putt Log'!$E$1:$V$1,0)
  ),
"")</f>
        <v>2</v>
      </c>
      <c r="P443" t="str" cm="1">
        <f t="array" ref="P443">IF(K443=3,"",
  IFERROR(
    INDEX('Fairway Log'!$E$2:$V$70,
      MATCH(1,
        ('Fairway Log'!$A$2:$A$70=$A443)*
        ('Fairway Log'!$B$2:$B$70=$B443)*
        ('Fairway Log'!$C$2:$C514=$C443),
      0),
      MATCH($G443,'Fairway Log'!$E$1:$V$1,0)
    ),
  "")
)</f>
        <v>→</v>
      </c>
      <c r="Q443" cm="1">
        <f t="array" ref="Q443">IFERROR(
  INDEX('GIR Log'!$E$2:$V$70,
    MATCH(1,
      ('GIR Log'!$A$2:$A$70=$A443)*
      ('GIR Log'!$B$2:$B$70=$B443)*
      ('GIR Log'!$C$2:$C$70=$C443),
    0),
    MATCH($G443,'GIR Log'!$E$1:$V$1,0)
  ),
"")</f>
        <v>0</v>
      </c>
    </row>
    <row r="444" spans="1:17" x14ac:dyDescent="0.25">
      <c r="A444" s="20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Log'!$E$2:$V$70,
    MATCH(1,
      ('Golf Log'!$A$2:$A$70=$A444)*
      ('Golf Log'!$B$2:$B$70=$B444)*
      ('Golf Log'!$C$2:$C$70=$C444),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Log'!$E$2:$V$70,
    MATCH(1,
      ('Putt Log'!$A$2:$A$70=$A444)*
      ('Putt Log'!$B$2:$B$70=$B444)*
      ('Putt Log'!$C$2:$C$70=$C444),
    0),
    MATCH($G444,'Putt Log'!$E$1:$V$1,0)
  ),
"")</f>
        <v>2</v>
      </c>
      <c r="P444" t="str" cm="1">
        <f t="array" ref="P444">IF(K444=3,"",
  IFERROR(
    INDEX('Fairway Log'!$E$2:$V$70,
      MATCH(1,
        ('Fairway Log'!$A$2:$A$70=$A444)*
        ('Fairway Log'!$B$2:$B$70=$B444)*
        ('Fairway Log'!$C$2:$C515=$C444),
      0),
      MATCH($G444,'Fairway Log'!$E$1:$V$1,0)
    ),
  "")
)</f>
        <v/>
      </c>
      <c r="Q444" cm="1">
        <f t="array" ref="Q444">IFERROR(
  INDEX('GIR Log'!$E$2:$V$70,
    MATCH(1,
      ('GIR Log'!$A$2:$A$70=$A444)*
      ('GIR Log'!$B$2:$B$70=$B444)*
      ('GIR Log'!$C$2:$C$70=$C444),
    0),
    MATCH($G444,'GIR Log'!$E$1:$V$1,0)
  ),
"")</f>
        <v>0</v>
      </c>
    </row>
    <row r="445" spans="1:17" x14ac:dyDescent="0.25">
      <c r="A445" s="20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Log'!$E$2:$V$70,
    MATCH(1,
      ('Golf Log'!$A$2:$A$70=$A445)*
      ('Golf Log'!$B$2:$B$70=$B445)*
      ('Golf Log'!$C$2:$C$70=$C445),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Log'!$E$2:$V$70,
    MATCH(1,
      ('Putt Log'!$A$2:$A$70=$A445)*
      ('Putt Log'!$B$2:$B$70=$B445)*
      ('Putt Log'!$C$2:$C$70=$C445),
    0),
    MATCH($G445,'Putt Log'!$E$1:$V$1,0)
  ),
"")</f>
        <v>2</v>
      </c>
      <c r="P445" t="str" cm="1">
        <f t="array" ref="P445">IF(K445=3,"",
  IFERROR(
    INDEX('Fairway Log'!$E$2:$V$70,
      MATCH(1,
        ('Fairway Log'!$A$2:$A$70=$A445)*
        ('Fairway Log'!$B$2:$B$70=$B445)*
        ('Fairway Log'!$C$2:$C516=$C445),
      0),
      MATCH($G445,'Fairway Log'!$E$1:$V$1,0)
    ),
  "")
)</f>
        <v>→</v>
      </c>
      <c r="Q445" cm="1">
        <f t="array" ref="Q445">IFERROR(
  INDEX('GIR Log'!$E$2:$V$70,
    MATCH(1,
      ('GIR Log'!$A$2:$A$70=$A445)*
      ('GIR Log'!$B$2:$B$70=$B445)*
      ('GIR Log'!$C$2:$C$70=$C445),
    0),
    MATCH($G445,'GIR Log'!$E$1:$V$1,0)
  ),
"")</f>
        <v>0</v>
      </c>
    </row>
    <row r="446" spans="1:17" x14ac:dyDescent="0.25">
      <c r="A446" s="20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Log'!$E$2:$V$70,
    MATCH(1,
      ('Golf Log'!$A$2:$A$70=$A446)*
      ('Golf Log'!$B$2:$B$70=$B446)*
      ('Golf Log'!$C$2:$C$70=$C446),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Log'!$E$2:$V$70,
    MATCH(1,
      ('Putt Log'!$A$2:$A$70=$A446)*
      ('Putt Log'!$B$2:$B$70=$B446)*
      ('Putt Log'!$C$2:$C$70=$C446),
    0),
    MATCH($G446,'Putt Log'!$E$1:$V$1,0)
  ),
"")</f>
        <v>2</v>
      </c>
      <c r="P446" t="str" cm="1">
        <f t="array" ref="P446">IF(K446=3,"",
  IFERROR(
    INDEX('Fairway Log'!$E$2:$V$70,
      MATCH(1,
        ('Fairway Log'!$A$2:$A$70=$A446)*
        ('Fairway Log'!$B$2:$B$70=$B446)*
        ('Fairway Log'!$C$2:$C517=$C446),
      0),
      MATCH($G446,'Fairway Log'!$E$1:$V$1,0)
    ),
  "")
)</f>
        <v>→</v>
      </c>
      <c r="Q446" cm="1">
        <f t="array" ref="Q446">IFERROR(
  INDEX('GIR Log'!$E$2:$V$70,
    MATCH(1,
      ('GIR Log'!$A$2:$A$70=$A446)*
      ('GIR Log'!$B$2:$B$70=$B446)*
      ('GIR Log'!$C$2:$C$70=$C446),
    0),
    MATCH($G446,'GIR Log'!$E$1:$V$1,0)
  ),
"")</f>
        <v>0</v>
      </c>
    </row>
    <row r="447" spans="1:17" x14ac:dyDescent="0.25">
      <c r="A447" s="20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Log'!$E$2:$V$70,
    MATCH(1,
      ('Golf Log'!$A$2:$A$70=$A447)*
      ('Golf Log'!$B$2:$B$70=$B447)*
      ('Golf Log'!$C$2:$C$70=$C447),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Log'!$E$2:$V$70,
    MATCH(1,
      ('Putt Log'!$A$2:$A$70=$A447)*
      ('Putt Log'!$B$2:$B$70=$B447)*
      ('Putt Log'!$C$2:$C$70=$C447),
    0),
    MATCH($G447,'Putt Log'!$E$1:$V$1,0)
  ),
"")</f>
        <v>2</v>
      </c>
      <c r="P447" t="str" cm="1">
        <f t="array" ref="P447">IF(K447=3,"",
  IFERROR(
    INDEX('Fairway Log'!$E$2:$V$70,
      MATCH(1,
        ('Fairway Log'!$A$2:$A$70=$A447)*
        ('Fairway Log'!$B$2:$B$70=$B447)*
        ('Fairway Log'!$C$2:$C518=$C447),
      0),
      MATCH($G447,'Fairway Log'!$E$1:$V$1,0)
    ),
  "")
)</f>
        <v/>
      </c>
      <c r="Q447" cm="1">
        <f t="array" ref="Q447">IFERROR(
  INDEX('GIR Log'!$E$2:$V$70,
    MATCH(1,
      ('GIR Log'!$A$2:$A$70=$A447)*
      ('GIR Log'!$B$2:$B$70=$B447)*
      ('GIR Log'!$C$2:$C$70=$C447),
    0),
    MATCH($G447,'GIR Log'!$E$1:$V$1,0)
  ),
"")</f>
        <v>1</v>
      </c>
    </row>
    <row r="448" spans="1:17" x14ac:dyDescent="0.25">
      <c r="A448" s="20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Log'!$E$2:$V$70,
    MATCH(1,
      ('Golf Log'!$A$2:$A$70=$A448)*
      ('Golf Log'!$B$2:$B$70=$B448)*
      ('Golf Log'!$C$2:$C$70=$C448),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Log'!$E$2:$V$70,
    MATCH(1,
      ('Putt Log'!$A$2:$A$70=$A448)*
      ('Putt Log'!$B$2:$B$70=$B448)*
      ('Putt Log'!$C$2:$C$70=$C448),
    0),
    MATCH($G448,'Putt Log'!$E$1:$V$1,0)
  ),
"")</f>
        <v>2</v>
      </c>
      <c r="P448" cm="1">
        <f t="array" ref="P448">IF(K448=3,"",
  IFERROR(
    INDEX('Fairway Log'!$E$2:$V$70,
      MATCH(1,
        ('Fairway Log'!$A$2:$A$70=$A448)*
        ('Fairway Log'!$B$2:$B$70=$B448)*
        ('Fairway Log'!$C$2:$C519=$C448),
      0),
      MATCH($G448,'Fairway Log'!$E$1:$V$1,0)
    ),
  "")
)</f>
        <v>1</v>
      </c>
      <c r="Q448" cm="1">
        <f t="array" ref="Q448">IFERROR(
  INDEX('GIR Log'!$E$2:$V$70,
    MATCH(1,
      ('GIR Log'!$A$2:$A$70=$A448)*
      ('GIR Log'!$B$2:$B$70=$B448)*
      ('GIR Log'!$C$2:$C$70=$C448),
    0),
    MATCH($G448,'GIR Log'!$E$1:$V$1,0)
  ),
"")</f>
        <v>0</v>
      </c>
    </row>
    <row r="449" spans="1:17" x14ac:dyDescent="0.25">
      <c r="A449" s="20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Log'!$E$2:$V$70,
    MATCH(1,
      ('Golf Log'!$A$2:$A$70=$A449)*
      ('Golf Log'!$B$2:$B$70=$B449)*
      ('Golf Log'!$C$2:$C$70=$C449),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Log'!$E$2:$V$70,
    MATCH(1,
      ('Putt Log'!$A$2:$A$70=$A449)*
      ('Putt Log'!$B$2:$B$70=$B449)*
      ('Putt Log'!$C$2:$C$70=$C449),
    0),
    MATCH($G449,'Putt Log'!$E$1:$V$1,0)
  ),
"")</f>
        <v>2</v>
      </c>
      <c r="P449" cm="1">
        <f t="array" ref="P449">IF(K449=3,"",
  IFERROR(
    INDEX('Fairway Log'!$E$2:$V$70,
      MATCH(1,
        ('Fairway Log'!$A$2:$A$70=$A449)*
        ('Fairway Log'!$B$2:$B$70=$B449)*
        ('Fairway Log'!$C$2:$C520=$C449),
      0),
      MATCH($G449,'Fairway Log'!$E$1:$V$1,0)
    ),
  "")
)</f>
        <v>1</v>
      </c>
      <c r="Q449" cm="1">
        <f t="array" ref="Q449">IFERROR(
  INDEX('GIR Log'!$E$2:$V$70,
    MATCH(1,
      ('GIR Log'!$A$2:$A$70=$A449)*
      ('GIR Log'!$B$2:$B$70=$B449)*
      ('GIR Log'!$C$2:$C$70=$C449),
    0),
    MATCH($G449,'GIR Log'!$E$1:$V$1,0)
  ),
"")</f>
        <v>1</v>
      </c>
    </row>
    <row r="450" spans="1:17" x14ac:dyDescent="0.25">
      <c r="A450" s="20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Log'!$E$2:$V$70,
    MATCH(1,
      ('Golf Log'!$A$2:$A$70=$A450)*
      ('Golf Log'!$B$2:$B$70=$B450)*
      ('Golf Log'!$C$2:$C$70=$C450),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Log'!$E$2:$V$70,
    MATCH(1,
      ('Putt Log'!$A$2:$A$70=$A450)*
      ('Putt Log'!$B$2:$B$70=$B450)*
      ('Putt Log'!$C$2:$C$70=$C450),
    0),
    MATCH($G450,'Putt Log'!$E$1:$V$1,0)
  ),
"")</f>
        <v>2</v>
      </c>
      <c r="P450" cm="1">
        <f t="array" ref="P450">IF(K450=3,"",
  IFERROR(
    INDEX('Fairway Log'!$E$2:$V$70,
      MATCH(1,
        ('Fairway Log'!$A$2:$A$70=$A450)*
        ('Fairway Log'!$B$2:$B$70=$B450)*
        ('Fairway Log'!$C$2:$C521=$C450),
      0),
      MATCH($G450,'Fairway Log'!$E$1:$V$1,0)
    ),
  "")
)</f>
        <v>1</v>
      </c>
      <c r="Q450" cm="1">
        <f t="array" ref="Q450">IFERROR(
  INDEX('GIR Log'!$E$2:$V$70,
    MATCH(1,
      ('GIR Log'!$A$2:$A$70=$A450)*
      ('GIR Log'!$B$2:$B$70=$B450)*
      ('GIR Log'!$C$2:$C$70=$C450),
    0),
    MATCH($G450,'GIR Log'!$E$1:$V$1,0)
  ),
"")</f>
        <v>0</v>
      </c>
    </row>
    <row r="451" spans="1:17" x14ac:dyDescent="0.25">
      <c r="A451" s="20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Log'!$E$2:$V$70,
    MATCH(1,
      ('Golf Log'!$A$2:$A$70=$A451)*
      ('Golf Log'!$B$2:$B$70=$B451)*
      ('Golf Log'!$C$2:$C$70=$C451),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Log'!$E$2:$V$70,
    MATCH(1,
      ('Putt Log'!$A$2:$A$70=$A451)*
      ('Putt Log'!$B$2:$B$70=$B451)*
      ('Putt Log'!$C$2:$C$70=$C451),
    0),
    MATCH($G451,'Putt Log'!$E$1:$V$1,0)
  ),
"")</f>
        <v>2</v>
      </c>
      <c r="P451" t="str" cm="1">
        <f t="array" ref="P451">IF(K451=3,"",
  IFERROR(
    INDEX('Fairway Log'!$E$2:$V$70,
      MATCH(1,
        ('Fairway Log'!$A$2:$A$70=$A451)*
        ('Fairway Log'!$B$2:$B$70=$B451)*
        ('Fairway Log'!$C$2:$C522=$C451),
      0),
      MATCH($G451,'Fairway Log'!$E$1:$V$1,0)
    ),
  "")
)</f>
        <v>→</v>
      </c>
      <c r="Q451" cm="1">
        <f t="array" ref="Q451">IFERROR(
  INDEX('GIR Log'!$E$2:$V$70,
    MATCH(1,
      ('GIR Log'!$A$2:$A$70=$A451)*
      ('GIR Log'!$B$2:$B$70=$B451)*
      ('GIR Log'!$C$2:$C$70=$C451),
    0),
    MATCH($G451,'GIR Log'!$E$1:$V$1,0)
  ),
"")</f>
        <v>1</v>
      </c>
    </row>
    <row r="452" spans="1:17" x14ac:dyDescent="0.25">
      <c r="A452" s="20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Log'!$E$2:$V$70,
    MATCH(1,
      ('Golf Log'!$A$2:$A$70=$A452)*
      ('Golf Log'!$B$2:$B$70=$B452)*
      ('Golf Log'!$C$2:$C$70=$C452),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Log'!$E$2:$V$70,
    MATCH(1,
      ('Putt Log'!$A$2:$A$70=$A452)*
      ('Putt Log'!$B$2:$B$70=$B452)*
      ('Putt Log'!$C$2:$C$70=$C452),
    0),
    MATCH($G452,'Putt Log'!$E$1:$V$1,0)
  ),
"")</f>
        <v>2</v>
      </c>
      <c r="P452" t="str" cm="1">
        <f t="array" ref="P452">IF(K452=3,"",
  IFERROR(
    INDEX('Fairway Log'!$E$2:$V$70,
      MATCH(1,
        ('Fairway Log'!$A$2:$A$70=$A452)*
        ('Fairway Log'!$B$2:$B$70=$B452)*
        ('Fairway Log'!$C$2:$C523=$C452),
      0),
      MATCH($G452,'Fairway Log'!$E$1:$V$1,0)
    ),
  "")
)</f>
        <v>↑</v>
      </c>
      <c r="Q452" cm="1">
        <f t="array" ref="Q452">IFERROR(
  INDEX('GIR Log'!$E$2:$V$70,
    MATCH(1,
      ('GIR Log'!$A$2:$A$70=$A452)*
      ('GIR Log'!$B$2:$B$70=$B452)*
      ('GIR Log'!$C$2:$C$70=$C452),
    0),
    MATCH($G452,'GIR Log'!$E$1:$V$1,0)
  ),
"")</f>
        <v>0</v>
      </c>
    </row>
    <row r="453" spans="1:17" x14ac:dyDescent="0.25">
      <c r="A453" s="20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Log'!$E$2:$V$70,
    MATCH(1,
      ('Golf Log'!$A$2:$A$70=$A453)*
      ('Golf Log'!$B$2:$B$70=$B453)*
      ('Golf Log'!$C$2:$C$70=$C453),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Log'!$E$2:$V$70,
    MATCH(1,
      ('Putt Log'!$A$2:$A$70=$A453)*
      ('Putt Log'!$B$2:$B$70=$B453)*
      ('Putt Log'!$C$2:$C$70=$C453),
    0),
    MATCH($G453,'Putt Log'!$E$1:$V$1,0)
  ),
"")</f>
        <v>2</v>
      </c>
      <c r="P453" cm="1">
        <f t="array" ref="P453">IF(K453=3,"",
  IFERROR(
    INDEX('Fairway Log'!$E$2:$V$70,
      MATCH(1,
        ('Fairway Log'!$A$2:$A$70=$A453)*
        ('Fairway Log'!$B$2:$B$70=$B453)*
        ('Fairway Log'!$C$2:$C524=$C453),
      0),
      MATCH($G453,'Fairway Log'!$E$1:$V$1,0)
    ),
  "")
)</f>
        <v>1</v>
      </c>
      <c r="Q453" cm="1">
        <f t="array" ref="Q453">IFERROR(
  INDEX('GIR Log'!$E$2:$V$70,
    MATCH(1,
      ('GIR Log'!$A$2:$A$70=$A453)*
      ('GIR Log'!$B$2:$B$70=$B453)*
      ('GIR Log'!$C$2:$C$70=$C453),
    0),
    MATCH($G453,'GIR Log'!$E$1:$V$1,0)
  ),
"")</f>
        <v>0</v>
      </c>
    </row>
    <row r="454" spans="1:17" x14ac:dyDescent="0.25">
      <c r="A454" s="20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Log'!$E$2:$V$70,
    MATCH(1,
      ('Golf Log'!$A$2:$A$70=$A454)*
      ('Golf Log'!$B$2:$B$70=$B454)*
      ('Golf Log'!$C$2:$C$70=$C454),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Log'!$E$2:$V$70,
    MATCH(1,
      ('Putt Log'!$A$2:$A$70=$A454)*
      ('Putt Log'!$B$2:$B$70=$B454)*
      ('Putt Log'!$C$2:$C$70=$C454),
    0),
    MATCH($G454,'Putt Log'!$E$1:$V$1,0)
  ),
"")</f>
        <v>2</v>
      </c>
      <c r="P454" t="str" cm="1">
        <f t="array" ref="P454">IF(K454=3,"",
  IFERROR(
    INDEX('Fairway Log'!$E$2:$V$70,
      MATCH(1,
        ('Fairway Log'!$A$2:$A$70=$A454)*
        ('Fairway Log'!$B$2:$B$70=$B454)*
        ('Fairway Log'!$C$2:$C525=$C454),
      0),
      MATCH($G454,'Fairway Log'!$E$1:$V$1,0)
    ),
  "")
)</f>
        <v>→</v>
      </c>
      <c r="Q454" cm="1">
        <f t="array" ref="Q454">IFERROR(
  INDEX('GIR Log'!$E$2:$V$70,
    MATCH(1,
      ('GIR Log'!$A$2:$A$70=$A454)*
      ('GIR Log'!$B$2:$B$70=$B454)*
      ('GIR Log'!$C$2:$C$70=$C454),
    0),
    MATCH($G454,'GIR Log'!$E$1:$V$1,0)
  ),
"")</f>
        <v>0</v>
      </c>
    </row>
    <row r="455" spans="1:17" x14ac:dyDescent="0.25">
      <c r="A455" s="20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Log'!$E$2:$V$70,
    MATCH(1,
      ('Golf Log'!$A$2:$A$70=$A455)*
      ('Golf Log'!$B$2:$B$70=$B455)*
      ('Golf Log'!$C$2:$C$70=$C455),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Log'!$E$2:$V$70,
    MATCH(1,
      ('Putt Log'!$A$2:$A$70=$A455)*
      ('Putt Log'!$B$2:$B$70=$B455)*
      ('Putt Log'!$C$2:$C$70=$C455),
    0),
    MATCH($G455,'Putt Log'!$E$1:$V$1,0)
  ),
"")</f>
        <v>1</v>
      </c>
      <c r="P455" t="str" cm="1">
        <f t="array" ref="P455">IF(K455=3,"",
  IFERROR(
    INDEX('Fairway Log'!$E$2:$V$70,
      MATCH(1,
        ('Fairway Log'!$A$2:$A$70=$A455)*
        ('Fairway Log'!$B$2:$B$70=$B455)*
        ('Fairway Log'!$C$2:$C526=$C455),
      0),
      MATCH($G455,'Fairway Log'!$E$1:$V$1,0)
    ),
  "")
)</f>
        <v/>
      </c>
      <c r="Q455" cm="1">
        <f t="array" ref="Q455">IFERROR(
  INDEX('GIR Log'!$E$2:$V$70,
    MATCH(1,
      ('GIR Log'!$A$2:$A$70=$A455)*
      ('GIR Log'!$B$2:$B$70=$B455)*
      ('GIR Log'!$C$2:$C$70=$C455),
    0),
    MATCH($G455,'GIR Log'!$E$1:$V$1,0)
  ),
"")</f>
        <v>1</v>
      </c>
    </row>
    <row r="456" spans="1:17" x14ac:dyDescent="0.25">
      <c r="A456" s="20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Log'!$E$2:$V$70,
    MATCH(1,
      ('Golf Log'!$A$2:$A$70=$A456)*
      ('Golf Log'!$B$2:$B$70=$B456)*
      ('Golf Log'!$C$2:$C$70=$C456),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Log'!$E$2:$V$70,
    MATCH(1,
      ('Putt Log'!$A$2:$A$70=$A456)*
      ('Putt Log'!$B$2:$B$70=$B456)*
      ('Putt Log'!$C$2:$C$70=$C456),
    0),
    MATCH($G456,'Putt Log'!$E$1:$V$1,0)
  ),
"")</f>
        <v>2</v>
      </c>
      <c r="P456" t="str" cm="1">
        <f t="array" ref="P456">IF(K456=3,"",
  IFERROR(
    INDEX('Fairway Log'!$E$2:$V$70,
      MATCH(1,
        ('Fairway Log'!$A$2:$A$70=$A456)*
        ('Fairway Log'!$B$2:$B$70=$B456)*
        ('Fairway Log'!$C$2:$C527=$C456),
      0),
      MATCH($G456,'Fairway Log'!$E$1:$V$1,0)
    ),
  "")
)</f>
        <v>→</v>
      </c>
      <c r="Q456" cm="1">
        <f t="array" ref="Q456">IFERROR(
  INDEX('GIR Log'!$E$2:$V$70,
    MATCH(1,
      ('GIR Log'!$A$2:$A$70=$A456)*
      ('GIR Log'!$B$2:$B$70=$B456)*
      ('GIR Log'!$C$2:$C$70=$C456),
    0),
    MATCH($G456,'GIR Log'!$E$1:$V$1,0)
  ),
"")</f>
        <v>0</v>
      </c>
    </row>
    <row r="457" spans="1:17" x14ac:dyDescent="0.25">
      <c r="A457" s="20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Log'!$E$2:$V$70,
    MATCH(1,
      ('Golf Log'!$A$2:$A$70=$A457)*
      ('Golf Log'!$B$2:$B$70=$B457)*
      ('Golf Log'!$C$2:$C$70=$C457),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Log'!$E$2:$V$70,
    MATCH(1,
      ('Putt Log'!$A$2:$A$70=$A457)*
      ('Putt Log'!$B$2:$B$70=$B457)*
      ('Putt Log'!$C$2:$C$70=$C457),
    0),
    MATCH($G457,'Putt Log'!$E$1:$V$1,0)
  ),
"")</f>
        <v>1</v>
      </c>
      <c r="P457" t="str" cm="1">
        <f t="array" ref="P457">IF(K457=3,"",
  IFERROR(
    INDEX('Fairway Log'!$E$2:$V$70,
      MATCH(1,
        ('Fairway Log'!$A$2:$A$70=$A457)*
        ('Fairway Log'!$B$2:$B$70=$B457)*
        ('Fairway Log'!$C$2:$C528=$C457),
      0),
      MATCH($G457,'Fairway Log'!$E$1:$V$1,0)
    ),
  "")
)</f>
        <v>→</v>
      </c>
      <c r="Q457" cm="1">
        <f t="array" ref="Q457">IFERROR(
  INDEX('GIR Log'!$E$2:$V$70,
    MATCH(1,
      ('GIR Log'!$A$2:$A$70=$A457)*
      ('GIR Log'!$B$2:$B$70=$B457)*
      ('GIR Log'!$C$2:$C$70=$C457),
    0),
    MATCH($G457,'GIR Log'!$E$1:$V$1,0)
  ),
"")</f>
        <v>1</v>
      </c>
    </row>
    <row r="458" spans="1:17" x14ac:dyDescent="0.25">
      <c r="A458" s="20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Log'!$E$2:$V$70,
    MATCH(1,
      ('Golf Log'!$A$2:$A$70=$A458)*
      ('Golf Log'!$B$2:$B$70=$B458)*
      ('Golf Log'!$C$2:$C$70=$C458),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Log'!$E$2:$V$70,
    MATCH(1,
      ('Putt Log'!$A$2:$A$70=$A458)*
      ('Putt Log'!$B$2:$B$70=$B458)*
      ('Putt Log'!$C$2:$C$70=$C458),
    0),
    MATCH($G458,'Putt Log'!$E$1:$V$1,0)
  ),
"")</f>
        <v>3</v>
      </c>
      <c r="P458" t="str" cm="1">
        <f t="array" ref="P458">IF(K458=3,"",
  IFERROR(
    INDEX('Fairway Log'!$E$2:$V$70,
      MATCH(1,
        ('Fairway Log'!$A$2:$A$70=$A458)*
        ('Fairway Log'!$B$2:$B$70=$B458)*
        ('Fairway Log'!$C$2:$C529=$C458),
      0),
      MATCH($G458,'Fairway Log'!$E$1:$V$1,0)
    ),
  "")
)</f>
        <v/>
      </c>
      <c r="Q458" cm="1">
        <f t="array" ref="Q458">IFERROR(
  INDEX('GIR Log'!$E$2:$V$70,
    MATCH(1,
      ('GIR Log'!$A$2:$A$70=$A458)*
      ('GIR Log'!$B$2:$B$70=$B458)*
      ('GIR Log'!$C$2:$C$70=$C458),
    0),
    MATCH($G458,'GIR Log'!$E$1:$V$1,0)
  ),
"")</f>
        <v>0</v>
      </c>
    </row>
    <row r="459" spans="1:17" x14ac:dyDescent="0.25">
      <c r="A459" s="20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Log'!$E$2:$V$70,
    MATCH(1,
      ('Golf Log'!$A$2:$A$70=$A459)*
      ('Golf Log'!$B$2:$B$70=$B459)*
      ('Golf Log'!$C$2:$C$70=$C459),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Log'!$E$2:$V$70,
    MATCH(1,
      ('Putt Log'!$A$2:$A$70=$A459)*
      ('Putt Log'!$B$2:$B$70=$B459)*
      ('Putt Log'!$C$2:$C$70=$C459),
    0),
    MATCH($G459,'Putt Log'!$E$1:$V$1,0)
  ),
"")</f>
        <v>2</v>
      </c>
      <c r="P459" t="str" cm="1">
        <f t="array" ref="P459">IF(K459=3,"",
  IFERROR(
    INDEX('Fairway Log'!$E$2:$V$70,
      MATCH(1,
        ('Fairway Log'!$A$2:$A$70=$A459)*
        ('Fairway Log'!$B$2:$B$70=$B459)*
        ('Fairway Log'!$C$2:$C530=$C459),
      0),
      MATCH($G459,'Fairway Log'!$E$1:$V$1,0)
    ),
  "")
)</f>
        <v>→</v>
      </c>
      <c r="Q459" cm="1">
        <f t="array" ref="Q459">IFERROR(
  INDEX('GIR Log'!$E$2:$V$70,
    MATCH(1,
      ('GIR Log'!$A$2:$A$70=$A459)*
      ('GIR Log'!$B$2:$B$70=$B459)*
      ('GIR Log'!$C$2:$C$70=$C459),
    0),
    MATCH($G459,'GIR Log'!$E$1:$V$1,0)
  ),
"")</f>
        <v>0</v>
      </c>
    </row>
    <row r="460" spans="1:17" x14ac:dyDescent="0.25">
      <c r="A460" s="20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Log'!$E$2:$V$70,
    MATCH(1,
      ('Golf Log'!$A$2:$A$70=$A460)*
      ('Golf Log'!$B$2:$B$70=$B460)*
      ('Golf Log'!$C$2:$C$70=$C460),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Log'!$E$2:$V$70,
    MATCH(1,
      ('Putt Log'!$A$2:$A$70=$A460)*
      ('Putt Log'!$B$2:$B$70=$B460)*
      ('Putt Log'!$C$2:$C$70=$C460),
    0),
    MATCH($G460,'Putt Log'!$E$1:$V$1,0)
  ),
"")</f>
        <v>2</v>
      </c>
      <c r="P460" t="str" cm="1">
        <f t="array" ref="P460">IF(K460=3,"",
  IFERROR(
    INDEX('Fairway Log'!$E$2:$V$70,
      MATCH(1,
        ('Fairway Log'!$A$2:$A$70=$A460)*
        ('Fairway Log'!$B$2:$B$70=$B460)*
        ('Fairway Log'!$C$2:$C531=$C460),
      0),
      MATCH($G460,'Fairway Log'!$E$1:$V$1,0)
    ),
  "")
)</f>
        <v>↑</v>
      </c>
      <c r="Q460" cm="1">
        <f t="array" ref="Q460">IFERROR(
  INDEX('GIR Log'!$E$2:$V$70,
    MATCH(1,
      ('GIR Log'!$A$2:$A$70=$A460)*
      ('GIR Log'!$B$2:$B$70=$B460)*
      ('GIR Log'!$C$2:$C$70=$C460),
    0),
    MATCH($G460,'GIR Log'!$E$1:$V$1,0)
  ),
"")</f>
        <v>0</v>
      </c>
    </row>
    <row r="461" spans="1:17" x14ac:dyDescent="0.25">
      <c r="A461" s="20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Log'!$E$2:$V$70,
    MATCH(1,
      ('Golf Log'!$A$2:$A$70=$A461)*
      ('Golf Log'!$B$2:$B$70=$B461)*
      ('Golf Log'!$C$2:$C$70=$C461),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Log'!$E$2:$V$70,
    MATCH(1,
      ('Putt Log'!$A$2:$A$70=$A461)*
      ('Putt Log'!$B$2:$B$70=$B461)*
      ('Putt Log'!$C$2:$C$70=$C461),
    0),
    MATCH($G461,'Putt Log'!$E$1:$V$1,0)
  ),
"")</f>
        <v>1</v>
      </c>
      <c r="P461" cm="1">
        <f t="array" ref="P461">IF(K461=3,"",
  IFERROR(
    INDEX('Fairway Log'!$E$2:$V$70,
      MATCH(1,
        ('Fairway Log'!$A$2:$A$70=$A461)*
        ('Fairway Log'!$B$2:$B$70=$B461)*
        ('Fairway Log'!$C$2:$C532=$C461),
      0),
      MATCH($G461,'Fairway Log'!$E$1:$V$1,0)
    ),
  "")
)</f>
        <v>1</v>
      </c>
      <c r="Q461" cm="1">
        <f t="array" ref="Q461">IFERROR(
  INDEX('GIR Log'!$E$2:$V$70,
    MATCH(1,
      ('GIR Log'!$A$2:$A$70=$A461)*
      ('GIR Log'!$B$2:$B$70=$B461)*
      ('GIR Log'!$C$2:$C$70=$C461),
    0),
    MATCH($G461,'GIR Log'!$E$1:$V$1,0)
  ),
"")</f>
        <v>0</v>
      </c>
    </row>
    <row r="462" spans="1:17" x14ac:dyDescent="0.25">
      <c r="A462" s="20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Log'!$E$2:$V$70,
    MATCH(1,
      ('Golf Log'!$A$2:$A$70=$A462)*
      ('Golf Log'!$B$2:$B$70=$B462)*
      ('Golf Log'!$C$2:$C$70=$C462),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Log'!$E$2:$V$70,
    MATCH(1,
      ('Putt Log'!$A$2:$A$70=$A462)*
      ('Putt Log'!$B$2:$B$70=$B462)*
      ('Putt Log'!$C$2:$C$70=$C462),
    0),
    MATCH($G462,'Putt Log'!$E$1:$V$1,0)
  ),
"")</f>
        <v>1</v>
      </c>
      <c r="P462" t="str" cm="1">
        <f t="array" ref="P462">IF(K462=3,"",
  IFERROR(
    INDEX('Fairway Log'!$E$2:$V$70,
      MATCH(1,
        ('Fairway Log'!$A$2:$A$70=$A462)*
        ('Fairway Log'!$B$2:$B$70=$B462)*
        ('Fairway Log'!$C$2:$C533=$C462),
      0),
      MATCH($G462,'Fairway Log'!$E$1:$V$1,0)
    ),
  "")
)</f>
        <v/>
      </c>
      <c r="Q462" cm="1">
        <f t="array" ref="Q462">IFERROR(
  INDEX('GIR Log'!$E$2:$V$70,
    MATCH(1,
      ('GIR Log'!$A$2:$A$70=$A462)*
      ('GIR Log'!$B$2:$B$70=$B462)*
      ('GIR Log'!$C$2:$C$70=$C462),
    0),
    MATCH($G462,'GIR Log'!$E$1:$V$1,0)
  ),
"")</f>
        <v>0</v>
      </c>
    </row>
    <row r="463" spans="1:17" x14ac:dyDescent="0.25">
      <c r="A463" s="20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Log'!$E$2:$V$70,
    MATCH(1,
      ('Golf Log'!$A$2:$A$70=$A463)*
      ('Golf Log'!$B$2:$B$70=$B463)*
      ('Golf Log'!$C$2:$C$70=$C463),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Log'!$E$2:$V$70,
    MATCH(1,
      ('Putt Log'!$A$2:$A$70=$A463)*
      ('Putt Log'!$B$2:$B$70=$B463)*
      ('Putt Log'!$C$2:$C$70=$C463),
    0),
    MATCH($G463,'Putt Log'!$E$1:$V$1,0)
  ),
"")</f>
        <v>2</v>
      </c>
      <c r="P463" t="str" cm="1">
        <f t="array" ref="P463">IF(K463=3,"",
  IFERROR(
    INDEX('Fairway Log'!$E$2:$V$70,
      MATCH(1,
        ('Fairway Log'!$A$2:$A$70=$A463)*
        ('Fairway Log'!$B$2:$B$70=$B463)*
        ('Fairway Log'!$C$2:$C534=$C463),
      0),
      MATCH($G463,'Fairway Log'!$E$1:$V$1,0)
    ),
  "")
)</f>
        <v>←</v>
      </c>
      <c r="Q463" cm="1">
        <f t="array" ref="Q463">IFERROR(
  INDEX('GIR Log'!$E$2:$V$70,
    MATCH(1,
      ('GIR Log'!$A$2:$A$70=$A463)*
      ('GIR Log'!$B$2:$B$70=$B463)*
      ('GIR Log'!$C$2:$C$70=$C463),
    0),
    MATCH($G463,'GIR Log'!$E$1:$V$1,0)
  ),
"")</f>
        <v>0</v>
      </c>
    </row>
    <row r="464" spans="1:17" x14ac:dyDescent="0.25">
      <c r="A464" s="20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Log'!$E$2:$V$70,
    MATCH(1,
      ('Golf Log'!$A$2:$A$70=$A464)*
      ('Golf Log'!$B$2:$B$70=$B464)*
      ('Golf Log'!$C$2:$C$70=$C464),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Log'!$E$2:$V$70,
    MATCH(1,
      ('Putt Log'!$A$2:$A$70=$A464)*
      ('Putt Log'!$B$2:$B$70=$B464)*
      ('Putt Log'!$C$2:$C$70=$C464),
    0),
    MATCH($G464,'Putt Log'!$E$1:$V$1,0)
  ),
"")</f>
        <v>2</v>
      </c>
      <c r="P464" t="str" cm="1">
        <f t="array" ref="P464">IF(K464=3,"",
  IFERROR(
    INDEX('Fairway Log'!$E$2:$V$70,
      MATCH(1,
        ('Fairway Log'!$A$2:$A$70=$A464)*
        ('Fairway Log'!$B$2:$B$70=$B464)*
        ('Fairway Log'!$C$2:$C535=$C464),
      0),
      MATCH($G464,'Fairway Log'!$E$1:$V$1,0)
    ),
  "")
)</f>
        <v>↑</v>
      </c>
      <c r="Q464" cm="1">
        <f t="array" ref="Q464">IFERROR(
  INDEX('GIR Log'!$E$2:$V$70,
    MATCH(1,
      ('GIR Log'!$A$2:$A$70=$A464)*
      ('GIR Log'!$B$2:$B$70=$B464)*
      ('GIR Log'!$C$2:$C$70=$C464),
    0),
    MATCH($G464,'GIR Log'!$E$1:$V$1,0)
  ),
"")</f>
        <v>0</v>
      </c>
    </row>
    <row r="465" spans="1:17" x14ac:dyDescent="0.25">
      <c r="A465" s="20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Log'!$E$2:$V$70,
    MATCH(1,
      ('Golf Log'!$A$2:$A$70=$A465)*
      ('Golf Log'!$B$2:$B$70=$B465)*
      ('Golf Log'!$C$2:$C$70=$C465),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Log'!$E$2:$V$70,
    MATCH(1,
      ('Putt Log'!$A$2:$A$70=$A465)*
      ('Putt Log'!$B$2:$B$70=$B465)*
      ('Putt Log'!$C$2:$C$70=$C465),
    0),
    MATCH($G465,'Putt Log'!$E$1:$V$1,0)
  ),
"")</f>
        <v>1</v>
      </c>
      <c r="P465" t="str" cm="1">
        <f t="array" ref="P465">IF(K465=3,"",
  IFERROR(
    INDEX('Fairway Log'!$E$2:$V$70,
      MATCH(1,
        ('Fairway Log'!$A$2:$A$70=$A465)*
        ('Fairway Log'!$B$2:$B$70=$B465)*
        ('Fairway Log'!$C$2:$C536=$C465),
      0),
      MATCH($G465,'Fairway Log'!$E$1:$V$1,0)
    ),
  "")
)</f>
        <v/>
      </c>
      <c r="Q465" cm="1">
        <f t="array" ref="Q465">IFERROR(
  INDEX('GIR Log'!$E$2:$V$70,
    MATCH(1,
      ('GIR Log'!$A$2:$A$70=$A465)*
      ('GIR Log'!$B$2:$B$70=$B465)*
      ('GIR Log'!$C$2:$C$70=$C465),
    0),
    MATCH($G465,'GIR Log'!$E$1:$V$1,0)
  ),
"")</f>
        <v>0</v>
      </c>
    </row>
    <row r="466" spans="1:17" x14ac:dyDescent="0.25">
      <c r="A466" s="20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Log'!$E$2:$V$70,
    MATCH(1,
      ('Golf Log'!$A$2:$A$70=$A466)*
      ('Golf Log'!$B$2:$B$70=$B466)*
      ('Golf Log'!$C$2:$C$70=$C466),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Log'!$E$2:$V$70,
    MATCH(1,
      ('Putt Log'!$A$2:$A$70=$A466)*
      ('Putt Log'!$B$2:$B$70=$B466)*
      ('Putt Log'!$C$2:$C$70=$C466),
    0),
    MATCH($G466,'Putt Log'!$E$1:$V$1,0)
  ),
"")</f>
        <v>2</v>
      </c>
      <c r="P466" cm="1">
        <f t="array" ref="P466">IF(K466=3,"",
  IFERROR(
    INDEX('Fairway Log'!$E$2:$V$70,
      MATCH(1,
        ('Fairway Log'!$A$2:$A$70=$A466)*
        ('Fairway Log'!$B$2:$B$70=$B466)*
        ('Fairway Log'!$C$2:$C537=$C466),
      0),
      MATCH($G466,'Fairway Log'!$E$1:$V$1,0)
    ),
  "")
)</f>
        <v>1</v>
      </c>
      <c r="Q466" cm="1">
        <f t="array" ref="Q466">IFERROR(
  INDEX('GIR Log'!$E$2:$V$70,
    MATCH(1,
      ('GIR Log'!$A$2:$A$70=$A466)*
      ('GIR Log'!$B$2:$B$70=$B466)*
      ('GIR Log'!$C$2:$C$70=$C466),
    0),
    MATCH($G466,'GIR Log'!$E$1:$V$1,0)
  ),
"")</f>
        <v>0</v>
      </c>
    </row>
    <row r="467" spans="1:17" x14ac:dyDescent="0.25">
      <c r="A467" s="20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Log'!$E$2:$V$70,
    MATCH(1,
      ('Golf Log'!$A$2:$A$70=$A467)*
      ('Golf Log'!$B$2:$B$70=$B467)*
      ('Golf Log'!$C$2:$C$70=$C467),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Log'!$E$2:$V$70,
    MATCH(1,
      ('Putt Log'!$A$2:$A$70=$A467)*
      ('Putt Log'!$B$2:$B$70=$B467)*
      ('Putt Log'!$C$2:$C$70=$C467),
    0),
    MATCH($G467,'Putt Log'!$E$1:$V$1,0)
  ),
"")</f>
        <v>2</v>
      </c>
      <c r="P467" cm="1">
        <f t="array" ref="P467">IF(K467=3,"",
  IFERROR(
    INDEX('Fairway Log'!$E$2:$V$70,
      MATCH(1,
        ('Fairway Log'!$A$2:$A$70=$A467)*
        ('Fairway Log'!$B$2:$B$70=$B467)*
        ('Fairway Log'!$C$2:$C538=$C467),
      0),
      MATCH($G467,'Fairway Log'!$E$1:$V$1,0)
    ),
  "")
)</f>
        <v>1</v>
      </c>
      <c r="Q467" cm="1">
        <f t="array" ref="Q467">IFERROR(
  INDEX('GIR Log'!$E$2:$V$70,
    MATCH(1,
      ('GIR Log'!$A$2:$A$70=$A467)*
      ('GIR Log'!$B$2:$B$70=$B467)*
      ('GIR Log'!$C$2:$C$70=$C467),
    0),
    MATCH($G467,'GIR Log'!$E$1:$V$1,0)
  ),
"")</f>
        <v>1</v>
      </c>
    </row>
    <row r="468" spans="1:17" x14ac:dyDescent="0.25">
      <c r="A468" s="20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Log'!$E$2:$V$70,
    MATCH(1,
      ('Golf Log'!$A$2:$A$70=$A468)*
      ('Golf Log'!$B$2:$B$70=$B468)*
      ('Golf Log'!$C$2:$C$70=$C468),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Log'!$E$2:$V$70,
    MATCH(1,
      ('Putt Log'!$A$2:$A$70=$A468)*
      ('Putt Log'!$B$2:$B$70=$B468)*
      ('Putt Log'!$C$2:$C$70=$C468),
    0),
    MATCH($G468,'Putt Log'!$E$1:$V$1,0)
  ),
"")</f>
        <v>2</v>
      </c>
      <c r="P468" t="str" cm="1">
        <f t="array" ref="P468">IF(K468=3,"",
  IFERROR(
    INDEX('Fairway Log'!$E$2:$V$70,
      MATCH(1,
        ('Fairway Log'!$A$2:$A$70=$A468)*
        ('Fairway Log'!$B$2:$B$70=$B468)*
        ('Fairway Log'!$C$2:$C539=$C468),
      0),
      MATCH($G468,'Fairway Log'!$E$1:$V$1,0)
    ),
  "")
)</f>
        <v>→</v>
      </c>
      <c r="Q468" cm="1">
        <f t="array" ref="Q468">IFERROR(
  INDEX('GIR Log'!$E$2:$V$70,
    MATCH(1,
      ('GIR Log'!$A$2:$A$70=$A468)*
      ('GIR Log'!$B$2:$B$70=$B468)*
      ('GIR Log'!$C$2:$C$70=$C468),
    0),
    MATCH($G468,'GIR Log'!$E$1:$V$1,0)
  ),
"")</f>
        <v>1</v>
      </c>
    </row>
    <row r="469" spans="1:17" x14ac:dyDescent="0.25">
      <c r="A469" s="20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Log'!$E$2:$V$70,
    MATCH(1,
      ('Golf Log'!$A$2:$A$70=$A469)*
      ('Golf Log'!$B$2:$B$70=$B469)*
      ('Golf Log'!$C$2:$C$70=$C469),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Log'!$E$2:$V$70,
    MATCH(1,
      ('Putt Log'!$A$2:$A$70=$A469)*
      ('Putt Log'!$B$2:$B$70=$B469)*
      ('Putt Log'!$C$2:$C$70=$C469),
    0),
    MATCH($G469,'Putt Log'!$E$1:$V$1,0)
  ),
"")</f>
        <v>2</v>
      </c>
      <c r="P469" t="str" cm="1">
        <f t="array" ref="P469">IF(K469=3,"",
  IFERROR(
    INDEX('Fairway Log'!$E$2:$V$70,
      MATCH(1,
        ('Fairway Log'!$A$2:$A$70=$A469)*
        ('Fairway Log'!$B$2:$B$70=$B469)*
        ('Fairway Log'!$C$2:$C540=$C469),
      0),
      MATCH($G469,'Fairway Log'!$E$1:$V$1,0)
    ),
  "")
)</f>
        <v>→</v>
      </c>
      <c r="Q469" cm="1">
        <f t="array" ref="Q469">IFERROR(
  INDEX('GIR Log'!$E$2:$V$70,
    MATCH(1,
      ('GIR Log'!$A$2:$A$70=$A469)*
      ('GIR Log'!$B$2:$B$70=$B469)*
      ('GIR Log'!$C$2:$C$70=$C469),
    0),
    MATCH($G469,'GIR Log'!$E$1:$V$1,0)
  ),
"")</f>
        <v>0</v>
      </c>
    </row>
    <row r="470" spans="1:17" x14ac:dyDescent="0.25">
      <c r="A470" s="20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Log'!$E$2:$V$70,
    MATCH(1,
      ('Golf Log'!$A$2:$A$70=$A470)*
      ('Golf Log'!$B$2:$B$70=$B470)*
      ('Golf Log'!$C$2:$C$70=$C470),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Log'!$E$2:$V$70,
    MATCH(1,
      ('Putt Log'!$A$2:$A$70=$A470)*
      ('Putt Log'!$B$2:$B$70=$B470)*
      ('Putt Log'!$C$2:$C$70=$C470),
    0),
    MATCH($G470,'Putt Log'!$E$1:$V$1,0)
  ),
"")</f>
        <v>2</v>
      </c>
      <c r="P470" t="str" cm="1">
        <f t="array" ref="P470">IF(K470=3,"",
  IFERROR(
    INDEX('Fairway Log'!$E$2:$V$70,
      MATCH(1,
        ('Fairway Log'!$A$2:$A$70=$A470)*
        ('Fairway Log'!$B$2:$B$70=$B470)*
        ('Fairway Log'!$C$2:$C541=$C470),
      0),
      MATCH($G470,'Fairway Log'!$E$1:$V$1,0)
    ),
  "")
)</f>
        <v>→</v>
      </c>
      <c r="Q470" cm="1">
        <f t="array" ref="Q470">IFERROR(
  INDEX('GIR Log'!$E$2:$V$70,
    MATCH(1,
      ('GIR Log'!$A$2:$A$70=$A470)*
      ('GIR Log'!$B$2:$B$70=$B470)*
      ('GIR Log'!$C$2:$C$70=$C470),
    0),
    MATCH($G470,'GIR Log'!$E$1:$V$1,0)
  ),
"")</f>
        <v>0</v>
      </c>
    </row>
    <row r="471" spans="1:17" x14ac:dyDescent="0.25">
      <c r="A471" s="20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Log'!$E$2:$V$70,
    MATCH(1,
      ('Golf Log'!$A$2:$A$70=$A471)*
      ('Golf Log'!$B$2:$B$70=$B471)*
      ('Golf Log'!$C$2:$C$70=$C471),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Log'!$E$2:$V$70,
    MATCH(1,
      ('Putt Log'!$A$2:$A$70=$A471)*
      ('Putt Log'!$B$2:$B$70=$B471)*
      ('Putt Log'!$C$2:$C$70=$C471),
    0),
    MATCH($G471,'Putt Log'!$E$1:$V$1,0)
  ),
"")</f>
        <v>2</v>
      </c>
      <c r="P471" t="str" cm="1">
        <f t="array" ref="P471">IF(K471=3,"",
  IFERROR(
    INDEX('Fairway Log'!$E$2:$V$70,
      MATCH(1,
        ('Fairway Log'!$A$2:$A$70=$A471)*
        ('Fairway Log'!$B$2:$B$70=$B471)*
        ('Fairway Log'!$C$2:$C542=$C471),
      0),
      MATCH($G471,'Fairway Log'!$E$1:$V$1,0)
    ),
  "")
)</f>
        <v>←</v>
      </c>
      <c r="Q471" cm="1">
        <f t="array" ref="Q471">IFERROR(
  INDEX('GIR Log'!$E$2:$V$70,
    MATCH(1,
      ('GIR Log'!$A$2:$A$70=$A471)*
      ('GIR Log'!$B$2:$B$70=$B471)*
      ('GIR Log'!$C$2:$C$70=$C471),
    0),
    MATCH($G471,'GIR Log'!$E$1:$V$1,0)
  ),
"")</f>
        <v>0</v>
      </c>
    </row>
    <row r="472" spans="1:17" x14ac:dyDescent="0.25">
      <c r="A472" s="20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Log'!$E$2:$V$70,
    MATCH(1,
      ('Golf Log'!$A$2:$A$70=$A472)*
      ('Golf Log'!$B$2:$B$70=$B472)*
      ('Golf Log'!$C$2:$C$70=$C472),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Log'!$E$2:$V$70,
    MATCH(1,
      ('Putt Log'!$A$2:$A$70=$A472)*
      ('Putt Log'!$B$2:$B$70=$B472)*
      ('Putt Log'!$C$2:$C$70=$C472),
    0),
    MATCH($G472,'Putt Log'!$E$1:$V$1,0)
  ),
"")</f>
        <v>2</v>
      </c>
      <c r="P472" t="str" cm="1">
        <f t="array" ref="P472">IF(K472=3,"",
  IFERROR(
    INDEX('Fairway Log'!$E$2:$V$70,
      MATCH(1,
        ('Fairway Log'!$A$2:$A$70=$A472)*
        ('Fairway Log'!$B$2:$B$70=$B472)*
        ('Fairway Log'!$C$2:$C543=$C472),
      0),
      MATCH($G472,'Fairway Log'!$E$1:$V$1,0)
    ),
  "")
)</f>
        <v/>
      </c>
      <c r="Q472" cm="1">
        <f t="array" ref="Q472">IFERROR(
  INDEX('GIR Log'!$E$2:$V$70,
    MATCH(1,
      ('GIR Log'!$A$2:$A$70=$A472)*
      ('GIR Log'!$B$2:$B$70=$B472)*
      ('GIR Log'!$C$2:$C$70=$C472),
    0),
    MATCH($G472,'GIR Log'!$E$1:$V$1,0)
  ),
"")</f>
        <v>1</v>
      </c>
    </row>
    <row r="473" spans="1:17" x14ac:dyDescent="0.25">
      <c r="A473" s="20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Log'!$E$2:$V$70,
    MATCH(1,
      ('Golf Log'!$A$2:$A$70=$A473)*
      ('Golf Log'!$B$2:$B$70=$B473)*
      ('Golf Log'!$C$2:$C$70=$C473),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Log'!$E$2:$V$70,
    MATCH(1,
      ('Putt Log'!$A$2:$A$70=$A473)*
      ('Putt Log'!$B$2:$B$70=$B473)*
      ('Putt Log'!$C$2:$C$70=$C473),
    0),
    MATCH($G473,'Putt Log'!$E$1:$V$1,0)
  ),
"")</f>
        <v>2</v>
      </c>
      <c r="P473" cm="1">
        <f t="array" ref="P473">IF(K473=3,"",
  IFERROR(
    INDEX('Fairway Log'!$E$2:$V$70,
      MATCH(1,
        ('Fairway Log'!$A$2:$A$70=$A473)*
        ('Fairway Log'!$B$2:$B$70=$B473)*
        ('Fairway Log'!$C$2:$C544=$C473),
      0),
      MATCH($G473,'Fairway Log'!$E$1:$V$1,0)
    ),
  "")
)</f>
        <v>1</v>
      </c>
      <c r="Q473" cm="1">
        <f t="array" ref="Q473">IFERROR(
  INDEX('GIR Log'!$E$2:$V$70,
    MATCH(1,
      ('GIR Log'!$A$2:$A$70=$A473)*
      ('GIR Log'!$B$2:$B$70=$B473)*
      ('GIR Log'!$C$2:$C$70=$C473),
    0),
    MATCH($G473,'GIR Log'!$E$1:$V$1,0)
  ),
"")</f>
        <v>1</v>
      </c>
    </row>
    <row r="474" spans="1:17" x14ac:dyDescent="0.25">
      <c r="A474" s="20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Log'!$E$2:$V$70,
    MATCH(1,
      ('Golf Log'!$A$2:$A$70=$A474)*
      ('Golf Log'!$B$2:$B$70=$B474)*
      ('Golf Log'!$C$2:$C$70=$C474),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Log'!$E$2:$V$70,
    MATCH(1,
      ('Putt Log'!$A$2:$A$70=$A474)*
      ('Putt Log'!$B$2:$B$70=$B474)*
      ('Putt Log'!$C$2:$C$70=$C474),
    0),
    MATCH($G474,'Putt Log'!$E$1:$V$1,0)
  ),
"")</f>
        <v>2</v>
      </c>
      <c r="P474" t="str" cm="1">
        <f t="array" ref="P474">IF(K474=3,"",
  IFERROR(
    INDEX('Fairway Log'!$E$2:$V$70,
      MATCH(1,
        ('Fairway Log'!$A$2:$A$70=$A474)*
        ('Fairway Log'!$B$2:$B$70=$B474)*
        ('Fairway Log'!$C$2:$C545=$C474),
      0),
      MATCH($G474,'Fairway Log'!$E$1:$V$1,0)
    ),
  "")
)</f>
        <v>↑</v>
      </c>
      <c r="Q474" cm="1">
        <f t="array" ref="Q474">IFERROR(
  INDEX('GIR Log'!$E$2:$V$70,
    MATCH(1,
      ('GIR Log'!$A$2:$A$70=$A474)*
      ('GIR Log'!$B$2:$B$70=$B474)*
      ('GIR Log'!$C$2:$C$70=$C474),
    0),
    MATCH($G474,'GIR Log'!$E$1:$V$1,0)
  ),
"")</f>
        <v>1</v>
      </c>
    </row>
    <row r="475" spans="1:17" x14ac:dyDescent="0.25">
      <c r="A475" s="20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Log'!$E$2:$V$70,
    MATCH(1,
      ('Golf Log'!$A$2:$A$70=$A475)*
      ('Golf Log'!$B$2:$B$70=$B475)*
      ('Golf Log'!$C$2:$C$70=$C475),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Log'!$E$2:$V$70,
    MATCH(1,
      ('Putt Log'!$A$2:$A$70=$A475)*
      ('Putt Log'!$B$2:$B$70=$B475)*
      ('Putt Log'!$C$2:$C$70=$C475),
    0),
    MATCH($G475,'Putt Log'!$E$1:$V$1,0)
  ),
"")</f>
        <v>2</v>
      </c>
      <c r="P475" cm="1">
        <f t="array" ref="P475">IF(K475=3,"",
  IFERROR(
    INDEX('Fairway Log'!$E$2:$V$70,
      MATCH(1,
        ('Fairway Log'!$A$2:$A$70=$A475)*
        ('Fairway Log'!$B$2:$B$70=$B475)*
        ('Fairway Log'!$C$2:$C546=$C475),
      0),
      MATCH($G475,'Fairway Log'!$E$1:$V$1,0)
    ),
  "")
)</f>
        <v>1</v>
      </c>
      <c r="Q475" cm="1">
        <f t="array" ref="Q475">IFERROR(
  INDEX('GIR Log'!$E$2:$V$70,
    MATCH(1,
      ('GIR Log'!$A$2:$A$70=$A475)*
      ('GIR Log'!$B$2:$B$70=$B475)*
      ('GIR Log'!$C$2:$C$70=$C475),
    0),
    MATCH($G475,'GIR Log'!$E$1:$V$1,0)
  ),
"")</f>
        <v>0</v>
      </c>
    </row>
    <row r="476" spans="1:17" x14ac:dyDescent="0.25">
      <c r="A476" s="20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Log'!$E$2:$V$70,
    MATCH(1,
      ('Golf Log'!$A$2:$A$70=$A476)*
      ('Golf Log'!$B$2:$B$70=$B476)*
      ('Golf Log'!$C$2:$C$70=$C476),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Log'!$E$2:$V$70,
    MATCH(1,
      ('Putt Log'!$A$2:$A$70=$A476)*
      ('Putt Log'!$B$2:$B$70=$B476)*
      ('Putt Log'!$C$2:$C$70=$C476),
    0),
    MATCH($G476,'Putt Log'!$E$1:$V$1,0)
  ),
"")</f>
        <v>2</v>
      </c>
      <c r="P476" t="str" cm="1">
        <f t="array" ref="P476">IF(K476=3,"",
  IFERROR(
    INDEX('Fairway Log'!$E$2:$V$70,
      MATCH(1,
        ('Fairway Log'!$A$2:$A$70=$A476)*
        ('Fairway Log'!$B$2:$B$70=$B476)*
        ('Fairway Log'!$C$2:$C547=$C476),
      0),
      MATCH($G476,'Fairway Log'!$E$1:$V$1,0)
    ),
  "")
)</f>
        <v/>
      </c>
      <c r="Q476" cm="1">
        <f t="array" ref="Q476">IFERROR(
  INDEX('GIR Log'!$E$2:$V$70,
    MATCH(1,
      ('GIR Log'!$A$2:$A$70=$A476)*
      ('GIR Log'!$B$2:$B$70=$B476)*
      ('GIR Log'!$C$2:$C$70=$C476),
    0),
    MATCH($G476,'GIR Log'!$E$1:$V$1,0)
  ),
"")</f>
        <v>0</v>
      </c>
    </row>
    <row r="477" spans="1:17" x14ac:dyDescent="0.25">
      <c r="A477" s="20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Log'!$E$2:$V$70,
    MATCH(1,
      ('Golf Log'!$A$2:$A$70=$A477)*
      ('Golf Log'!$B$2:$B$70=$B477)*
      ('Golf Log'!$C$2:$C$70=$C477),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Log'!$E$2:$V$70,
    MATCH(1,
      ('Putt Log'!$A$2:$A$70=$A477)*
      ('Putt Log'!$B$2:$B$70=$B477)*
      ('Putt Log'!$C$2:$C$70=$C477),
    0),
    MATCH($G477,'Putt Log'!$E$1:$V$1,0)
  ),
"")</f>
        <v>2</v>
      </c>
      <c r="P477" t="str" cm="1">
        <f t="array" ref="P477">IF(K477=3,"",
  IFERROR(
    INDEX('Fairway Log'!$E$2:$V$70,
      MATCH(1,
        ('Fairway Log'!$A$2:$A$70=$A477)*
        ('Fairway Log'!$B$2:$B$70=$B477)*
        ('Fairway Log'!$C$2:$C548=$C477),
      0),
      MATCH($G477,'Fairway Log'!$E$1:$V$1,0)
    ),
  "")
)</f>
        <v>↑</v>
      </c>
      <c r="Q477" cm="1">
        <f t="array" ref="Q477">IFERROR(
  INDEX('GIR Log'!$E$2:$V$70,
    MATCH(1,
      ('GIR Log'!$A$2:$A$70=$A477)*
      ('GIR Log'!$B$2:$B$70=$B477)*
      ('GIR Log'!$C$2:$C$70=$C477),
    0),
    MATCH($G477,'GIR Log'!$E$1:$V$1,0)
  ),
"")</f>
        <v>1</v>
      </c>
    </row>
    <row r="478" spans="1:17" x14ac:dyDescent="0.25">
      <c r="A478" s="20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Log'!$E$2:$V$70,
    MATCH(1,
      ('Golf Log'!$A$2:$A$70=$A478)*
      ('Golf Log'!$B$2:$B$70=$B478)*
      ('Golf Log'!$C$2:$C$70=$C478),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Log'!$E$2:$V$70,
    MATCH(1,
      ('Putt Log'!$A$2:$A$70=$A478)*
      ('Putt Log'!$B$2:$B$70=$B478)*
      ('Putt Log'!$C$2:$C$70=$C478),
    0),
    MATCH($G478,'Putt Log'!$E$1:$V$1,0)
  ),
"")</f>
        <v>2</v>
      </c>
      <c r="P478" t="str" cm="1">
        <f t="array" ref="P478">IF(K478=3,"",
  IFERROR(
    INDEX('Fairway Log'!$E$2:$V$70,
      MATCH(1,
        ('Fairway Log'!$A$2:$A$70=$A478)*
        ('Fairway Log'!$B$2:$B$70=$B478)*
        ('Fairway Log'!$C$2:$C549=$C478),
      0),
      MATCH($G478,'Fairway Log'!$E$1:$V$1,0)
    ),
  "")
)</f>
        <v>→</v>
      </c>
      <c r="Q478" cm="1">
        <f t="array" ref="Q478">IFERROR(
  INDEX('GIR Log'!$E$2:$V$70,
    MATCH(1,
      ('GIR Log'!$A$2:$A$70=$A478)*
      ('GIR Log'!$B$2:$B$70=$B478)*
      ('GIR Log'!$C$2:$C$70=$C478),
    0),
    MATCH($G478,'GIR Log'!$E$1:$V$1,0)
  ),
"")</f>
        <v>0</v>
      </c>
    </row>
    <row r="479" spans="1:17" x14ac:dyDescent="0.25">
      <c r="A479" s="20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Log'!$E$2:$V$70,
    MATCH(1,
      ('Golf Log'!$A$2:$A$70=$A479)*
      ('Golf Log'!$B$2:$B$70=$B479)*
      ('Golf Log'!$C$2:$C$70=$C479),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Log'!$E$2:$V$70,
    MATCH(1,
      ('Putt Log'!$A$2:$A$70=$A479)*
      ('Putt Log'!$B$2:$B$70=$B479)*
      ('Putt Log'!$C$2:$C$70=$C479),
    0),
    MATCH($G479,'Putt Log'!$E$1:$V$1,0)
  ),
"")</f>
        <v>2</v>
      </c>
      <c r="P479" t="str" cm="1">
        <f t="array" ref="P479">IF(K479=3,"",
  IFERROR(
    INDEX('Fairway Log'!$E$2:$V$70,
      MATCH(1,
        ('Fairway Log'!$A$2:$A$70=$A479)*
        ('Fairway Log'!$B$2:$B$70=$B479)*
        ('Fairway Log'!$C$2:$C550=$C479),
      0),
      MATCH($G479,'Fairway Log'!$E$1:$V$1,0)
    ),
  "")
)</f>
        <v>→</v>
      </c>
      <c r="Q479" cm="1">
        <f t="array" ref="Q479">IFERROR(
  INDEX('GIR Log'!$E$2:$V$70,
    MATCH(1,
      ('GIR Log'!$A$2:$A$70=$A479)*
      ('GIR Log'!$B$2:$B$70=$B479)*
      ('GIR Log'!$C$2:$C$70=$C479),
    0),
    MATCH($G479,'GIR Log'!$E$1:$V$1,0)
  ),
"")</f>
        <v>0</v>
      </c>
    </row>
    <row r="480" spans="1:17" x14ac:dyDescent="0.25">
      <c r="A480" s="20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Log'!$E$2:$V$70,
    MATCH(1,
      ('Golf Log'!$A$2:$A$70=$A480)*
      ('Golf Log'!$B$2:$B$70=$B480)*
      ('Golf Log'!$C$2:$C$70=$C480),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Log'!$E$2:$V$70,
    MATCH(1,
      ('Putt Log'!$A$2:$A$70=$A480)*
      ('Putt Log'!$B$2:$B$70=$B480)*
      ('Putt Log'!$C$2:$C$70=$C480),
    0),
    MATCH($G480,'Putt Log'!$E$1:$V$1,0)
  ),
"")</f>
        <v>1</v>
      </c>
      <c r="P480" t="str" cm="1">
        <f t="array" ref="P480">IF(K480=3,"",
  IFERROR(
    INDEX('Fairway Log'!$E$2:$V$70,
      MATCH(1,
        ('Fairway Log'!$A$2:$A$70=$A480)*
        ('Fairway Log'!$B$2:$B$70=$B480)*
        ('Fairway Log'!$C$2:$C551=$C480),
      0),
      MATCH($G480,'Fairway Log'!$E$1:$V$1,0)
    ),
  "")
)</f>
        <v/>
      </c>
      <c r="Q480" cm="1">
        <f t="array" ref="Q480">IFERROR(
  INDEX('GIR Log'!$E$2:$V$70,
    MATCH(1,
      ('GIR Log'!$A$2:$A$70=$A480)*
      ('GIR Log'!$B$2:$B$70=$B480)*
      ('GIR Log'!$C$2:$C$70=$C480),
    0),
    MATCH($G480,'GIR Log'!$E$1:$V$1,0)
  ),
"")</f>
        <v>0</v>
      </c>
    </row>
    <row r="481" spans="1:17" x14ac:dyDescent="0.25">
      <c r="A481" s="20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Log'!$E$2:$V$70,
    MATCH(1,
      ('Golf Log'!$A$2:$A$70=$A481)*
      ('Golf Log'!$B$2:$B$70=$B481)*
      ('Golf Log'!$C$2:$C$70=$C481),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Log'!$E$2:$V$70,
    MATCH(1,
      ('Putt Log'!$A$2:$A$70=$A481)*
      ('Putt Log'!$B$2:$B$70=$B481)*
      ('Putt Log'!$C$2:$C$70=$C481),
    0),
    MATCH($G481,'Putt Log'!$E$1:$V$1,0)
  ),
"")</f>
        <v>3</v>
      </c>
      <c r="P481" t="str" cm="1">
        <f t="array" ref="P481">IF(K481=3,"",
  IFERROR(
    INDEX('Fairway Log'!$E$2:$V$70,
      MATCH(1,
        ('Fairway Log'!$A$2:$A$70=$A481)*
        ('Fairway Log'!$B$2:$B$70=$B481)*
        ('Fairway Log'!$C$2:$C552=$C481),
      0),
      MATCH($G481,'Fairway Log'!$E$1:$V$1,0)
    ),
  "")
)</f>
        <v>→</v>
      </c>
      <c r="Q481" cm="1">
        <f t="array" ref="Q481">IFERROR(
  INDEX('GIR Log'!$E$2:$V$70,
    MATCH(1,
      ('GIR Log'!$A$2:$A$70=$A481)*
      ('GIR Log'!$B$2:$B$70=$B481)*
      ('GIR Log'!$C$2:$C$70=$C481),
    0),
    MATCH($G481,'GIR Log'!$E$1:$V$1,0)
  ),
"")</f>
        <v>0</v>
      </c>
    </row>
    <row r="482" spans="1:17" x14ac:dyDescent="0.25">
      <c r="A482" s="20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Log'!$E$2:$V$70,
    MATCH(1,
      ('Golf Log'!$A$2:$A$70=$A482)*
      ('Golf Log'!$B$2:$B$70=$B482)*
      ('Golf Log'!$C$2:$C$70=$C482),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Log'!$E$2:$V$70,
    MATCH(1,
      ('Putt Log'!$A$2:$A$70=$A482)*
      ('Putt Log'!$B$2:$B$70=$B482)*
      ('Putt Log'!$C$2:$C$70=$C482),
    0),
    MATCH($G482,'Putt Log'!$E$1:$V$1,0)
  ),
"")</f>
        <v>1</v>
      </c>
      <c r="P482" t="str" cm="1">
        <f t="array" ref="P482">IF(K482=3,"",
  IFERROR(
    INDEX('Fairway Log'!$E$2:$V$70,
      MATCH(1,
        ('Fairway Log'!$A$2:$A$70=$A482)*
        ('Fairway Log'!$B$2:$B$70=$B482)*
        ('Fairway Log'!$C$2:$C553=$C482),
      0),
      MATCH($G482,'Fairway Log'!$E$1:$V$1,0)
    ),
  "")
)</f>
        <v>↑</v>
      </c>
      <c r="Q482" cm="1">
        <f t="array" ref="Q482">IFERROR(
  INDEX('GIR Log'!$E$2:$V$70,
    MATCH(1,
      ('GIR Log'!$A$2:$A$70=$A482)*
      ('GIR Log'!$B$2:$B$70=$B482)*
      ('GIR Log'!$C$2:$C$70=$C482),
    0),
    MATCH($G482,'GIR Log'!$E$1:$V$1,0)
  ),
"")</f>
        <v>0</v>
      </c>
    </row>
    <row r="483" spans="1:17" x14ac:dyDescent="0.25">
      <c r="A483" s="20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Log'!$E$2:$V$70,
    MATCH(1,
      ('Golf Log'!$A$2:$A$70=$A483)*
      ('Golf Log'!$B$2:$B$70=$B483)*
      ('Golf Log'!$C$2:$C$70=$C483),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Log'!$E$2:$V$70,
    MATCH(1,
      ('Putt Log'!$A$2:$A$70=$A483)*
      ('Putt Log'!$B$2:$B$70=$B483)*
      ('Putt Log'!$C$2:$C$70=$C483),
    0),
    MATCH($G483,'Putt Log'!$E$1:$V$1,0)
  ),
"")</f>
        <v>1</v>
      </c>
      <c r="P483" t="str" cm="1">
        <f t="array" ref="P483">IF(K483=3,"",
  IFERROR(
    INDEX('Fairway Log'!$E$2:$V$70,
      MATCH(1,
        ('Fairway Log'!$A$2:$A$70=$A483)*
        ('Fairway Log'!$B$2:$B$70=$B483)*
        ('Fairway Log'!$C$2:$C554=$C483),
      0),
      MATCH($G483,'Fairway Log'!$E$1:$V$1,0)
    ),
  "")
)</f>
        <v>→</v>
      </c>
      <c r="Q483" cm="1">
        <f t="array" ref="Q483">IFERROR(
  INDEX('GIR Log'!$E$2:$V$70,
    MATCH(1,
      ('GIR Log'!$A$2:$A$70=$A483)*
      ('GIR Log'!$B$2:$B$70=$B483)*
      ('GIR Log'!$C$2:$C$70=$C483),
    0),
    MATCH($G483,'GIR Log'!$E$1:$V$1,0)
  ),
"")</f>
        <v>0</v>
      </c>
    </row>
    <row r="484" spans="1:17" x14ac:dyDescent="0.25">
      <c r="A484" s="20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Log'!$E$2:$V$70,
    MATCH(1,
      ('Golf Log'!$A$2:$A$70=$A484)*
      ('Golf Log'!$B$2:$B$70=$B484)*
      ('Golf Log'!$C$2:$C$70=$C484),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Log'!$E$2:$V$70,
    MATCH(1,
      ('Putt Log'!$A$2:$A$70=$A484)*
      ('Putt Log'!$B$2:$B$70=$B484)*
      ('Putt Log'!$C$2:$C$70=$C484),
    0),
    MATCH($G484,'Putt Log'!$E$1:$V$1,0)
  ),
"")</f>
        <v>2</v>
      </c>
      <c r="P484" cm="1">
        <f t="array" ref="P484">IF(K484=3,"",
  IFERROR(
    INDEX('Fairway Log'!$E$2:$V$70,
      MATCH(1,
        ('Fairway Log'!$A$2:$A$70=$A484)*
        ('Fairway Log'!$B$2:$B$70=$B484)*
        ('Fairway Log'!$C$2:$C555=$C484),
      0),
      MATCH($G484,'Fairway Log'!$E$1:$V$1,0)
    ),
  "")
)</f>
        <v>1</v>
      </c>
      <c r="Q484" cm="1">
        <f t="array" ref="Q484">IFERROR(
  INDEX('GIR Log'!$E$2:$V$70,
    MATCH(1,
      ('GIR Log'!$A$2:$A$70=$A484)*
      ('GIR Log'!$B$2:$B$70=$B484)*
      ('GIR Log'!$C$2:$C$70=$C484),
    0),
    MATCH($G484,'GIR Log'!$E$1:$V$1,0)
  ),
"")</f>
        <v>0</v>
      </c>
    </row>
    <row r="485" spans="1:17" x14ac:dyDescent="0.25">
      <c r="A485" s="20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Log'!$E$2:$V$70,
    MATCH(1,
      ('Golf Log'!$A$2:$A$70=$A485)*
      ('Golf Log'!$B$2:$B$70=$B485)*
      ('Golf Log'!$C$2:$C$70=$C485),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Log'!$E$2:$V$70,
    MATCH(1,
      ('Putt Log'!$A$2:$A$70=$A485)*
      ('Putt Log'!$B$2:$B$70=$B485)*
      ('Putt Log'!$C$2:$C$70=$C485),
    0),
    MATCH($G485,'Putt Log'!$E$1:$V$1,0)
  ),
"")</f>
        <v>2</v>
      </c>
      <c r="P485" t="str" cm="1">
        <f t="array" ref="P485">IF(K485=3,"",
  IFERROR(
    INDEX('Fairway Log'!$E$2:$V$70,
      MATCH(1,
        ('Fairway Log'!$A$2:$A$70=$A485)*
        ('Fairway Log'!$B$2:$B$70=$B485)*
        ('Fairway Log'!$C$2:$C556=$C485),
      0),
      MATCH($G485,'Fairway Log'!$E$1:$V$1,0)
    ),
  "")
)</f>
        <v>←</v>
      </c>
      <c r="Q485" cm="1">
        <f t="array" ref="Q485">IFERROR(
  INDEX('GIR Log'!$E$2:$V$70,
    MATCH(1,
      ('GIR Log'!$A$2:$A$70=$A485)*
      ('GIR Log'!$B$2:$B$70=$B485)*
      ('GIR Log'!$C$2:$C$70=$C485),
    0),
    MATCH($G485,'GIR Log'!$E$1:$V$1,0)
  ),
"")</f>
        <v>0</v>
      </c>
    </row>
    <row r="486" spans="1:17" x14ac:dyDescent="0.25">
      <c r="A486" s="20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Log'!$E$2:$V$70,
    MATCH(1,
      ('Golf Log'!$A$2:$A$70=$A486)*
      ('Golf Log'!$B$2:$B$70=$B486)*
      ('Golf Log'!$C$2:$C$70=$C486),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Log'!$E$2:$V$70,
    MATCH(1,
      ('Putt Log'!$A$2:$A$70=$A486)*
      ('Putt Log'!$B$2:$B$70=$B486)*
      ('Putt Log'!$C$2:$C$70=$C486),
    0),
    MATCH($G486,'Putt Log'!$E$1:$V$1,0)
  ),
"")</f>
        <v>2</v>
      </c>
      <c r="P486" t="str" cm="1">
        <f t="array" ref="P486">IF(K486=3,"",
  IFERROR(
    INDEX('Fairway Log'!$E$2:$V$70,
      MATCH(1,
        ('Fairway Log'!$A$2:$A$70=$A486)*
        ('Fairway Log'!$B$2:$B$70=$B486)*
        ('Fairway Log'!$C$2:$C557=$C486),
      0),
      MATCH($G486,'Fairway Log'!$E$1:$V$1,0)
    ),
  "")
)</f>
        <v/>
      </c>
      <c r="Q486" cm="1">
        <f t="array" ref="Q486">IFERROR(
  INDEX('GIR Log'!$E$2:$V$70,
    MATCH(1,
      ('GIR Log'!$A$2:$A$70=$A486)*
      ('GIR Log'!$B$2:$B$70=$B486)*
      ('GIR Log'!$C$2:$C$70=$C486),
    0),
    MATCH($G486,'GIR Log'!$E$1:$V$1,0)
  ),
"")</f>
        <v>1</v>
      </c>
    </row>
    <row r="487" spans="1:17" x14ac:dyDescent="0.25">
      <c r="A487" s="20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Log'!$E$2:$V$70,
    MATCH(1,
      ('Golf Log'!$A$2:$A$70=$A487)*
      ('Golf Log'!$B$2:$B$70=$B487)*
      ('Golf Log'!$C$2:$C$70=$C487),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Log'!$E$2:$V$70,
    MATCH(1,
      ('Putt Log'!$A$2:$A$70=$A487)*
      ('Putt Log'!$B$2:$B$70=$B487)*
      ('Putt Log'!$C$2:$C$70=$C487),
    0),
    MATCH($G487,'Putt Log'!$E$1:$V$1,0)
  ),
"")</f>
        <v>1</v>
      </c>
      <c r="P487" t="str" cm="1">
        <f t="array" ref="P487">IF(K487=3,"",
  IFERROR(
    INDEX('Fairway Log'!$E$2:$V$70,
      MATCH(1,
        ('Fairway Log'!$A$2:$A$70=$A487)*
        ('Fairway Log'!$B$2:$B$70=$B487)*
        ('Fairway Log'!$C$2:$C558=$C487),
      0),
      MATCH($G487,'Fairway Log'!$E$1:$V$1,0)
    ),
  "")
)</f>
        <v>→</v>
      </c>
      <c r="Q487" cm="1">
        <f t="array" ref="Q487">IFERROR(
  INDEX('GIR Log'!$E$2:$V$70,
    MATCH(1,
      ('GIR Log'!$A$2:$A$70=$A487)*
      ('GIR Log'!$B$2:$B$70=$B487)*
      ('GIR Log'!$C$2:$C$70=$C487),
    0),
    MATCH($G487,'GIR Log'!$E$1:$V$1,0)
  ),
"")</f>
        <v>0</v>
      </c>
    </row>
    <row r="488" spans="1:17" x14ac:dyDescent="0.25">
      <c r="A488" s="20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Log'!$E$2:$V$70,
    MATCH(1,
      ('Golf Log'!$A$2:$A$70=$A488)*
      ('Golf Log'!$B$2:$B$70=$B488)*
      ('Golf Log'!$C$2:$C$70=$C488),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Log'!$E$2:$V$70,
    MATCH(1,
      ('Putt Log'!$A$2:$A$70=$A488)*
      ('Putt Log'!$B$2:$B$70=$B488)*
      ('Putt Log'!$C$2:$C$70=$C488),
    0),
    MATCH($G488,'Putt Log'!$E$1:$V$1,0)
  ),
"")</f>
        <v>2</v>
      </c>
      <c r="P488" t="str" cm="1">
        <f t="array" ref="P488">IF(K488=3,"",
  IFERROR(
    INDEX('Fairway Log'!$E$2:$V$70,
      MATCH(1,
        ('Fairway Log'!$A$2:$A$70=$A488)*
        ('Fairway Log'!$B$2:$B$70=$B488)*
        ('Fairway Log'!$C$2:$C559=$C488),
      0),
      MATCH($G488,'Fairway Log'!$E$1:$V$1,0)
    ),
  "")
)</f>
        <v>→</v>
      </c>
      <c r="Q488" cm="1">
        <f t="array" ref="Q488">IFERROR(
  INDEX('GIR Log'!$E$2:$V$70,
    MATCH(1,
      ('GIR Log'!$A$2:$A$70=$A488)*
      ('GIR Log'!$B$2:$B$70=$B488)*
      ('GIR Log'!$C$2:$C$70=$C488),
    0),
    MATCH($G488,'GIR Log'!$E$1:$V$1,0)
  ),
"")</f>
        <v>0</v>
      </c>
    </row>
    <row r="489" spans="1:17" x14ac:dyDescent="0.25">
      <c r="A489" s="20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Log'!$E$2:$V$70,
    MATCH(1,
      ('Golf Log'!$A$2:$A$70=$A489)*
      ('Golf Log'!$B$2:$B$70=$B489)*
      ('Golf Log'!$C$2:$C$70=$C489),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Log'!$E$2:$V$70,
    MATCH(1,
      ('Putt Log'!$A$2:$A$70=$A489)*
      ('Putt Log'!$B$2:$B$70=$B489)*
      ('Putt Log'!$C$2:$C$70=$C489),
    0),
    MATCH($G489,'Putt Log'!$E$1:$V$1,0)
  ),
"")</f>
        <v>2</v>
      </c>
      <c r="P489" t="str" cm="1">
        <f t="array" ref="P489">IF(K489=3,"",
  IFERROR(
    INDEX('Fairway Log'!$E$2:$V$70,
      MATCH(1,
        ('Fairway Log'!$A$2:$A$70=$A489)*
        ('Fairway Log'!$B$2:$B$70=$B489)*
        ('Fairway Log'!$C$2:$C560=$C489),
      0),
      MATCH($G489,'Fairway Log'!$E$1:$V$1,0)
    ),
  "")
)</f>
        <v>→</v>
      </c>
      <c r="Q489" cm="1">
        <f t="array" ref="Q489">IFERROR(
  INDEX('GIR Log'!$E$2:$V$70,
    MATCH(1,
      ('GIR Log'!$A$2:$A$70=$A489)*
      ('GIR Log'!$B$2:$B$70=$B489)*
      ('GIR Log'!$C$2:$C$70=$C489),
    0),
    MATCH($G489,'GIR Log'!$E$1:$V$1,0)
  ),
"")</f>
        <v>0</v>
      </c>
    </row>
    <row r="490" spans="1:17" x14ac:dyDescent="0.25">
      <c r="A490" s="20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Log'!$E$2:$V$70,
    MATCH(1,
      ('Golf Log'!$A$2:$A$70=$A490)*
      ('Golf Log'!$B$2:$B$70=$B490)*
      ('Golf Log'!$C$2:$C$70=$C490),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Log'!$E$2:$V$70,
    MATCH(1,
      ('Putt Log'!$A$2:$A$70=$A490)*
      ('Putt Log'!$B$2:$B$70=$B490)*
      ('Putt Log'!$C$2:$C$70=$C490),
    0),
    MATCH($G490,'Putt Log'!$E$1:$V$1,0)
  ),
"")</f>
        <v>2</v>
      </c>
      <c r="P490" t="str" cm="1">
        <f t="array" ref="P490">IF(K490=3,"",
  IFERROR(
    INDEX('Fairway Log'!$E$2:$V$70,
      MATCH(1,
        ('Fairway Log'!$A$2:$A$70=$A490)*
        ('Fairway Log'!$B$2:$B$70=$B490)*
        ('Fairway Log'!$C$2:$C561=$C490),
      0),
      MATCH($G490,'Fairway Log'!$E$1:$V$1,0)
    ),
  "")
)</f>
        <v/>
      </c>
      <c r="Q490" cm="1">
        <f t="array" ref="Q490">IFERROR(
  INDEX('GIR Log'!$E$2:$V$70,
    MATCH(1,
      ('GIR Log'!$A$2:$A$70=$A490)*
      ('GIR Log'!$B$2:$B$70=$B490)*
      ('GIR Log'!$C$2:$C$70=$C490),
    0),
    MATCH($G490,'GIR Log'!$E$1:$V$1,0)
  ),
"")</f>
        <v>0</v>
      </c>
    </row>
    <row r="491" spans="1:17" x14ac:dyDescent="0.25">
      <c r="A491" s="20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Log'!$E$2:$V$70,
    MATCH(1,
      ('Golf Log'!$A$2:$A$70=$A491)*
      ('Golf Log'!$B$2:$B$70=$B491)*
      ('Golf Log'!$C$2:$C$70=$C491),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Log'!$E$2:$V$70,
    MATCH(1,
      ('Putt Log'!$A$2:$A$70=$A491)*
      ('Putt Log'!$B$2:$B$70=$B491)*
      ('Putt Log'!$C$2:$C$70=$C491),
    0),
    MATCH($G491,'Putt Log'!$E$1:$V$1,0)
  ),
"")</f>
        <v>3</v>
      </c>
      <c r="P491" cm="1">
        <f t="array" ref="P491">IF(K491=3,"",
  IFERROR(
    INDEX('Fairway Log'!$E$2:$V$70,
      MATCH(1,
        ('Fairway Log'!$A$2:$A$70=$A491)*
        ('Fairway Log'!$B$2:$B$70=$B491)*
        ('Fairway Log'!$C$2:$C562=$C491),
      0),
      MATCH($G491,'Fairway Log'!$E$1:$V$1,0)
    ),
  "")
)</f>
        <v>1</v>
      </c>
      <c r="Q491" cm="1">
        <f t="array" ref="Q491">IFERROR(
  INDEX('GIR Log'!$E$2:$V$70,
    MATCH(1,
      ('GIR Log'!$A$2:$A$70=$A491)*
      ('GIR Log'!$B$2:$B$70=$B491)*
      ('GIR Log'!$C$2:$C$70=$C491),
    0),
    MATCH($G491,'GIR Log'!$E$1:$V$1,0)
  ),
"")</f>
        <v>0</v>
      </c>
    </row>
    <row r="492" spans="1:17" x14ac:dyDescent="0.25">
      <c r="A492" s="20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Log'!$E$2:$V$70,
    MATCH(1,
      ('Golf Log'!$A$2:$A$70=$A492)*
      ('Golf Log'!$B$2:$B$70=$B492)*
      ('Golf Log'!$C$2:$C$70=$C492),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Log'!$E$2:$V$70,
    MATCH(1,
      ('Putt Log'!$A$2:$A$70=$A492)*
      ('Putt Log'!$B$2:$B$70=$B492)*
      ('Putt Log'!$C$2:$C$70=$C492),
    0),
    MATCH($G492,'Putt Log'!$E$1:$V$1,0)
  ),
"")</f>
        <v>2</v>
      </c>
      <c r="P492" t="str" cm="1">
        <f t="array" ref="P492">IF(K492=3,"",
  IFERROR(
    INDEX('Fairway Log'!$E$2:$V$70,
      MATCH(1,
        ('Fairway Log'!$A$2:$A$70=$A492)*
        ('Fairway Log'!$B$2:$B$70=$B492)*
        ('Fairway Log'!$C$2:$C563=$C492),
      0),
      MATCH($G492,'Fairway Log'!$E$1:$V$1,0)
    ),
  "")
)</f>
        <v>→</v>
      </c>
      <c r="Q492" cm="1">
        <f t="array" ref="Q492">IFERROR(
  INDEX('GIR Log'!$E$2:$V$70,
    MATCH(1,
      ('GIR Log'!$A$2:$A$70=$A492)*
      ('GIR Log'!$B$2:$B$70=$B492)*
      ('GIR Log'!$C$2:$C$70=$C492),
    0),
    MATCH($G492,'GIR Log'!$E$1:$V$1,0)
  ),
"")</f>
        <v>0</v>
      </c>
    </row>
    <row r="493" spans="1:17" x14ac:dyDescent="0.25">
      <c r="A493" s="20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Log'!$E$2:$V$70,
    MATCH(1,
      ('Golf Log'!$A$2:$A$70=$A493)*
      ('Golf Log'!$B$2:$B$70=$B493)*
      ('Golf Log'!$C$2:$C$70=$C493),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Log'!$E$2:$V$70,
    MATCH(1,
      ('Putt Log'!$A$2:$A$70=$A493)*
      ('Putt Log'!$B$2:$B$70=$B493)*
      ('Putt Log'!$C$2:$C$70=$C493),
    0),
    MATCH($G493,'Putt Log'!$E$1:$V$1,0)
  ),
"")</f>
        <v>2</v>
      </c>
      <c r="P493" t="str" cm="1">
        <f t="array" ref="P493">IF(K493=3,"",
  IFERROR(
    INDEX('Fairway Log'!$E$2:$V$70,
      MATCH(1,
        ('Fairway Log'!$A$2:$A$70=$A493)*
        ('Fairway Log'!$B$2:$B$70=$B493)*
        ('Fairway Log'!$C$2:$C564=$C493),
      0),
      MATCH($G493,'Fairway Log'!$E$1:$V$1,0)
    ),
  "")
)</f>
        <v>↑</v>
      </c>
      <c r="Q493" cm="1">
        <f t="array" ref="Q493">IFERROR(
  INDEX('GIR Log'!$E$2:$V$70,
    MATCH(1,
      ('GIR Log'!$A$2:$A$70=$A493)*
      ('GIR Log'!$B$2:$B$70=$B493)*
      ('GIR Log'!$C$2:$C$70=$C493),
    0),
    MATCH($G493,'GIR Log'!$E$1:$V$1,0)
  ),
"")</f>
        <v>0</v>
      </c>
    </row>
    <row r="494" spans="1:17" x14ac:dyDescent="0.25">
      <c r="A494" s="20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Log'!$E$2:$V$70,
    MATCH(1,
      ('Golf Log'!$A$2:$A$70=$A494)*
      ('Golf Log'!$B$2:$B$70=$B494)*
      ('Golf Log'!$C$2:$C$70=$C494),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Log'!$E$2:$V$70,
    MATCH(1,
      ('Putt Log'!$A$2:$A$70=$A494)*
      ('Putt Log'!$B$2:$B$70=$B494)*
      ('Putt Log'!$C$2:$C$70=$C494),
    0),
    MATCH($G494,'Putt Log'!$E$1:$V$1,0)
  ),
"")</f>
        <v>2</v>
      </c>
      <c r="P494" t="str" cm="1">
        <f t="array" ref="P494">IF(K494=3,"",
  IFERROR(
    INDEX('Fairway Log'!$E$2:$V$70,
      MATCH(1,
        ('Fairway Log'!$A$2:$A$70=$A494)*
        ('Fairway Log'!$B$2:$B$70=$B494)*
        ('Fairway Log'!$C$2:$C565=$C494),
      0),
      MATCH($G494,'Fairway Log'!$E$1:$V$1,0)
    ),
  "")
)</f>
        <v/>
      </c>
      <c r="Q494" cm="1">
        <f t="array" ref="Q494">IFERROR(
  INDEX('GIR Log'!$E$2:$V$70,
    MATCH(1,
      ('GIR Log'!$A$2:$A$70=$A494)*
      ('GIR Log'!$B$2:$B$70=$B494)*
      ('GIR Log'!$C$2:$C$70=$C494),
    0),
    MATCH($G494,'GIR Log'!$E$1:$V$1,0)
  ),
"")</f>
        <v>0</v>
      </c>
    </row>
    <row r="495" spans="1:17" x14ac:dyDescent="0.25">
      <c r="A495" s="20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Log'!$E$2:$V$70,
    MATCH(1,
      ('Golf Log'!$A$2:$A$70=$A495)*
      ('Golf Log'!$B$2:$B$70=$B495)*
      ('Golf Log'!$C$2:$C$70=$C495),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Log'!$E$2:$V$70,
    MATCH(1,
      ('Putt Log'!$A$2:$A$70=$A495)*
      ('Putt Log'!$B$2:$B$70=$B495)*
      ('Putt Log'!$C$2:$C$70=$C495),
    0),
    MATCH($G495,'Putt Log'!$E$1:$V$1,0)
  ),
"")</f>
        <v>3</v>
      </c>
      <c r="P495" t="str" cm="1">
        <f t="array" ref="P495">IF(K495=3,"",
  IFERROR(
    INDEX('Fairway Log'!$E$2:$V$70,
      MATCH(1,
        ('Fairway Log'!$A$2:$A$70=$A495)*
        ('Fairway Log'!$B$2:$B$70=$B495)*
        ('Fairway Log'!$C$2:$C566=$C495),
      0),
      MATCH($G495,'Fairway Log'!$E$1:$V$1,0)
    ),
  "")
)</f>
        <v>→</v>
      </c>
      <c r="Q495" cm="1">
        <f t="array" ref="Q495">IFERROR(
  INDEX('GIR Log'!$E$2:$V$70,
    MATCH(1,
      ('GIR Log'!$A$2:$A$70=$A495)*
      ('GIR Log'!$B$2:$B$70=$B495)*
      ('GIR Log'!$C$2:$C$70=$C495),
    0),
    MATCH($G495,'GIR Log'!$E$1:$V$1,0)
  ),
"")</f>
        <v>0</v>
      </c>
    </row>
    <row r="496" spans="1:17" x14ac:dyDescent="0.25">
      <c r="A496" s="20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Log'!$E$2:$V$70,
    MATCH(1,
      ('Golf Log'!$A$2:$A$70=$A496)*
      ('Golf Log'!$B$2:$B$70=$B496)*
      ('Golf Log'!$C$2:$C$70=$C496),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Log'!$E$2:$V$70,
    MATCH(1,
      ('Putt Log'!$A$2:$A$70=$A496)*
      ('Putt Log'!$B$2:$B$70=$B496)*
      ('Putt Log'!$C$2:$C$70=$C496),
    0),
    MATCH($G496,'Putt Log'!$E$1:$V$1,0)
  ),
"")</f>
        <v>2</v>
      </c>
      <c r="P496" cm="1">
        <f t="array" ref="P496">IF(K496=3,"",
  IFERROR(
    INDEX('Fairway Log'!$E$2:$V$70,
      MATCH(1,
        ('Fairway Log'!$A$2:$A$70=$A496)*
        ('Fairway Log'!$B$2:$B$70=$B496)*
        ('Fairway Log'!$C$2:$C567=$C496),
      0),
      MATCH($G496,'Fairway Log'!$E$1:$V$1,0)
    ),
  "")
)</f>
        <v>1</v>
      </c>
      <c r="Q496" cm="1">
        <f t="array" ref="Q496">IFERROR(
  INDEX('GIR Log'!$E$2:$V$70,
    MATCH(1,
      ('GIR Log'!$A$2:$A$70=$A496)*
      ('GIR Log'!$B$2:$B$70=$B496)*
      ('GIR Log'!$C$2:$C$70=$C496),
    0),
    MATCH($G496,'GIR Log'!$E$1:$V$1,0)
  ),
"")</f>
        <v>0</v>
      </c>
    </row>
    <row r="497" spans="1:17" x14ac:dyDescent="0.25">
      <c r="A497" s="20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Log'!$E$2:$V$70,
    MATCH(1,
      ('Golf Log'!$A$2:$A$70=$A497)*
      ('Golf Log'!$B$2:$B$70=$B497)*
      ('Golf Log'!$C$2:$C$70=$C497),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Log'!$E$2:$V$70,
    MATCH(1,
      ('Putt Log'!$A$2:$A$70=$A497)*
      ('Putt Log'!$B$2:$B$70=$B497)*
      ('Putt Log'!$C$2:$C$70=$C497),
    0),
    MATCH($G497,'Putt Log'!$E$1:$V$1,0)
  ),
"")</f>
        <v>3</v>
      </c>
      <c r="P497" t="str" cm="1">
        <f t="array" ref="P497">IF(K497=3,"",
  IFERROR(
    INDEX('Fairway Log'!$E$2:$V$70,
      MATCH(1,
        ('Fairway Log'!$A$2:$A$70=$A497)*
        ('Fairway Log'!$B$2:$B$70=$B497)*
        ('Fairway Log'!$C$2:$C568=$C497),
      0),
      MATCH($G497,'Fairway Log'!$E$1:$V$1,0)
    ),
  "")
)</f>
        <v>→</v>
      </c>
      <c r="Q497" cm="1">
        <f t="array" ref="Q497">IFERROR(
  INDEX('GIR Log'!$E$2:$V$70,
    MATCH(1,
      ('GIR Log'!$A$2:$A$70=$A497)*
      ('GIR Log'!$B$2:$B$70=$B497)*
      ('GIR Log'!$C$2:$C$70=$C497),
    0),
    MATCH($G497,'GIR Log'!$E$1:$V$1,0)
  ),
"")</f>
        <v>1</v>
      </c>
    </row>
    <row r="498" spans="1:17" x14ac:dyDescent="0.25">
      <c r="A498" s="20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Log'!$E$2:$V$70,
    MATCH(1,
      ('Golf Log'!$A$2:$A$70=$A498)*
      ('Golf Log'!$B$2:$B$70=$B498)*
      ('Golf Log'!$C$2:$C$70=$C498),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Log'!$E$2:$V$70,
    MATCH(1,
      ('Putt Log'!$A$2:$A$70=$A498)*
      ('Putt Log'!$B$2:$B$70=$B498)*
      ('Putt Log'!$C$2:$C$70=$C498),
    0),
    MATCH($G498,'Putt Log'!$E$1:$V$1,0)
  ),
"")</f>
        <v>1</v>
      </c>
      <c r="P498" t="str" cm="1">
        <f t="array" ref="P498">IF(K498=3,"",
  IFERROR(
    INDEX('Fairway Log'!$E$2:$V$70,
      MATCH(1,
        ('Fairway Log'!$A$2:$A$70=$A498)*
        ('Fairway Log'!$B$2:$B$70=$B498)*
        ('Fairway Log'!$C$2:$C569=$C498),
      0),
      MATCH($G498,'Fairway Log'!$E$1:$V$1,0)
    ),
  "")
)</f>
        <v/>
      </c>
      <c r="Q498" cm="1">
        <f t="array" ref="Q498">IFERROR(
  INDEX('GIR Log'!$E$2:$V$70,
    MATCH(1,
      ('GIR Log'!$A$2:$A$70=$A498)*
      ('GIR Log'!$B$2:$B$70=$B498)*
      ('GIR Log'!$C$2:$C$70=$C498),
    0),
    MATCH($G498,'GIR Log'!$E$1:$V$1,0)
  ),
"")</f>
        <v>0</v>
      </c>
    </row>
    <row r="499" spans="1:17" x14ac:dyDescent="0.25">
      <c r="A499" s="20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Log'!$E$2:$V$70,
    MATCH(1,
      ('Golf Log'!$A$2:$A$70=$A499)*
      ('Golf Log'!$B$2:$B$70=$B499)*
      ('Golf Log'!$C$2:$C$70=$C499),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Log'!$E$2:$V$70,
    MATCH(1,
      ('Putt Log'!$A$2:$A$70=$A499)*
      ('Putt Log'!$B$2:$B$70=$B499)*
      ('Putt Log'!$C$2:$C$70=$C499),
    0),
    MATCH($G499,'Putt Log'!$E$1:$V$1,0)
  ),
"")</f>
        <v>2</v>
      </c>
      <c r="P499" cm="1">
        <f t="array" ref="P499">IF(K499=3,"",
  IFERROR(
    INDEX('Fairway Log'!$E$2:$V$70,
      MATCH(1,
        ('Fairway Log'!$A$2:$A$70=$A499)*
        ('Fairway Log'!$B$2:$B$70=$B499)*
        ('Fairway Log'!$C$2:$C570=$C499),
      0),
      MATCH($G499,'Fairway Log'!$E$1:$V$1,0)
    ),
  "")
)</f>
        <v>1</v>
      </c>
      <c r="Q499" cm="1">
        <f t="array" ref="Q499">IFERROR(
  INDEX('GIR Log'!$E$2:$V$70,
    MATCH(1,
      ('GIR Log'!$A$2:$A$70=$A499)*
      ('GIR Log'!$B$2:$B$70=$B499)*
      ('GIR Log'!$C$2:$C$70=$C499),
    0),
    MATCH($G499,'GIR Log'!$E$1:$V$1,0)
  ),
"")</f>
        <v>0</v>
      </c>
    </row>
    <row r="500" spans="1:17" x14ac:dyDescent="0.25">
      <c r="A500" s="20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Log'!$E$2:$V$70,
    MATCH(1,
      ('Golf Log'!$A$2:$A$70=$A500)*
      ('Golf Log'!$B$2:$B$70=$B500)*
      ('Golf Log'!$C$2:$C$70=$C500),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Log'!$E$2:$V$70,
    MATCH(1,
      ('Putt Log'!$A$2:$A$70=$A500)*
      ('Putt Log'!$B$2:$B$70=$B500)*
      ('Putt Log'!$C$2:$C$70=$C500),
    0),
    MATCH($G500,'Putt Log'!$E$1:$V$1,0)
  ),
"")</f>
        <v>3</v>
      </c>
      <c r="P500" t="str" cm="1">
        <f t="array" ref="P500">IF(K500=3,"",
  IFERROR(
    INDEX('Fairway Log'!$E$2:$V$70,
      MATCH(1,
        ('Fairway Log'!$A$2:$A$70=$A500)*
        ('Fairway Log'!$B$2:$B$70=$B500)*
        ('Fairway Log'!$C$2:$C571=$C500),
      0),
      MATCH($G500,'Fairway Log'!$E$1:$V$1,0)
    ),
  "")
)</f>
        <v>↑</v>
      </c>
      <c r="Q500" cm="1">
        <f t="array" ref="Q500">IFERROR(
  INDEX('GIR Log'!$E$2:$V$70,
    MATCH(1,
      ('GIR Log'!$A$2:$A$70=$A500)*
      ('GIR Log'!$B$2:$B$70=$B500)*
      ('GIR Log'!$C$2:$C$70=$C500),
    0),
    MATCH($G500,'GIR Log'!$E$1:$V$1,0)
  ),
"")</f>
        <v>0</v>
      </c>
    </row>
    <row r="501" spans="1:17" x14ac:dyDescent="0.25">
      <c r="A501" s="20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Log'!$E$2:$V$70,
    MATCH(1,
      ('Golf Log'!$A$2:$A$70=$A501)*
      ('Golf Log'!$B$2:$B$70=$B501)*
      ('Golf Log'!$C$2:$C$70=$C501),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Log'!$E$2:$V$70,
    MATCH(1,
      ('Putt Log'!$A$2:$A$70=$A501)*
      ('Putt Log'!$B$2:$B$70=$B501)*
      ('Putt Log'!$C$2:$C$70=$C501),
    0),
    MATCH($G501,'Putt Log'!$E$1:$V$1,0)
  ),
"")</f>
        <v>2</v>
      </c>
      <c r="P501" cm="1">
        <f t="array" ref="P501">IF(K501=3,"",
  IFERROR(
    INDEX('Fairway Log'!$E$2:$V$70,
      MATCH(1,
        ('Fairway Log'!$A$2:$A$70=$A501)*
        ('Fairway Log'!$B$2:$B$70=$B501)*
        ('Fairway Log'!$C$2:$C572=$C501),
      0),
      MATCH($G501,'Fairway Log'!$E$1:$V$1,0)
    ),
  "")
)</f>
        <v>1</v>
      </c>
      <c r="Q501" cm="1">
        <f t="array" ref="Q501">IFERROR(
  INDEX('GIR Log'!$E$2:$V$70,
    MATCH(1,
      ('GIR Log'!$A$2:$A$70=$A501)*
      ('GIR Log'!$B$2:$B$70=$B501)*
      ('GIR Log'!$C$2:$C$70=$C501),
    0),
    MATCH($G501,'GIR Log'!$E$1:$V$1,0)
  ),
"")</f>
        <v>0</v>
      </c>
    </row>
    <row r="502" spans="1:17" x14ac:dyDescent="0.25">
      <c r="A502" s="20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Log'!$E$2:$V$70,
    MATCH(1,
      ('Golf Log'!$A$2:$A$70=$A502)*
      ('Golf Log'!$B$2:$B$70=$B502)*
      ('Golf Log'!$C$2:$C$70=$C502),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Log'!$E$2:$V$70,
    MATCH(1,
      ('Putt Log'!$A$2:$A$70=$A502)*
      ('Putt Log'!$B$2:$B$70=$B502)*
      ('Putt Log'!$C$2:$C$70=$C502),
    0),
    MATCH($G502,'Putt Log'!$E$1:$V$1,0)
  ),
"")</f>
        <v>1</v>
      </c>
      <c r="P502" cm="1">
        <f t="array" ref="P502">IF(K502=3,"",
  IFERROR(
    INDEX('Fairway Log'!$E$2:$V$70,
      MATCH(1,
        ('Fairway Log'!$A$2:$A$70=$A502)*
        ('Fairway Log'!$B$2:$B$70=$B502)*
        ('Fairway Log'!$C$2:$C573=$C502),
      0),
      MATCH($G502,'Fairway Log'!$E$1:$V$1,0)
    ),
  "")
)</f>
        <v>1</v>
      </c>
      <c r="Q502" cm="1">
        <f t="array" ref="Q502">IFERROR(
  INDEX('GIR Log'!$E$2:$V$70,
    MATCH(1,
      ('GIR Log'!$A$2:$A$70=$A502)*
      ('GIR Log'!$B$2:$B$70=$B502)*
      ('GIR Log'!$C$2:$C$70=$C502),
    0),
    MATCH($G502,'GIR Log'!$E$1:$V$1,0)
  ),
"")</f>
        <v>0</v>
      </c>
    </row>
    <row r="503" spans="1:17" x14ac:dyDescent="0.25">
      <c r="A503" s="20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Log'!$E$2:$V$70,
    MATCH(1,
      ('Golf Log'!$A$2:$A$70=$A503)*
      ('Golf Log'!$B$2:$B$70=$B503)*
      ('Golf Log'!$C$2:$C$70=$C503),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Log'!$E$2:$V$70,
    MATCH(1,
      ('Putt Log'!$A$2:$A$70=$A503)*
      ('Putt Log'!$B$2:$B$70=$B503)*
      ('Putt Log'!$C$2:$C$70=$C503),
    0),
    MATCH($G503,'Putt Log'!$E$1:$V$1,0)
  ),
"")</f>
        <v>2</v>
      </c>
      <c r="P503" cm="1">
        <f t="array" ref="P503">IF(K503=3,"",
  IFERROR(
    INDEX('Fairway Log'!$E$2:$V$70,
      MATCH(1,
        ('Fairway Log'!$A$2:$A$70=$A503)*
        ('Fairway Log'!$B$2:$B$70=$B503)*
        ('Fairway Log'!$C$2:$C574=$C503),
      0),
      MATCH($G503,'Fairway Log'!$E$1:$V$1,0)
    ),
  "")
)</f>
        <v>1</v>
      </c>
      <c r="Q503" cm="1">
        <f t="array" ref="Q503">IFERROR(
  INDEX('GIR Log'!$E$2:$V$70,
    MATCH(1,
      ('GIR Log'!$A$2:$A$70=$A503)*
      ('GIR Log'!$B$2:$B$70=$B503)*
      ('GIR Log'!$C$2:$C$70=$C503),
    0),
    MATCH($G503,'GIR Log'!$E$1:$V$1,0)
  ),
"")</f>
        <v>1</v>
      </c>
    </row>
    <row r="504" spans="1:17" x14ac:dyDescent="0.25">
      <c r="A504" s="20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Log'!$E$2:$V$70,
    MATCH(1,
      ('Golf Log'!$A$2:$A$70=$A504)*
      ('Golf Log'!$B$2:$B$70=$B504)*
      ('Golf Log'!$C$2:$C$70=$C504),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Log'!$E$2:$V$70,
    MATCH(1,
      ('Putt Log'!$A$2:$A$70=$A504)*
      ('Putt Log'!$B$2:$B$70=$B504)*
      ('Putt Log'!$C$2:$C$70=$C504),
    0),
    MATCH($G504,'Putt Log'!$E$1:$V$1,0)
  ),
"")</f>
        <v>1</v>
      </c>
      <c r="P504" t="str" cm="1">
        <f t="array" ref="P504">IF(K504=3,"",
  IFERROR(
    INDEX('Fairway Log'!$E$2:$V$70,
      MATCH(1,
        ('Fairway Log'!$A$2:$A$70=$A504)*
        ('Fairway Log'!$B$2:$B$70=$B504)*
        ('Fairway Log'!$C$2:$C575=$C504),
      0),
      MATCH($G504,'Fairway Log'!$E$1:$V$1,0)
    ),
  "")
)</f>
        <v/>
      </c>
      <c r="Q504" cm="1">
        <f t="array" ref="Q504">IFERROR(
  INDEX('GIR Log'!$E$2:$V$70,
    MATCH(1,
      ('GIR Log'!$A$2:$A$70=$A504)*
      ('GIR Log'!$B$2:$B$70=$B504)*
      ('GIR Log'!$C$2:$C$70=$C504),
    0),
    MATCH($G504,'GIR Log'!$E$1:$V$1,0)
  ),
"")</f>
        <v>0</v>
      </c>
    </row>
    <row r="505" spans="1:17" x14ac:dyDescent="0.25">
      <c r="A505" s="20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Log'!$E$2:$V$70,
    MATCH(1,
      ('Golf Log'!$A$2:$A$70=$A505)*
      ('Golf Log'!$B$2:$B$70=$B505)*
      ('Golf Log'!$C$2:$C$70=$C505),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Log'!$E$2:$V$70,
    MATCH(1,
      ('Putt Log'!$A$2:$A$70=$A505)*
      ('Putt Log'!$B$2:$B$70=$B505)*
      ('Putt Log'!$C$2:$C$70=$C505),
    0),
    MATCH($G505,'Putt Log'!$E$1:$V$1,0)
  ),
"")</f>
        <v>2</v>
      </c>
      <c r="P505" t="str" cm="1">
        <f t="array" ref="P505">IF(K505=3,"",
  IFERROR(
    INDEX('Fairway Log'!$E$2:$V$70,
      MATCH(1,
        ('Fairway Log'!$A$2:$A$70=$A505)*
        ('Fairway Log'!$B$2:$B$70=$B505)*
        ('Fairway Log'!$C$2:$C576=$C505),
      0),
      MATCH($G505,'Fairway Log'!$E$1:$V$1,0)
    ),
  "")
)</f>
        <v>→</v>
      </c>
      <c r="Q505" cm="1">
        <f t="array" ref="Q505">IFERROR(
  INDEX('GIR Log'!$E$2:$V$70,
    MATCH(1,
      ('GIR Log'!$A$2:$A$70=$A505)*
      ('GIR Log'!$B$2:$B$70=$B505)*
      ('GIR Log'!$C$2:$C$70=$C505),
    0),
    MATCH($G505,'GIR Log'!$E$1:$V$1,0)
  ),
"")</f>
        <v>0</v>
      </c>
    </row>
    <row r="506" spans="1:17" x14ac:dyDescent="0.25">
      <c r="A506" s="20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Log'!$E$2:$V$70,
    MATCH(1,
      ('Golf Log'!$A$2:$A$70=$A506)*
      ('Golf Log'!$B$2:$B$70=$B506)*
      ('Golf Log'!$C$2:$C$70=$C506),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Log'!$E$2:$V$70,
    MATCH(1,
      ('Putt Log'!$A$2:$A$70=$A506)*
      ('Putt Log'!$B$2:$B$70=$B506)*
      ('Putt Log'!$C$2:$C$70=$C506),
    0),
    MATCH($G506,'Putt Log'!$E$1:$V$1,0)
  ),
"")</f>
        <v>2</v>
      </c>
      <c r="P506" cm="1">
        <f t="array" ref="P506">IF(K506=3,"",
  IFERROR(
    INDEX('Fairway Log'!$E$2:$V$70,
      MATCH(1,
        ('Fairway Log'!$A$2:$A$70=$A506)*
        ('Fairway Log'!$B$2:$B$70=$B506)*
        ('Fairway Log'!$C$2:$C577=$C506),
      0),
      MATCH($G506,'Fairway Log'!$E$1:$V$1,0)
    ),
  "")
)</f>
        <v>1</v>
      </c>
      <c r="Q506" cm="1">
        <f t="array" ref="Q506">IFERROR(
  INDEX('GIR Log'!$E$2:$V$70,
    MATCH(1,
      ('GIR Log'!$A$2:$A$70=$A506)*
      ('GIR Log'!$B$2:$B$70=$B506)*
      ('GIR Log'!$C$2:$C$70=$C506),
    0),
    MATCH($G506,'GIR Log'!$E$1:$V$1,0)
  ),
"")</f>
        <v>1</v>
      </c>
    </row>
    <row r="507" spans="1:17" x14ac:dyDescent="0.25">
      <c r="A507" s="20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Log'!$E$2:$V$70,
    MATCH(1,
      ('Golf Log'!$A$2:$A$70=$A507)*
      ('Golf Log'!$B$2:$B$70=$B507)*
      ('Golf Log'!$C$2:$C$70=$C507),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Log'!$E$2:$V$70,
    MATCH(1,
      ('Putt Log'!$A$2:$A$70=$A507)*
      ('Putt Log'!$B$2:$B$70=$B507)*
      ('Putt Log'!$C$2:$C$70=$C507),
    0),
    MATCH($G507,'Putt Log'!$E$1:$V$1,0)
  ),
"")</f>
        <v>2</v>
      </c>
      <c r="P507" cm="1">
        <f t="array" ref="P507">IF(K507=3,"",
  IFERROR(
    INDEX('Fairway Log'!$E$2:$V$70,
      MATCH(1,
        ('Fairway Log'!$A$2:$A$70=$A507)*
        ('Fairway Log'!$B$2:$B$70=$B507)*
        ('Fairway Log'!$C$2:$C578=$C507),
      0),
      MATCH($G507,'Fairway Log'!$E$1:$V$1,0)
    ),
  "")
)</f>
        <v>1</v>
      </c>
      <c r="Q507" cm="1">
        <f t="array" ref="Q507">IFERROR(
  INDEX('GIR Log'!$E$2:$V$70,
    MATCH(1,
      ('GIR Log'!$A$2:$A$70=$A507)*
      ('GIR Log'!$B$2:$B$70=$B507)*
      ('GIR Log'!$C$2:$C$70=$C507),
    0),
    MATCH($G507,'GIR Log'!$E$1:$V$1,0)
  ),
"")</f>
        <v>0</v>
      </c>
    </row>
    <row r="508" spans="1:17" x14ac:dyDescent="0.25">
      <c r="A508" s="20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Log'!$E$2:$V$70,
    MATCH(1,
      ('Golf Log'!$A$2:$A$70=$A508)*
      ('Golf Log'!$B$2:$B$70=$B508)*
      ('Golf Log'!$C$2:$C$70=$C508),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Log'!$E$2:$V$70,
    MATCH(1,
      ('Putt Log'!$A$2:$A$70=$A508)*
      ('Putt Log'!$B$2:$B$70=$B508)*
      ('Putt Log'!$C$2:$C$70=$C508),
    0),
    MATCH($G508,'Putt Log'!$E$1:$V$1,0)
  ),
"")</f>
        <v>2</v>
      </c>
      <c r="P508" t="str" cm="1">
        <f t="array" ref="P508">IF(K508=3,"",
  IFERROR(
    INDEX('Fairway Log'!$E$2:$V$70,
      MATCH(1,
        ('Fairway Log'!$A$2:$A$70=$A508)*
        ('Fairway Log'!$B$2:$B$70=$B508)*
        ('Fairway Log'!$C$2:$C579=$C508),
      0),
      MATCH($G508,'Fairway Log'!$E$1:$V$1,0)
    ),
  "")
)</f>
        <v/>
      </c>
      <c r="Q508" cm="1">
        <f t="array" ref="Q508">IFERROR(
  INDEX('GIR Log'!$E$2:$V$70,
    MATCH(1,
      ('GIR Log'!$A$2:$A$70=$A508)*
      ('GIR Log'!$B$2:$B$70=$B508)*
      ('GIR Log'!$C$2:$C$70=$C508),
    0),
    MATCH($G508,'GIR Log'!$E$1:$V$1,0)
  ),
"")</f>
        <v>1</v>
      </c>
    </row>
    <row r="509" spans="1:17" x14ac:dyDescent="0.25">
      <c r="A509" s="20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Log'!$E$2:$V$70,
    MATCH(1,
      ('Golf Log'!$A$2:$A$70=$A509)*
      ('Golf Log'!$B$2:$B$70=$B509)*
      ('Golf Log'!$C$2:$C$70=$C509),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Log'!$E$2:$V$70,
    MATCH(1,
      ('Putt Log'!$A$2:$A$70=$A509)*
      ('Putt Log'!$B$2:$B$70=$B509)*
      ('Putt Log'!$C$2:$C$70=$C509),
    0),
    MATCH($G509,'Putt Log'!$E$1:$V$1,0)
  ),
"")</f>
        <v>2</v>
      </c>
      <c r="P509" cm="1">
        <f t="array" ref="P509">IF(K509=3,"",
  IFERROR(
    INDEX('Fairway Log'!$E$2:$V$70,
      MATCH(1,
        ('Fairway Log'!$A$2:$A$70=$A509)*
        ('Fairway Log'!$B$2:$B$70=$B509)*
        ('Fairway Log'!$C$2:$C580=$C509),
      0),
      MATCH($G509,'Fairway Log'!$E$1:$V$1,0)
    ),
  "")
)</f>
        <v>1</v>
      </c>
      <c r="Q509" cm="1">
        <f t="array" ref="Q509">IFERROR(
  INDEX('GIR Log'!$E$2:$V$70,
    MATCH(1,
      ('GIR Log'!$A$2:$A$70=$A509)*
      ('GIR Log'!$B$2:$B$70=$B509)*
      ('GIR Log'!$C$2:$C$70=$C509),
    0),
    MATCH($G509,'GIR Log'!$E$1:$V$1,0)
  ),
"")</f>
        <v>1</v>
      </c>
    </row>
    <row r="510" spans="1:17" x14ac:dyDescent="0.25">
      <c r="A510" s="20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Log'!$E$2:$V$70,
    MATCH(1,
      ('Golf Log'!$A$2:$A$70=$A510)*
      ('Golf Log'!$B$2:$B$70=$B510)*
      ('Golf Log'!$C$2:$C$70=$C510),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Log'!$E$2:$V$70,
    MATCH(1,
      ('Putt Log'!$A$2:$A$70=$A510)*
      ('Putt Log'!$B$2:$B$70=$B510)*
      ('Putt Log'!$C$2:$C$70=$C510),
    0),
    MATCH($G510,'Putt Log'!$E$1:$V$1,0)
  ),
"")</f>
        <v>2</v>
      </c>
      <c r="P510" cm="1">
        <f t="array" ref="P510">IF(K510=3,"",
  IFERROR(
    INDEX('Fairway Log'!$E$2:$V$70,
      MATCH(1,
        ('Fairway Log'!$A$2:$A$70=$A510)*
        ('Fairway Log'!$B$2:$B$70=$B510)*
        ('Fairway Log'!$C$2:$C581=$C510),
      0),
      MATCH($G510,'Fairway Log'!$E$1:$V$1,0)
    ),
  "")
)</f>
        <v>1</v>
      </c>
      <c r="Q510" cm="1">
        <f t="array" ref="Q510">IFERROR(
  INDEX('GIR Log'!$E$2:$V$70,
    MATCH(1,
      ('GIR Log'!$A$2:$A$70=$A510)*
      ('GIR Log'!$B$2:$B$70=$B510)*
      ('GIR Log'!$C$2:$C$70=$C510),
    0),
    MATCH($G510,'GIR Log'!$E$1:$V$1,0)
  ),
"")</f>
        <v>0</v>
      </c>
    </row>
    <row r="511" spans="1:17" x14ac:dyDescent="0.25">
      <c r="A511" s="20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Log'!$E$2:$V$70,
    MATCH(1,
      ('Golf Log'!$A$2:$A$70=$A511)*
      ('Golf Log'!$B$2:$B$70=$B511)*
      ('Golf Log'!$C$2:$C$70=$C511),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Log'!$E$2:$V$70,
    MATCH(1,
      ('Putt Log'!$A$2:$A$70=$A511)*
      ('Putt Log'!$B$2:$B$70=$B511)*
      ('Putt Log'!$C$2:$C$70=$C511),
    0),
    MATCH($G511,'Putt Log'!$E$1:$V$1,0)
  ),
"")</f>
        <v>2</v>
      </c>
      <c r="P511" t="str" cm="1">
        <f t="array" ref="P511">IF(K511=3,"",
  IFERROR(
    INDEX('Fairway Log'!$E$2:$V$70,
      MATCH(1,
        ('Fairway Log'!$A$2:$A$70=$A511)*
        ('Fairway Log'!$B$2:$B$70=$B511)*
        ('Fairway Log'!$C$2:$C582=$C511),
      0),
      MATCH($G511,'Fairway Log'!$E$1:$V$1,0)
    ),
  "")
)</f>
        <v/>
      </c>
      <c r="Q511" cm="1">
        <f t="array" ref="Q511">IFERROR(
  INDEX('GIR Log'!$E$2:$V$70,
    MATCH(1,
      ('GIR Log'!$A$2:$A$70=$A511)*
      ('GIR Log'!$B$2:$B$70=$B511)*
      ('GIR Log'!$C$2:$C$70=$C511),
    0),
    MATCH($G511,'GIR Log'!$E$1:$V$1,0)
  ),
"")</f>
        <v>0</v>
      </c>
    </row>
    <row r="512" spans="1:17" x14ac:dyDescent="0.25">
      <c r="A512" s="20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Log'!$E$2:$V$70,
    MATCH(1,
      ('Golf Log'!$A$2:$A$70=$A512)*
      ('Golf Log'!$B$2:$B$70=$B512)*
      ('Golf Log'!$C$2:$C$70=$C512),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Log'!$E$2:$V$70,
    MATCH(1,
      ('Putt Log'!$A$2:$A$70=$A512)*
      ('Putt Log'!$B$2:$B$70=$B512)*
      ('Putt Log'!$C$2:$C$70=$C512),
    0),
    MATCH($G512,'Putt Log'!$E$1:$V$1,0)
  ),
"")</f>
        <v>2</v>
      </c>
      <c r="P512" cm="1">
        <f t="array" ref="P512">IF(K512=3,"",
  IFERROR(
    INDEX('Fairway Log'!$E$2:$V$70,
      MATCH(1,
        ('Fairway Log'!$A$2:$A$70=$A512)*
        ('Fairway Log'!$B$2:$B$70=$B512)*
        ('Fairway Log'!$C$2:$C583=$C512),
      0),
      MATCH($G512,'Fairway Log'!$E$1:$V$1,0)
    ),
  "")
)</f>
        <v>1</v>
      </c>
      <c r="Q512" cm="1">
        <f t="array" ref="Q512">IFERROR(
  INDEX('GIR Log'!$E$2:$V$70,
    MATCH(1,
      ('GIR Log'!$A$2:$A$70=$A512)*
      ('GIR Log'!$B$2:$B$70=$B512)*
      ('GIR Log'!$C$2:$C$70=$C512),
    0),
    MATCH($G512,'GIR Log'!$E$1:$V$1,0)
  ),
"")</f>
        <v>0</v>
      </c>
    </row>
    <row r="513" spans="1:17" x14ac:dyDescent="0.25">
      <c r="A513" s="20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Log'!$E$2:$V$70,
    MATCH(1,
      ('Golf Log'!$A$2:$A$70=$A513)*
      ('Golf Log'!$B$2:$B$70=$B513)*
      ('Golf Log'!$C$2:$C$70=$C513),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Log'!$E$2:$V$70,
    MATCH(1,
      ('Putt Log'!$A$2:$A$70=$A513)*
      ('Putt Log'!$B$2:$B$70=$B513)*
      ('Putt Log'!$C$2:$C$70=$C513),
    0),
    MATCH($G513,'Putt Log'!$E$1:$V$1,0)
  ),
"")</f>
        <v>1</v>
      </c>
      <c r="P513" cm="1">
        <f t="array" ref="P513">IF(K513=3,"",
  IFERROR(
    INDEX('Fairway Log'!$E$2:$V$70,
      MATCH(1,
        ('Fairway Log'!$A$2:$A$70=$A513)*
        ('Fairway Log'!$B$2:$B$70=$B513)*
        ('Fairway Log'!$C$2:$C584=$C513),
      0),
      MATCH($G513,'Fairway Log'!$E$1:$V$1,0)
    ),
  "")
)</f>
        <v>1</v>
      </c>
      <c r="Q513" cm="1">
        <f t="array" ref="Q513">IFERROR(
  INDEX('GIR Log'!$E$2:$V$70,
    MATCH(1,
      ('GIR Log'!$A$2:$A$70=$A513)*
      ('GIR Log'!$B$2:$B$70=$B513)*
      ('GIR Log'!$C$2:$C$70=$C513),
    0),
    MATCH($G513,'GIR Log'!$E$1:$V$1,0)
  ),
"")</f>
        <v>0</v>
      </c>
    </row>
    <row r="514" spans="1:17" x14ac:dyDescent="0.25">
      <c r="A514" s="20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Log'!$E$2:$V$70,
    MATCH(1,
      ('Golf Log'!$A$2:$A$70=$A514)*
      ('Golf Log'!$B$2:$B$70=$B514)*
      ('Golf Log'!$C$2:$C$70=$C514),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Log'!$E$2:$V$70,
    MATCH(1,
      ('Putt Log'!$A$2:$A$70=$A514)*
      ('Putt Log'!$B$2:$B$70=$B514)*
      ('Putt Log'!$C$2:$C$70=$C514),
    0),
    MATCH($G514,'Putt Log'!$E$1:$V$1,0)
  ),
"")</f>
        <v>3</v>
      </c>
      <c r="P514" t="str" cm="1">
        <f t="array" ref="P514">IF(K514=3,"",
  IFERROR(
    INDEX('Fairway Log'!$E$2:$V$70,
      MATCH(1,
        ('Fairway Log'!$A$2:$A$70=$A514)*
        ('Fairway Log'!$B$2:$B$70=$B514)*
        ('Fairway Log'!$C$2:$C585=$C514),
      0),
      MATCH($G514,'Fairway Log'!$E$1:$V$1,0)
    ),
  "")
)</f>
        <v>→</v>
      </c>
      <c r="Q514" cm="1">
        <f t="array" ref="Q514">IFERROR(
  INDEX('GIR Log'!$E$2:$V$70,
    MATCH(1,
      ('GIR Log'!$A$2:$A$70=$A514)*
      ('GIR Log'!$B$2:$B$70=$B514)*
      ('GIR Log'!$C$2:$C$70=$C514),
    0),
    MATCH($G514,'GIR Log'!$E$1:$V$1,0)
  ),
"")</f>
        <v>0</v>
      </c>
    </row>
    <row r="515" spans="1:17" x14ac:dyDescent="0.25">
      <c r="A515" s="20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Log'!$E$2:$V$70,
    MATCH(1,
      ('Golf Log'!$A$2:$A$70=$A515)*
      ('Golf Log'!$B$2:$B$70=$B515)*
      ('Golf Log'!$C$2:$C$70=$C515),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Log'!$E$2:$V$70,
    MATCH(1,
      ('Putt Log'!$A$2:$A$70=$A515)*
      ('Putt Log'!$B$2:$B$70=$B515)*
      ('Putt Log'!$C$2:$C$70=$C515),
    0),
    MATCH($G515,'Putt Log'!$E$1:$V$1,0)
  ),
"")</f>
        <v>1</v>
      </c>
      <c r="P515" cm="1">
        <f t="array" ref="P515">IF(K515=3,"",
  IFERROR(
    INDEX('Fairway Log'!$E$2:$V$70,
      MATCH(1,
        ('Fairway Log'!$A$2:$A$70=$A515)*
        ('Fairway Log'!$B$2:$B$70=$B515)*
        ('Fairway Log'!$C$2:$C586=$C515),
      0),
      MATCH($G515,'Fairway Log'!$E$1:$V$1,0)
    ),
  "")
)</f>
        <v>0</v>
      </c>
      <c r="Q515" cm="1">
        <f t="array" ref="Q515">IFERROR(
  INDEX('GIR Log'!$E$2:$V$70,
    MATCH(1,
      ('GIR Log'!$A$2:$A$70=$A515)*
      ('GIR Log'!$B$2:$B$70=$B515)*
      ('GIR Log'!$C$2:$C$70=$C515),
    0),
    MATCH($G515,'GIR Log'!$E$1:$V$1,0)
  ),
"")</f>
        <v>0</v>
      </c>
    </row>
    <row r="516" spans="1:17" x14ac:dyDescent="0.25">
      <c r="A516" s="20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Log'!$E$2:$V$70,
    MATCH(1,
      ('Golf Log'!$A$2:$A$70=$A516)*
      ('Golf Log'!$B$2:$B$70=$B516)*
      ('Golf Log'!$C$2:$C$70=$C516),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Log'!$E$2:$V$70,
    MATCH(1,
      ('Putt Log'!$A$2:$A$70=$A516)*
      ('Putt Log'!$B$2:$B$70=$B516)*
      ('Putt Log'!$C$2:$C$70=$C516),
    0),
    MATCH($G516,'Putt Log'!$E$1:$V$1,0)
  ),
"")</f>
        <v>2</v>
      </c>
      <c r="P516" t="str" cm="1">
        <f t="array" ref="P516">IF(K516=3,"",
  IFERROR(
    INDEX('Fairway Log'!$E$2:$V$70,
      MATCH(1,
        ('Fairway Log'!$A$2:$A$70=$A516)*
        ('Fairway Log'!$B$2:$B$70=$B516)*
        ('Fairway Log'!$C$2:$C587=$C516),
      0),
      MATCH($G516,'Fairway Log'!$E$1:$V$1,0)
    ),
  "")
)</f>
        <v/>
      </c>
      <c r="Q516" cm="1">
        <f t="array" ref="Q516">IFERROR(
  INDEX('GIR Log'!$E$2:$V$70,
    MATCH(1,
      ('GIR Log'!$A$2:$A$70=$A516)*
      ('GIR Log'!$B$2:$B$70=$B516)*
      ('GIR Log'!$C$2:$C$70=$C516),
    0),
    MATCH($G516,'GIR Log'!$E$1:$V$1,0)
  ),
"")</f>
        <v>0</v>
      </c>
    </row>
    <row r="517" spans="1:17" x14ac:dyDescent="0.25">
      <c r="A517" s="20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Log'!$E$2:$V$70,
    MATCH(1,
      ('Golf Log'!$A$2:$A$70=$A517)*
      ('Golf Log'!$B$2:$B$70=$B517)*
      ('Golf Log'!$C$2:$C$70=$C517),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Log'!$E$2:$V$70,
    MATCH(1,
      ('Putt Log'!$A$2:$A$70=$A517)*
      ('Putt Log'!$B$2:$B$70=$B517)*
      ('Putt Log'!$C$2:$C$70=$C517),
    0),
    MATCH($G517,'Putt Log'!$E$1:$V$1,0)
  ),
"")</f>
        <v>2</v>
      </c>
      <c r="P517" t="str" cm="1">
        <f t="array" ref="P517">IF(K517=3,"",
  IFERROR(
    INDEX('Fairway Log'!$E$2:$V$70,
      MATCH(1,
        ('Fairway Log'!$A$2:$A$70=$A517)*
        ('Fairway Log'!$B$2:$B$70=$B517)*
        ('Fairway Log'!$C$2:$C588=$C517),
      0),
      MATCH($G517,'Fairway Log'!$E$1:$V$1,0)
    ),
  "")
)</f>
        <v>↓</v>
      </c>
      <c r="Q517" cm="1">
        <f t="array" ref="Q517">IFERROR(
  INDEX('GIR Log'!$E$2:$V$70,
    MATCH(1,
      ('GIR Log'!$A$2:$A$70=$A517)*
      ('GIR Log'!$B$2:$B$70=$B517)*
      ('GIR Log'!$C$2:$C$70=$C517),
    0),
    MATCH($G517,'GIR Log'!$E$1:$V$1,0)
  ),
"")</f>
        <v>0</v>
      </c>
    </row>
    <row r="518" spans="1:17" x14ac:dyDescent="0.25">
      <c r="A518" s="20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Log'!$E$2:$V$70,
    MATCH(1,
      ('Golf Log'!$A$2:$A$70=$A518)*
      ('Golf Log'!$B$2:$B$70=$B518)*
      ('Golf Log'!$C$2:$C$70=$C518),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Log'!$E$2:$V$70,
    MATCH(1,
      ('Putt Log'!$A$2:$A$70=$A518)*
      ('Putt Log'!$B$2:$B$70=$B518)*
      ('Putt Log'!$C$2:$C$70=$C518),
    0),
    MATCH($G518,'Putt Log'!$E$1:$V$1,0)
  ),
"")</f>
        <v>2</v>
      </c>
      <c r="P518" t="str" cm="1">
        <f t="array" ref="P518">IF(K518=3,"",
  IFERROR(
    INDEX('Fairway Log'!$E$2:$V$70,
      MATCH(1,
        ('Fairway Log'!$A$2:$A$70=$A518)*
        ('Fairway Log'!$B$2:$B$70=$B518)*
        ('Fairway Log'!$C$2:$C589=$C518),
      0),
      MATCH($G518,'Fairway Log'!$E$1:$V$1,0)
    ),
  "")
)</f>
        <v>→</v>
      </c>
      <c r="Q518" cm="1">
        <f t="array" ref="Q518">IFERROR(
  INDEX('GIR Log'!$E$2:$V$70,
    MATCH(1,
      ('GIR Log'!$A$2:$A$70=$A518)*
      ('GIR Log'!$B$2:$B$70=$B518)*
      ('GIR Log'!$C$2:$C$70=$C518),
    0),
    MATCH($G518,'GIR Log'!$E$1:$V$1,0)
  ),
"")</f>
        <v>0</v>
      </c>
    </row>
    <row r="519" spans="1:17" x14ac:dyDescent="0.25">
      <c r="A519" s="20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Log'!$E$2:$V$70,
    MATCH(1,
      ('Golf Log'!$A$2:$A$70=$A519)*
      ('Golf Log'!$B$2:$B$70=$B519)*
      ('Golf Log'!$C$2:$C$70=$C519),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Log'!$E$2:$V$70,
    MATCH(1,
      ('Putt Log'!$A$2:$A$70=$A519)*
      ('Putt Log'!$B$2:$B$70=$B519)*
      ('Putt Log'!$C$2:$C$70=$C519),
    0),
    MATCH($G519,'Putt Log'!$E$1:$V$1,0)
  ),
"")</f>
        <v>3</v>
      </c>
      <c r="P519" t="str" cm="1">
        <f t="array" ref="P519">IF(K519=3,"",
  IFERROR(
    INDEX('Fairway Log'!$E$2:$V$70,
      MATCH(1,
        ('Fairway Log'!$A$2:$A$70=$A519)*
        ('Fairway Log'!$B$2:$B$70=$B519)*
        ('Fairway Log'!$C$2:$C590=$C519),
      0),
      MATCH($G519,'Fairway Log'!$E$1:$V$1,0)
    ),
  "")
)</f>
        <v>→</v>
      </c>
      <c r="Q519" cm="1">
        <f t="array" ref="Q519">IFERROR(
  INDEX('GIR Log'!$E$2:$V$70,
    MATCH(1,
      ('GIR Log'!$A$2:$A$70=$A519)*
      ('GIR Log'!$B$2:$B$70=$B519)*
      ('GIR Log'!$C$2:$C$70=$C519),
    0),
    MATCH($G519,'GIR Log'!$E$1:$V$1,0)
  ),
"")</f>
        <v>1</v>
      </c>
    </row>
    <row r="520" spans="1:17" x14ac:dyDescent="0.25">
      <c r="A520" s="20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Log'!$E$2:$V$70,
    MATCH(1,
      ('Golf Log'!$A$2:$A$70=$A520)*
      ('Golf Log'!$B$2:$B$70=$B520)*
      ('Golf Log'!$C$2:$C$70=$C520),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Log'!$E$2:$V$70,
    MATCH(1,
      ('Putt Log'!$A$2:$A$70=$A520)*
      ('Putt Log'!$B$2:$B$70=$B520)*
      ('Putt Log'!$C$2:$C$70=$C520),
    0),
    MATCH($G520,'Putt Log'!$E$1:$V$1,0)
  ),
"")</f>
        <v>2</v>
      </c>
      <c r="P520" t="str" cm="1">
        <f t="array" ref="P520">IF(K520=3,"",
  IFERROR(
    INDEX('Fairway Log'!$E$2:$V$70,
      MATCH(1,
        ('Fairway Log'!$A$2:$A$70=$A520)*
        ('Fairway Log'!$B$2:$B$70=$B520)*
        ('Fairway Log'!$C$2:$C591=$C520),
      0),
      MATCH($G520,'Fairway Log'!$E$1:$V$1,0)
    ),
  "")
)</f>
        <v/>
      </c>
      <c r="Q520" cm="1">
        <f t="array" ref="Q520">IFERROR(
  INDEX('GIR Log'!$E$2:$V$70,
    MATCH(1,
      ('GIR Log'!$A$2:$A$70=$A520)*
      ('GIR Log'!$B$2:$B$70=$B520)*
      ('GIR Log'!$C$2:$C$70=$C520),
    0),
    MATCH($G520,'GIR Log'!$E$1:$V$1,0)
  ),
"")</f>
        <v>0</v>
      </c>
    </row>
    <row r="521" spans="1:17" x14ac:dyDescent="0.25">
      <c r="A521" s="20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Log'!$E$2:$V$70,
    MATCH(1,
      ('Golf Log'!$A$2:$A$70=$A521)*
      ('Golf Log'!$B$2:$B$70=$B521)*
      ('Golf Log'!$C$2:$C$70=$C521),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Log'!$E$2:$V$70,
    MATCH(1,
      ('Putt Log'!$A$2:$A$70=$A521)*
      ('Putt Log'!$B$2:$B$70=$B521)*
      ('Putt Log'!$C$2:$C$70=$C521),
    0),
    MATCH($G521,'Putt Log'!$E$1:$V$1,0)
  ),
"")</f>
        <v>3</v>
      </c>
      <c r="P521" cm="1">
        <f t="array" ref="P521">IF(K521=3,"",
  IFERROR(
    INDEX('Fairway Log'!$E$2:$V$70,
      MATCH(1,
        ('Fairway Log'!$A$2:$A$70=$A521)*
        ('Fairway Log'!$B$2:$B$70=$B521)*
        ('Fairway Log'!$C$2:$C592=$C521),
      0),
      MATCH($G521,'Fairway Log'!$E$1:$V$1,0)
    ),
  "")
)</f>
        <v>1</v>
      </c>
      <c r="Q521" cm="1">
        <f t="array" ref="Q521">IFERROR(
  INDEX('GIR Log'!$E$2:$V$70,
    MATCH(1,
      ('GIR Log'!$A$2:$A$70=$A521)*
      ('GIR Log'!$B$2:$B$70=$B521)*
      ('GIR Log'!$C$2:$C$70=$C521),
    0),
    MATCH($G521,'GIR Log'!$E$1:$V$1,0)
  ),
"")</f>
        <v>0</v>
      </c>
    </row>
    <row r="522" spans="1:17" x14ac:dyDescent="0.25">
      <c r="A522" s="20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Log'!$E$2:$V$70,
    MATCH(1,
      ('Golf Log'!$A$2:$A$70=$A522)*
      ('Golf Log'!$B$2:$B$70=$B522)*
      ('Golf Log'!$C$2:$C$70=$C522),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Log'!$E$2:$V$70,
    MATCH(1,
      ('Putt Log'!$A$2:$A$70=$A522)*
      ('Putt Log'!$B$2:$B$70=$B522)*
      ('Putt Log'!$C$2:$C$70=$C522),
    0),
    MATCH($G522,'Putt Log'!$E$1:$V$1,0)
  ),
"")</f>
        <v>2</v>
      </c>
      <c r="P522" t="str" cm="1">
        <f t="array" ref="P522">IF(K522=3,"",
  IFERROR(
    INDEX('Fairway Log'!$E$2:$V$70,
      MATCH(1,
        ('Fairway Log'!$A$2:$A$70=$A522)*
        ('Fairway Log'!$B$2:$B$70=$B522)*
        ('Fairway Log'!$C$2:$C593=$C522),
      0),
      MATCH($G522,'Fairway Log'!$E$1:$V$1,0)
    ),
  "")
)</f>
        <v>→</v>
      </c>
      <c r="Q522" cm="1">
        <f t="array" ref="Q522">IFERROR(
  INDEX('GIR Log'!$E$2:$V$70,
    MATCH(1,
      ('GIR Log'!$A$2:$A$70=$A522)*
      ('GIR Log'!$B$2:$B$70=$B522)*
      ('GIR Log'!$C$2:$C$70=$C522),
    0),
    MATCH($G522,'GIR Log'!$E$1:$V$1,0)
  ),
"")</f>
        <v>0</v>
      </c>
    </row>
    <row r="523" spans="1:17" x14ac:dyDescent="0.25">
      <c r="A523" s="20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Log'!$E$2:$V$70,
    MATCH(1,
      ('Golf Log'!$A$2:$A$70=$A523)*
      ('Golf Log'!$B$2:$B$70=$B523)*
      ('Golf Log'!$C$2:$C$70=$C523),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Log'!$E$2:$V$70,
    MATCH(1,
      ('Putt Log'!$A$2:$A$70=$A523)*
      ('Putt Log'!$B$2:$B$70=$B523)*
      ('Putt Log'!$C$2:$C$70=$C523),
    0),
    MATCH($G523,'Putt Log'!$E$1:$V$1,0)
  ),
"")</f>
        <v>2</v>
      </c>
      <c r="P523" t="str" cm="1">
        <f t="array" ref="P523">IF(K523=3,"",
  IFERROR(
    INDEX('Fairway Log'!$E$2:$V$70,
      MATCH(1,
        ('Fairway Log'!$A$2:$A$70=$A523)*
        ('Fairway Log'!$B$2:$B$70=$B523)*
        ('Fairway Log'!$C$2:$C594=$C523),
      0),
      MATCH($G523,'Fairway Log'!$E$1:$V$1,0)
    ),
  "")
)</f>
        <v>→</v>
      </c>
      <c r="Q523" cm="1">
        <f t="array" ref="Q523">IFERROR(
  INDEX('GIR Log'!$E$2:$V$70,
    MATCH(1,
      ('GIR Log'!$A$2:$A$70=$A523)*
      ('GIR Log'!$B$2:$B$70=$B523)*
      ('GIR Log'!$C$2:$C$70=$C523),
    0),
    MATCH($G523,'GIR Log'!$E$1:$V$1,0)
  ),
"")</f>
        <v>0</v>
      </c>
    </row>
    <row r="524" spans="1:17" x14ac:dyDescent="0.25">
      <c r="A524" s="20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Log'!$E$2:$V$70,
    MATCH(1,
      ('Golf Log'!$A$2:$A$70=$A524)*
      ('Golf Log'!$B$2:$B$70=$B524)*
      ('Golf Log'!$C$2:$C$70=$C524),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Log'!$E$2:$V$70,
    MATCH(1,
      ('Putt Log'!$A$2:$A$70=$A524)*
      ('Putt Log'!$B$2:$B$70=$B524)*
      ('Putt Log'!$C$2:$C$70=$C524),
    0),
    MATCH($G524,'Putt Log'!$E$1:$V$1,0)
  ),
"")</f>
        <v>3</v>
      </c>
      <c r="P524" cm="1">
        <f t="array" ref="P524">IF(K524=3,"",
  IFERROR(
    INDEX('Fairway Log'!$E$2:$V$70,
      MATCH(1,
        ('Fairway Log'!$A$2:$A$70=$A524)*
        ('Fairway Log'!$B$2:$B$70=$B524)*
        ('Fairway Log'!$C$2:$C595=$C524),
      0),
      MATCH($G524,'Fairway Log'!$E$1:$V$1,0)
    ),
  "")
)</f>
        <v>1</v>
      </c>
      <c r="Q524" cm="1">
        <f t="array" ref="Q524">IFERROR(
  INDEX('GIR Log'!$E$2:$V$70,
    MATCH(1,
      ('GIR Log'!$A$2:$A$70=$A524)*
      ('GIR Log'!$B$2:$B$70=$B524)*
      ('GIR Log'!$C$2:$C$70=$C524),
    0),
    MATCH($G524,'GIR Log'!$E$1:$V$1,0)
  ),
"")</f>
        <v>0</v>
      </c>
    </row>
    <row r="525" spans="1:17" x14ac:dyDescent="0.25">
      <c r="A525" s="20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Log'!$E$2:$V$70,
    MATCH(1,
      ('Golf Log'!$A$2:$A$70=$A525)*
      ('Golf Log'!$B$2:$B$70=$B525)*
      ('Golf Log'!$C$2:$C$70=$C525),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Log'!$E$2:$V$70,
    MATCH(1,
      ('Putt Log'!$A$2:$A$70=$A525)*
      ('Putt Log'!$B$2:$B$70=$B525)*
      ('Putt Log'!$C$2:$C$70=$C525),
    0),
    MATCH($G525,'Putt Log'!$E$1:$V$1,0)
  ),
"")</f>
        <v>3</v>
      </c>
      <c r="P525" cm="1">
        <f t="array" ref="P525">IF(K525=3,"",
  IFERROR(
    INDEX('Fairway Log'!$E$2:$V$70,
      MATCH(1,
        ('Fairway Log'!$A$2:$A$70=$A525)*
        ('Fairway Log'!$B$2:$B$70=$B525)*
        ('Fairway Log'!$C$2:$C596=$C525),
      0),
      MATCH($G525,'Fairway Log'!$E$1:$V$1,0)
    ),
  "")
)</f>
        <v>1</v>
      </c>
      <c r="Q525" cm="1">
        <f t="array" ref="Q525">IFERROR(
  INDEX('GIR Log'!$E$2:$V$70,
    MATCH(1,
      ('GIR Log'!$A$2:$A$70=$A525)*
      ('GIR Log'!$B$2:$B$70=$B525)*
      ('GIR Log'!$C$2:$C$70=$C525),
    0),
    MATCH($G525,'GIR Log'!$E$1:$V$1,0)
  ),
"")</f>
        <v>0</v>
      </c>
    </row>
    <row r="526" spans="1:17" x14ac:dyDescent="0.25">
      <c r="A526" s="20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Log'!$E$2:$V$70,
    MATCH(1,
      ('Golf Log'!$A$2:$A$70=$A526)*
      ('Golf Log'!$B$2:$B$70=$B526)*
      ('Golf Log'!$C$2:$C$70=$C526),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Log'!$E$2:$V$70,
    MATCH(1,
      ('Putt Log'!$A$2:$A$70=$A526)*
      ('Putt Log'!$B$2:$B$70=$B526)*
      ('Putt Log'!$C$2:$C$70=$C526),
    0),
    MATCH($G526,'Putt Log'!$E$1:$V$1,0)
  ),
"")</f>
        <v>2</v>
      </c>
      <c r="P526" t="str" cm="1">
        <f t="array" ref="P526">IF(K526=3,"",
  IFERROR(
    INDEX('Fairway Log'!$E$2:$V$70,
      MATCH(1,
        ('Fairway Log'!$A$2:$A$70=$A526)*
        ('Fairway Log'!$B$2:$B$70=$B526)*
        ('Fairway Log'!$C$2:$C597=$C526),
      0),
      MATCH($G526,'Fairway Log'!$E$1:$V$1,0)
    ),
  "")
)</f>
        <v>→</v>
      </c>
      <c r="Q526" cm="1">
        <f t="array" ref="Q526">IFERROR(
  INDEX('GIR Log'!$E$2:$V$70,
    MATCH(1,
      ('GIR Log'!$A$2:$A$70=$A526)*
      ('GIR Log'!$B$2:$B$70=$B526)*
      ('GIR Log'!$C$2:$C$70=$C526),
    0),
    MATCH($G526,'GIR Log'!$E$1:$V$1,0)
  ),
"")</f>
        <v>0</v>
      </c>
    </row>
    <row r="527" spans="1:17" x14ac:dyDescent="0.25">
      <c r="A527" s="20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Log'!$E$2:$V$70,
    MATCH(1,
      ('Golf Log'!$A$2:$A$70=$A527)*
      ('Golf Log'!$B$2:$B$70=$B527)*
      ('Golf Log'!$C$2:$C$70=$C527),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Log'!$E$2:$V$70,
    MATCH(1,
      ('Putt Log'!$A$2:$A$70=$A527)*
      ('Putt Log'!$B$2:$B$70=$B527)*
      ('Putt Log'!$C$2:$C$70=$C527),
    0),
    MATCH($G527,'Putt Log'!$E$1:$V$1,0)
  ),
"")</f>
        <v>1</v>
      </c>
      <c r="P527" t="str" cm="1">
        <f t="array" ref="P527">IF(K527=3,"",
  IFERROR(
    INDEX('Fairway Log'!$E$2:$V$70,
      MATCH(1,
        ('Fairway Log'!$A$2:$A$70=$A527)*
        ('Fairway Log'!$B$2:$B$70=$B527)*
        ('Fairway Log'!$C$2:$C598=$C527),
      0),
      MATCH($G527,'Fairway Log'!$E$1:$V$1,0)
    ),
  "")
)</f>
        <v/>
      </c>
      <c r="Q527" cm="1">
        <f t="array" ref="Q527">IFERROR(
  INDEX('GIR Log'!$E$2:$V$70,
    MATCH(1,
      ('GIR Log'!$A$2:$A$70=$A527)*
      ('GIR Log'!$B$2:$B$70=$B527)*
      ('GIR Log'!$C$2:$C$70=$C527),
    0),
    MATCH($G527,'GIR Log'!$E$1:$V$1,0)
  ),
"")</f>
        <v>0</v>
      </c>
    </row>
    <row r="528" spans="1:17" x14ac:dyDescent="0.25">
      <c r="A528" s="20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Log'!$E$2:$V$70,
    MATCH(1,
      ('Golf Log'!$A$2:$A$70=$A528)*
      ('Golf Log'!$B$2:$B$70=$B528)*
      ('Golf Log'!$C$2:$C$70=$C528),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Log'!$E$2:$V$70,
    MATCH(1,
      ('Putt Log'!$A$2:$A$70=$A528)*
      ('Putt Log'!$B$2:$B$70=$B528)*
      ('Putt Log'!$C$2:$C$70=$C528),
    0),
    MATCH($G528,'Putt Log'!$E$1:$V$1,0)
  ),
"")</f>
        <v>2</v>
      </c>
      <c r="P528" t="str" cm="1">
        <f t="array" ref="P528">IF(K528=3,"",
  IFERROR(
    INDEX('Fairway Log'!$E$2:$V$70,
      MATCH(1,
        ('Fairway Log'!$A$2:$A$70=$A528)*
        ('Fairway Log'!$B$2:$B$70=$B528)*
        ('Fairway Log'!$C$2:$C599=$C528),
      0),
      MATCH($G528,'Fairway Log'!$E$1:$V$1,0)
    ),
  "")
)</f>
        <v>←</v>
      </c>
      <c r="Q528" cm="1">
        <f t="array" ref="Q528">IFERROR(
  INDEX('GIR Log'!$E$2:$V$70,
    MATCH(1,
      ('GIR Log'!$A$2:$A$70=$A528)*
      ('GIR Log'!$B$2:$B$70=$B528)*
      ('GIR Log'!$C$2:$C$70=$C528),
    0),
    MATCH($G528,'GIR Log'!$E$1:$V$1,0)
  ),
"")</f>
        <v>0</v>
      </c>
    </row>
    <row r="529" spans="1:17" x14ac:dyDescent="0.25">
      <c r="A529" s="20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Log'!$E$2:$V$70,
    MATCH(1,
      ('Golf Log'!$A$2:$A$70=$A529)*
      ('Golf Log'!$B$2:$B$70=$B529)*
      ('Golf Log'!$C$2:$C$70=$C529),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Log'!$E$2:$V$70,
    MATCH(1,
      ('Putt Log'!$A$2:$A$70=$A529)*
      ('Putt Log'!$B$2:$B$70=$B529)*
      ('Putt Log'!$C$2:$C$70=$C529),
    0),
    MATCH($G529,'Putt Log'!$E$1:$V$1,0)
  ),
"")</f>
        <v>2</v>
      </c>
      <c r="P529" cm="1">
        <f t="array" ref="P529">IF(K529=3,"",
  IFERROR(
    INDEX('Fairway Log'!$E$2:$V$70,
      MATCH(1,
        ('Fairway Log'!$A$2:$A$70=$A529)*
        ('Fairway Log'!$B$2:$B$70=$B529)*
        ('Fairway Log'!$C$2:$C600=$C529),
      0),
      MATCH($G529,'Fairway Log'!$E$1:$V$1,0)
    ),
  "")
)</f>
        <v>1</v>
      </c>
      <c r="Q529" cm="1">
        <f t="array" ref="Q529">IFERROR(
  INDEX('GIR Log'!$E$2:$V$70,
    MATCH(1,
      ('GIR Log'!$A$2:$A$70=$A529)*
      ('GIR Log'!$B$2:$B$70=$B529)*
      ('GIR Log'!$C$2:$C$70=$C529),
    0),
    MATCH($G529,'GIR Log'!$E$1:$V$1,0)
  ),
"")</f>
        <v>1</v>
      </c>
    </row>
    <row r="530" spans="1:17" x14ac:dyDescent="0.25">
      <c r="A530" s="20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Log'!$E$2:$V$70,
    MATCH(1,
      ('Golf Log'!$A$2:$A$70=$A530)*
      ('Golf Log'!$B$2:$B$70=$B530)*
      ('Golf Log'!$C$2:$C$70=$C530),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Log'!$E$2:$V$70,
    MATCH(1,
      ('Putt Log'!$A$2:$A$70=$A530)*
      ('Putt Log'!$B$2:$B$70=$B530)*
      ('Putt Log'!$C$2:$C$70=$C530),
    0),
    MATCH($G530,'Putt Log'!$E$1:$V$1,0)
  ),
"")</f>
        <v>3</v>
      </c>
      <c r="P530" t="str" cm="1">
        <f t="array" ref="P530">IF(K530=3,"",
  IFERROR(
    INDEX('Fairway Log'!$E$2:$V$70,
      MATCH(1,
        ('Fairway Log'!$A$2:$A$70=$A530)*
        ('Fairway Log'!$B$2:$B$70=$B530)*
        ('Fairway Log'!$C$2:$C601=$C530),
      0),
      MATCH($G530,'Fairway Log'!$E$1:$V$1,0)
    ),
  "")
)</f>
        <v/>
      </c>
      <c r="Q530" cm="1">
        <f t="array" ref="Q530">IFERROR(
  INDEX('GIR Log'!$E$2:$V$70,
    MATCH(1,
      ('GIR Log'!$A$2:$A$70=$A530)*
      ('GIR Log'!$B$2:$B$70=$B530)*
      ('GIR Log'!$C$2:$C$70=$C530),
    0),
    MATCH($G530,'GIR Log'!$E$1:$V$1,0)
  ),
"")</f>
        <v>1</v>
      </c>
    </row>
    <row r="531" spans="1:17" x14ac:dyDescent="0.25">
      <c r="A531" s="20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Log'!$E$2:$V$70,
    MATCH(1,
      ('Golf Log'!$A$2:$A$70=$A531)*
      ('Golf Log'!$B$2:$B$70=$B531)*
      ('Golf Log'!$C$2:$C$70=$C531),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Log'!$E$2:$V$70,
    MATCH(1,
      ('Putt Log'!$A$2:$A$70=$A531)*
      ('Putt Log'!$B$2:$B$70=$B531)*
      ('Putt Log'!$C$2:$C$70=$C531),
    0),
    MATCH($G531,'Putt Log'!$E$1:$V$1,0)
  ),
"")</f>
        <v>2</v>
      </c>
      <c r="P531" t="str" cm="1">
        <f t="array" ref="P531">IF(K531=3,"",
  IFERROR(
    INDEX('Fairway Log'!$E$2:$V$70,
      MATCH(1,
        ('Fairway Log'!$A$2:$A$70=$A531)*
        ('Fairway Log'!$B$2:$B$70=$B531)*
        ('Fairway Log'!$C$2:$C602=$C531),
      0),
      MATCH($G531,'Fairway Log'!$E$1:$V$1,0)
    ),
  "")
)</f>
        <v>→</v>
      </c>
      <c r="Q531" cm="1">
        <f t="array" ref="Q531">IFERROR(
  INDEX('GIR Log'!$E$2:$V$70,
    MATCH(1,
      ('GIR Log'!$A$2:$A$70=$A531)*
      ('GIR Log'!$B$2:$B$70=$B531)*
      ('GIR Log'!$C$2:$C$70=$C531),
    0),
    MATCH($G531,'GIR Log'!$E$1:$V$1,0)
  ),
"")</f>
        <v>0</v>
      </c>
    </row>
    <row r="532" spans="1:17" x14ac:dyDescent="0.25">
      <c r="A532" s="20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Log'!$E$2:$V$70,
    MATCH(1,
      ('Golf Log'!$A$2:$A$70=$A532)*
      ('Golf Log'!$B$2:$B$70=$B532)*
      ('Golf Log'!$C$2:$C$70=$C532),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Log'!$E$2:$V$70,
    MATCH(1,
      ('Putt Log'!$A$2:$A$70=$A532)*
      ('Putt Log'!$B$2:$B$70=$B532)*
      ('Putt Log'!$C$2:$C$70=$C532),
    0),
    MATCH($G532,'Putt Log'!$E$1:$V$1,0)
  ),
"")</f>
        <v>2</v>
      </c>
      <c r="P532" t="str" cm="1">
        <f t="array" ref="P532">IF(K532=3,"",
  IFERROR(
    INDEX('Fairway Log'!$E$2:$V$70,
      MATCH(1,
        ('Fairway Log'!$A$2:$A$70=$A532)*
        ('Fairway Log'!$B$2:$B$70=$B532)*
        ('Fairway Log'!$C$2:$C603=$C532),
      0),
      MATCH($G532,'Fairway Log'!$E$1:$V$1,0)
    ),
  "")
)</f>
        <v>→</v>
      </c>
      <c r="Q532" cm="1">
        <f t="array" ref="Q532">IFERROR(
  INDEX('GIR Log'!$E$2:$V$70,
    MATCH(1,
      ('GIR Log'!$A$2:$A$70=$A532)*
      ('GIR Log'!$B$2:$B$70=$B532)*
      ('GIR Log'!$C$2:$C$70=$C532),
    0),
    MATCH($G532,'GIR Log'!$E$1:$V$1,0)
  ),
"")</f>
        <v>0</v>
      </c>
    </row>
    <row r="533" spans="1:17" x14ac:dyDescent="0.25">
      <c r="A533" s="20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Log'!$E$2:$V$70,
    MATCH(1,
      ('Golf Log'!$A$2:$A$70=$A533)*
      ('Golf Log'!$B$2:$B$70=$B533)*
      ('Golf Log'!$C$2:$C$70=$C533),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Log'!$E$2:$V$70,
    MATCH(1,
      ('Putt Log'!$A$2:$A$70=$A533)*
      ('Putt Log'!$B$2:$B$70=$B533)*
      ('Putt Log'!$C$2:$C$70=$C533),
    0),
    MATCH($G533,'Putt Log'!$E$1:$V$1,0)
  ),
"")</f>
        <v>2</v>
      </c>
      <c r="P533" t="str" cm="1">
        <f t="array" ref="P533">IF(K533=3,"",
  IFERROR(
    INDEX('Fairway Log'!$E$2:$V$70,
      MATCH(1,
        ('Fairway Log'!$A$2:$A$70=$A533)*
        ('Fairway Log'!$B$2:$B$70=$B533)*
        ('Fairway Log'!$C$2:$C604=$C533),
      0),
      MATCH($G533,'Fairway Log'!$E$1:$V$1,0)
    ),
  "")
)</f>
        <v>↑</v>
      </c>
      <c r="Q533" cm="1">
        <f t="array" ref="Q533">IFERROR(
  INDEX('GIR Log'!$E$2:$V$70,
    MATCH(1,
      ('GIR Log'!$A$2:$A$70=$A533)*
      ('GIR Log'!$B$2:$B$70=$B533)*
      ('GIR Log'!$C$2:$C$70=$C533),
    0),
    MATCH($G533,'GIR Log'!$E$1:$V$1,0)
  ),
"")</f>
        <v>0</v>
      </c>
    </row>
    <row r="534" spans="1:17" x14ac:dyDescent="0.25">
      <c r="A534" s="20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Log'!$E$2:$V$70,
    MATCH(1,
      ('Golf Log'!$A$2:$A$70=$A534)*
      ('Golf Log'!$B$2:$B$70=$B534)*
      ('Golf Log'!$C$2:$C$70=$C534),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Log'!$E$2:$V$70,
    MATCH(1,
      ('Putt Log'!$A$2:$A$70=$A534)*
      ('Putt Log'!$B$2:$B$70=$B534)*
      ('Putt Log'!$C$2:$C$70=$C534),
    0),
    MATCH($G534,'Putt Log'!$E$1:$V$1,0)
  ),
"")</f>
        <v>1</v>
      </c>
      <c r="P534" t="str" cm="1">
        <f t="array" ref="P534">IF(K534=3,"",
  IFERROR(
    INDEX('Fairway Log'!$E$2:$V$70,
      MATCH(1,
        ('Fairway Log'!$A$2:$A$70=$A534)*
        ('Fairway Log'!$B$2:$B$70=$B534)*
        ('Fairway Log'!$C$2:$C605=$C534),
      0),
      MATCH($G534,'Fairway Log'!$E$1:$V$1,0)
    ),
  "")
)</f>
        <v/>
      </c>
      <c r="Q534" cm="1">
        <f t="array" ref="Q534">IFERROR(
  INDEX('GIR Log'!$E$2:$V$70,
    MATCH(1,
      ('GIR Log'!$A$2:$A$70=$A534)*
      ('GIR Log'!$B$2:$B$70=$B534)*
      ('GIR Log'!$C$2:$C$70=$C534),
    0),
    MATCH($G534,'GIR Log'!$E$1:$V$1,0)
  ),
"")</f>
        <v>0</v>
      </c>
    </row>
    <row r="535" spans="1:17" x14ac:dyDescent="0.25">
      <c r="A535" s="20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Log'!$E$2:$V$70,
    MATCH(1,
      ('Golf Log'!$A$2:$A$70=$A535)*
      ('Golf Log'!$B$2:$B$70=$B535)*
      ('Golf Log'!$C$2:$C$70=$C535),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Log'!$E$2:$V$70,
    MATCH(1,
      ('Putt Log'!$A$2:$A$70=$A535)*
      ('Putt Log'!$B$2:$B$70=$B535)*
      ('Putt Log'!$C$2:$C$70=$C535),
    0),
    MATCH($G535,'Putt Log'!$E$1:$V$1,0)
  ),
"")</f>
        <v>2</v>
      </c>
      <c r="P535" cm="1">
        <f t="array" ref="P535">IF(K535=3,"",
  IFERROR(
    INDEX('Fairway Log'!$E$2:$V$70,
      MATCH(1,
        ('Fairway Log'!$A$2:$A$70=$A535)*
        ('Fairway Log'!$B$2:$B$70=$B535)*
        ('Fairway Log'!$C$2:$C606=$C535),
      0),
      MATCH($G535,'Fairway Log'!$E$1:$V$1,0)
    ),
  "")
)</f>
        <v>1</v>
      </c>
      <c r="Q535" cm="1">
        <f t="array" ref="Q535">IFERROR(
  INDEX('GIR Log'!$E$2:$V$70,
    MATCH(1,
      ('GIR Log'!$A$2:$A$70=$A535)*
      ('GIR Log'!$B$2:$B$70=$B535)*
      ('GIR Log'!$C$2:$C$70=$C535),
    0),
    MATCH($G535,'GIR Log'!$E$1:$V$1,0)
  ),
"")</f>
        <v>0</v>
      </c>
    </row>
    <row r="536" spans="1:17" x14ac:dyDescent="0.25">
      <c r="A536" s="20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Log'!$E$2:$V$70,
    MATCH(1,
      ('Golf Log'!$A$2:$A$70=$A536)*
      ('Golf Log'!$B$2:$B$70=$B536)*
      ('Golf Log'!$C$2:$C$70=$C536),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Log'!$E$2:$V$70,
    MATCH(1,
      ('Putt Log'!$A$2:$A$70=$A536)*
      ('Putt Log'!$B$2:$B$70=$B536)*
      ('Putt Log'!$C$2:$C$70=$C536),
    0),
    MATCH($G536,'Putt Log'!$E$1:$V$1,0)
  ),
"")</f>
        <v>3</v>
      </c>
      <c r="P536" cm="1">
        <f t="array" ref="P536">IF(K536=3,"",
  IFERROR(
    INDEX('Fairway Log'!$E$2:$V$70,
      MATCH(1,
        ('Fairway Log'!$A$2:$A$70=$A536)*
        ('Fairway Log'!$B$2:$B$70=$B536)*
        ('Fairway Log'!$C$2:$C607=$C536),
      0),
      MATCH($G536,'Fairway Log'!$E$1:$V$1,0)
    ),
  "")
)</f>
        <v>1</v>
      </c>
      <c r="Q536" cm="1">
        <f t="array" ref="Q536">IFERROR(
  INDEX('GIR Log'!$E$2:$V$70,
    MATCH(1,
      ('GIR Log'!$A$2:$A$70=$A536)*
      ('GIR Log'!$B$2:$B$70=$B536)*
      ('GIR Log'!$C$2:$C$70=$C536),
    0),
    MATCH($G536,'GIR Log'!$E$1:$V$1,0)
  ),
"")</f>
        <v>0</v>
      </c>
    </row>
    <row r="537" spans="1:17" x14ac:dyDescent="0.25">
      <c r="A537" s="20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Log'!$E$2:$V$70,
    MATCH(1,
      ('Golf Log'!$A$2:$A$70=$A537)*
      ('Golf Log'!$B$2:$B$70=$B537)*
      ('Golf Log'!$C$2:$C$70=$C537),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Log'!$E$2:$V$70,
    MATCH(1,
      ('Putt Log'!$A$2:$A$70=$A537)*
      ('Putt Log'!$B$2:$B$70=$B537)*
      ('Putt Log'!$C$2:$C$70=$C537),
    0),
    MATCH($G537,'Putt Log'!$E$1:$V$1,0)
  ),
"")</f>
        <v>1</v>
      </c>
      <c r="P537" t="str" cm="1">
        <f t="array" ref="P537">IF(K537=3,"",
  IFERROR(
    INDEX('Fairway Log'!$E$2:$V$70,
      MATCH(1,
        ('Fairway Log'!$A$2:$A$70=$A537)*
        ('Fairway Log'!$B$2:$B$70=$B537)*
        ('Fairway Log'!$C$2:$C608=$C537),
      0),
      MATCH($G537,'Fairway Log'!$E$1:$V$1,0)
    ),
  "")
)</f>
        <v/>
      </c>
      <c r="Q537" cm="1">
        <f t="array" ref="Q537">IFERROR(
  INDEX('GIR Log'!$E$2:$V$70,
    MATCH(1,
      ('GIR Log'!$A$2:$A$70=$A537)*
      ('GIR Log'!$B$2:$B$70=$B537)*
      ('GIR Log'!$C$2:$C$70=$C537),
    0),
    MATCH($G537,'GIR Log'!$E$1:$V$1,0)
  ),
"")</f>
        <v>0</v>
      </c>
    </row>
    <row r="538" spans="1:17" x14ac:dyDescent="0.25">
      <c r="A538" s="20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Log'!$E$2:$V$70,
    MATCH(1,
      ('Golf Log'!$A$2:$A$70=$A538)*
      ('Golf Log'!$B$2:$B$70=$B538)*
      ('Golf Log'!$C$2:$C$70=$C538),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Log'!$E$2:$V$70,
    MATCH(1,
      ('Putt Log'!$A$2:$A$70=$A538)*
      ('Putt Log'!$B$2:$B$70=$B538)*
      ('Putt Log'!$C$2:$C$70=$C538),
    0),
    MATCH($G538,'Putt Log'!$E$1:$V$1,0)
  ),
"")</f>
        <v>1</v>
      </c>
      <c r="P538" cm="1">
        <f t="array" ref="P538">IF(K538=3,"",
  IFERROR(
    INDEX('Fairway Log'!$E$2:$V$70,
      MATCH(1,
        ('Fairway Log'!$A$2:$A$70=$A538)*
        ('Fairway Log'!$B$2:$B$70=$B538)*
        ('Fairway Log'!$C$2:$C609=$C538),
      0),
      MATCH($G538,'Fairway Log'!$E$1:$V$1,0)
    ),
  "")
)</f>
        <v>1</v>
      </c>
      <c r="Q538" cm="1">
        <f t="array" ref="Q538">IFERROR(
  INDEX('GIR Log'!$E$2:$V$70,
    MATCH(1,
      ('GIR Log'!$A$2:$A$70=$A538)*
      ('GIR Log'!$B$2:$B$70=$B538)*
      ('GIR Log'!$C$2:$C$70=$C538),
    0),
    MATCH($G538,'GIR Log'!$E$1:$V$1,0)
  ),
"")</f>
        <v>0</v>
      </c>
    </row>
    <row r="539" spans="1:17" x14ac:dyDescent="0.25">
      <c r="A539" s="20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Log'!$E$2:$V$70,
    MATCH(1,
      ('Golf Log'!$A$2:$A$70=$A539)*
      ('Golf Log'!$B$2:$B$70=$B539)*
      ('Golf Log'!$C$2:$C$70=$C539),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Log'!$E$2:$V$70,
    MATCH(1,
      ('Putt Log'!$A$2:$A$70=$A539)*
      ('Putt Log'!$B$2:$B$70=$B539)*
      ('Putt Log'!$C$2:$C$70=$C539),
    0),
    MATCH($G539,'Putt Log'!$E$1:$V$1,0)
  ),
"")</f>
        <v>2</v>
      </c>
      <c r="P539" cm="1">
        <f t="array" ref="P539">IF(K539=3,"",
  IFERROR(
    INDEX('Fairway Log'!$E$2:$V$70,
      MATCH(1,
        ('Fairway Log'!$A$2:$A$70=$A539)*
        ('Fairway Log'!$B$2:$B$70=$B539)*
        ('Fairway Log'!$C$2:$C610=$C539),
      0),
      MATCH($G539,'Fairway Log'!$E$1:$V$1,0)
    ),
  "")
)</f>
        <v>0</v>
      </c>
      <c r="Q539" cm="1">
        <f t="array" ref="Q539">IFERROR(
  INDEX('GIR Log'!$E$2:$V$70,
    MATCH(1,
      ('GIR Log'!$A$2:$A$70=$A539)*
      ('GIR Log'!$B$2:$B$70=$B539)*
      ('GIR Log'!$C$2:$C$70=$C539),
    0),
    MATCH($G539,'GIR Log'!$E$1:$V$1,0)
  ),
"")</f>
        <v>0</v>
      </c>
    </row>
    <row r="540" spans="1:17" x14ac:dyDescent="0.25">
      <c r="A540" s="20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Log'!$E$2:$V$70,
    MATCH(1,
      ('Golf Log'!$A$2:$A$70=$A540)*
      ('Golf Log'!$B$2:$B$70=$B540)*
      ('Golf Log'!$C$2:$C$70=$C540),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Log'!$E$2:$V$70,
    MATCH(1,
      ('Putt Log'!$A$2:$A$70=$A540)*
      ('Putt Log'!$B$2:$B$70=$B540)*
      ('Putt Log'!$C$2:$C$70=$C540),
    0),
    MATCH($G540,'Putt Log'!$E$1:$V$1,0)
  ),
"")</f>
        <v>2</v>
      </c>
      <c r="P540" cm="1">
        <f t="array" ref="P540">IF(K540=3,"",
  IFERROR(
    INDEX('Fairway Log'!$E$2:$V$70,
      MATCH(1,
        ('Fairway Log'!$A$2:$A$70=$A540)*
        ('Fairway Log'!$B$2:$B$70=$B540)*
        ('Fairway Log'!$C$2:$C611=$C540),
      0),
      MATCH($G540,'Fairway Log'!$E$1:$V$1,0)
    ),
  "")
)</f>
        <v>0</v>
      </c>
      <c r="Q540" cm="1">
        <f t="array" ref="Q540">IFERROR(
  INDEX('GIR Log'!$E$2:$V$70,
    MATCH(1,
      ('GIR Log'!$A$2:$A$70=$A540)*
      ('GIR Log'!$B$2:$B$70=$B540)*
      ('GIR Log'!$C$2:$C$70=$C540),
    0),
    MATCH($G540,'GIR Log'!$E$1:$V$1,0)
  ),
"")</f>
        <v>0</v>
      </c>
    </row>
    <row r="541" spans="1:17" x14ac:dyDescent="0.25">
      <c r="A541" s="20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Log'!$E$2:$V$70,
    MATCH(1,
      ('Golf Log'!$A$2:$A$70=$A541)*
      ('Golf Log'!$B$2:$B$70=$B541)*
      ('Golf Log'!$C$2:$C$70=$C541),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Log'!$E$2:$V$70,
    MATCH(1,
      ('Putt Log'!$A$2:$A$70=$A541)*
      ('Putt Log'!$B$2:$B$70=$B541)*
      ('Putt Log'!$C$2:$C$70=$C541),
    0),
    MATCH($G541,'Putt Log'!$E$1:$V$1,0)
  ),
"")</f>
        <v>2</v>
      </c>
      <c r="P541" cm="1">
        <f t="array" ref="P541">IF(K541=3,"",
  IFERROR(
    INDEX('Fairway Log'!$E$2:$V$70,
      MATCH(1,
        ('Fairway Log'!$A$2:$A$70=$A541)*
        ('Fairway Log'!$B$2:$B$70=$B541)*
        ('Fairway Log'!$C$2:$C612=$C541),
      0),
      MATCH($G541,'Fairway Log'!$E$1:$V$1,0)
    ),
  "")
)</f>
        <v>0</v>
      </c>
      <c r="Q541" cm="1">
        <f t="array" ref="Q541">IFERROR(
  INDEX('GIR Log'!$E$2:$V$70,
    MATCH(1,
      ('GIR Log'!$A$2:$A$70=$A541)*
      ('GIR Log'!$B$2:$B$70=$B541)*
      ('GIR Log'!$C$2:$C$70=$C541),
    0),
    MATCH($G541,'GIR Log'!$E$1:$V$1,0)
  ),
"")</f>
        <v>0</v>
      </c>
    </row>
    <row r="542" spans="1:17" x14ac:dyDescent="0.25">
      <c r="A542" s="20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Log'!$E$2:$V$70,
    MATCH(1,
      ('Golf Log'!$A$2:$A$70=$A542)*
      ('Golf Log'!$B$2:$B$70=$B542)*
      ('Golf Log'!$C$2:$C$70=$C542),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Log'!$E$2:$V$70,
    MATCH(1,
      ('Putt Log'!$A$2:$A$70=$A542)*
      ('Putt Log'!$B$2:$B$70=$B542)*
      ('Putt Log'!$C$2:$C$70=$C542),
    0),
    MATCH($G542,'Putt Log'!$E$1:$V$1,0)
  ),
"")</f>
        <v>2</v>
      </c>
      <c r="P542" t="str" cm="1">
        <f t="array" ref="P542">IF(K542=3,"",
  IFERROR(
    INDEX('Fairway Log'!$E$2:$V$70,
      MATCH(1,
        ('Fairway Log'!$A$2:$A$70=$A542)*
        ('Fairway Log'!$B$2:$B$70=$B542)*
        ('Fairway Log'!$C$2:$C613=$C542),
      0),
      MATCH($G542,'Fairway Log'!$E$1:$V$1,0)
    ),
  "")
)</f>
        <v>↓</v>
      </c>
      <c r="Q542" cm="1">
        <f t="array" ref="Q542">IFERROR(
  INDEX('GIR Log'!$E$2:$V$70,
    MATCH(1,
      ('GIR Log'!$A$2:$A$70=$A542)*
      ('GIR Log'!$B$2:$B$70=$B542)*
      ('GIR Log'!$C$2:$C$70=$C542),
    0),
    MATCH($G542,'GIR Log'!$E$1:$V$1,0)
  ),
"")</f>
        <v>0</v>
      </c>
    </row>
    <row r="543" spans="1:17" x14ac:dyDescent="0.25">
      <c r="A543" s="20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Log'!$E$2:$V$70,
    MATCH(1,
      ('Golf Log'!$A$2:$A$70=$A543)*
      ('Golf Log'!$B$2:$B$70=$B543)*
      ('Golf Log'!$C$2:$C$70=$C543),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Log'!$E$2:$V$70,
    MATCH(1,
      ('Putt Log'!$A$2:$A$70=$A543)*
      ('Putt Log'!$B$2:$B$70=$B543)*
      ('Putt Log'!$C$2:$C$70=$C543),
    0),
    MATCH($G543,'Putt Log'!$E$1:$V$1,0)
  ),
"")</f>
        <v>1</v>
      </c>
      <c r="P543" t="str" cm="1">
        <f t="array" ref="P543">IF(K543=3,"",
  IFERROR(
    INDEX('Fairway Log'!$E$2:$V$70,
      MATCH(1,
        ('Fairway Log'!$A$2:$A$70=$A543)*
        ('Fairway Log'!$B$2:$B$70=$B543)*
        ('Fairway Log'!$C$2:$C614=$C543),
      0),
      MATCH($G543,'Fairway Log'!$E$1:$V$1,0)
    ),
  "")
)</f>
        <v>→</v>
      </c>
      <c r="Q543" cm="1">
        <f t="array" ref="Q543">IFERROR(
  INDEX('GIR Log'!$E$2:$V$70,
    MATCH(1,
      ('GIR Log'!$A$2:$A$70=$A543)*
      ('GIR Log'!$B$2:$B$70=$B543)*
      ('GIR Log'!$C$2:$C$70=$C543),
    0),
    MATCH($G543,'GIR Log'!$E$1:$V$1,0)
  ),
"")</f>
        <v>0</v>
      </c>
    </row>
    <row r="544" spans="1:17" x14ac:dyDescent="0.25">
      <c r="A544" s="20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Log'!$E$2:$V$70,
    MATCH(1,
      ('Golf Log'!$A$2:$A$70=$A544)*
      ('Golf Log'!$B$2:$B$70=$B544)*
      ('Golf Log'!$C$2:$C$70=$C544),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Log'!$E$2:$V$70,
    MATCH(1,
      ('Putt Log'!$A$2:$A$70=$A544)*
      ('Putt Log'!$B$2:$B$70=$B544)*
      ('Putt Log'!$C$2:$C$70=$C544),
    0),
    MATCH($G544,'Putt Log'!$E$1:$V$1,0)
  ),
"")</f>
        <v>2</v>
      </c>
      <c r="P544" t="str" cm="1">
        <f t="array" ref="P544">IF(K544=3,"",
  IFERROR(
    INDEX('Fairway Log'!$E$2:$V$70,
      MATCH(1,
        ('Fairway Log'!$A$2:$A$70=$A544)*
        ('Fairway Log'!$B$2:$B$70=$B544)*
        ('Fairway Log'!$C$2:$C615=$C544),
      0),
      MATCH($G544,'Fairway Log'!$E$1:$V$1,0)
    ),
  "")
)</f>
        <v/>
      </c>
      <c r="Q544" cm="1">
        <f t="array" ref="Q544">IFERROR(
  INDEX('GIR Log'!$E$2:$V$70,
    MATCH(1,
      ('GIR Log'!$A$2:$A$70=$A544)*
      ('GIR Log'!$B$2:$B$70=$B544)*
      ('GIR Log'!$C$2:$C$70=$C544),
    0),
    MATCH($G544,'GIR Log'!$E$1:$V$1,0)
  ),
"")</f>
        <v>1</v>
      </c>
    </row>
    <row r="545" spans="1:17" x14ac:dyDescent="0.25">
      <c r="A545" s="20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Log'!$E$2:$V$70,
    MATCH(1,
      ('Golf Log'!$A$2:$A$70=$A545)*
      ('Golf Log'!$B$2:$B$70=$B545)*
      ('Golf Log'!$C$2:$C$70=$C545),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Log'!$E$2:$V$70,
    MATCH(1,
      ('Putt Log'!$A$2:$A$70=$A545)*
      ('Putt Log'!$B$2:$B$70=$B545)*
      ('Putt Log'!$C$2:$C$70=$C545),
    0),
    MATCH($G545,'Putt Log'!$E$1:$V$1,0)
  ),
"")</f>
        <v>2</v>
      </c>
      <c r="P545" cm="1">
        <f t="array" ref="P545">IF(K545=3,"",
  IFERROR(
    INDEX('Fairway Log'!$E$2:$V$70,
      MATCH(1,
        ('Fairway Log'!$A$2:$A$70=$A545)*
        ('Fairway Log'!$B$2:$B$70=$B545)*
        ('Fairway Log'!$C$2:$C616=$C545),
      0),
      MATCH($G545,'Fairway Log'!$E$1:$V$1,0)
    ),
  "")
)</f>
        <v>1</v>
      </c>
      <c r="Q545" cm="1">
        <f t="array" ref="Q545">IFERROR(
  INDEX('GIR Log'!$E$2:$V$70,
    MATCH(1,
      ('GIR Log'!$A$2:$A$70=$A545)*
      ('GIR Log'!$B$2:$B$70=$B545)*
      ('GIR Log'!$C$2:$C$70=$C545),
    0),
    MATCH($G545,'GIR Log'!$E$1:$V$1,0)
  ),
"")</f>
        <v>0</v>
      </c>
    </row>
    <row r="546" spans="1:17" x14ac:dyDescent="0.25">
      <c r="A546" s="20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Log'!$E$2:$V$70,
    MATCH(1,
      ('Golf Log'!$A$2:$A$70=$A546)*
      ('Golf Log'!$B$2:$B$70=$B546)*
      ('Golf Log'!$C$2:$C$70=$C546),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Log'!$E$2:$V$70,
    MATCH(1,
      ('Putt Log'!$A$2:$A$70=$A546)*
      ('Putt Log'!$B$2:$B$70=$B546)*
      ('Putt Log'!$C$2:$C$70=$C546),
    0),
    MATCH($G546,'Putt Log'!$E$1:$V$1,0)
  ),
"")</f>
        <v>2</v>
      </c>
      <c r="P546" cm="1">
        <f t="array" ref="P546">IF(K546=3,"",
  IFERROR(
    INDEX('Fairway Log'!$E$2:$V$70,
      MATCH(1,
        ('Fairway Log'!$A$2:$A$70=$A546)*
        ('Fairway Log'!$B$2:$B$70=$B546)*
        ('Fairway Log'!$C$2:$C617=$C546),
      0),
      MATCH($G546,'Fairway Log'!$E$1:$V$1,0)
    ),
  "")
)</f>
        <v>1</v>
      </c>
      <c r="Q546" cm="1">
        <f t="array" ref="Q546">IFERROR(
  INDEX('GIR Log'!$E$2:$V$70,
    MATCH(1,
      ('GIR Log'!$A$2:$A$70=$A546)*
      ('GIR Log'!$B$2:$B$70=$B546)*
      ('GIR Log'!$C$2:$C$70=$C546),
    0),
    MATCH($G546,'GIR Log'!$E$1:$V$1,0)
  ),
"")</f>
        <v>0</v>
      </c>
    </row>
    <row r="547" spans="1:17" x14ac:dyDescent="0.25">
      <c r="A547" s="20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Log'!$E$2:$V$70,
    MATCH(1,
      ('Golf Log'!$A$2:$A$70=$A547)*
      ('Golf Log'!$B$2:$B$70=$B547)*
      ('Golf Log'!$C$2:$C$70=$C547),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Log'!$E$2:$V$70,
    MATCH(1,
      ('Putt Log'!$A$2:$A$70=$A547)*
      ('Putt Log'!$B$2:$B$70=$B547)*
      ('Putt Log'!$C$2:$C$70=$C547),
    0),
    MATCH($G547,'Putt Log'!$E$1:$V$1,0)
  ),
"")</f>
        <v>2</v>
      </c>
      <c r="P547" t="str" cm="1">
        <f t="array" ref="P547">IF(K547=3,"",
  IFERROR(
    INDEX('Fairway Log'!$E$2:$V$70,
      MATCH(1,
        ('Fairway Log'!$A$2:$A$70=$A547)*
        ('Fairway Log'!$B$2:$B$70=$B547)*
        ('Fairway Log'!$C$2:$C618=$C547),
      0),
      MATCH($G547,'Fairway Log'!$E$1:$V$1,0)
    ),
  "")
)</f>
        <v/>
      </c>
      <c r="Q547" cm="1">
        <f t="array" ref="Q547">IFERROR(
  INDEX('GIR Log'!$E$2:$V$70,
    MATCH(1,
      ('GIR Log'!$A$2:$A$70=$A547)*
      ('GIR Log'!$B$2:$B$70=$B547)*
      ('GIR Log'!$C$2:$C$70=$C547),
    0),
    MATCH($G547,'GIR Log'!$E$1:$V$1,0)
  ),
"")</f>
        <v>0</v>
      </c>
    </row>
    <row r="548" spans="1:17" x14ac:dyDescent="0.25">
      <c r="A548" s="20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Log'!$E$2:$V$70,
    MATCH(1,
      ('Golf Log'!$A$2:$A$70=$A548)*
      ('Golf Log'!$B$2:$B$70=$B548)*
      ('Golf Log'!$C$2:$C$70=$C548),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Log'!$E$2:$V$70,
    MATCH(1,
      ('Putt Log'!$A$2:$A$70=$A548)*
      ('Putt Log'!$B$2:$B$70=$B548)*
      ('Putt Log'!$C$2:$C$70=$C548),
    0),
    MATCH($G548,'Putt Log'!$E$1:$V$1,0)
  ),
"")</f>
        <v>3</v>
      </c>
      <c r="P548" cm="1">
        <f t="array" ref="P548">IF(K548=3,"",
  IFERROR(
    INDEX('Fairway Log'!$E$2:$V$70,
      MATCH(1,
        ('Fairway Log'!$A$2:$A$70=$A548)*
        ('Fairway Log'!$B$2:$B$70=$B548)*
        ('Fairway Log'!$C$2:$C619=$C548),
      0),
      MATCH($G548,'Fairway Log'!$E$1:$V$1,0)
    ),
  "")
)</f>
        <v>1</v>
      </c>
      <c r="Q548" cm="1">
        <f t="array" ref="Q548">IFERROR(
  INDEX('GIR Log'!$E$2:$V$70,
    MATCH(1,
      ('GIR Log'!$A$2:$A$70=$A548)*
      ('GIR Log'!$B$2:$B$70=$B548)*
      ('GIR Log'!$C$2:$C$70=$C548),
    0),
    MATCH($G548,'GIR Log'!$E$1:$V$1,0)
  ),
"")</f>
        <v>0</v>
      </c>
    </row>
    <row r="549" spans="1:17" x14ac:dyDescent="0.25">
      <c r="A549" s="20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Log'!$E$2:$V$70,
    MATCH(1,
      ('Golf Log'!$A$2:$A$70=$A549)*
      ('Golf Log'!$B$2:$B$70=$B549)*
      ('Golf Log'!$C$2:$C$70=$C549),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Log'!$E$2:$V$70,
    MATCH(1,
      ('Putt Log'!$A$2:$A$70=$A549)*
      ('Putt Log'!$B$2:$B$70=$B549)*
      ('Putt Log'!$C$2:$C$70=$C549),
    0),
    MATCH($G549,'Putt Log'!$E$1:$V$1,0)
  ),
"")</f>
        <v>2</v>
      </c>
      <c r="P549" t="str" cm="1">
        <f t="array" ref="P549">IF(K549=3,"",
  IFERROR(
    INDEX('Fairway Log'!$E$2:$V$70,
      MATCH(1,
        ('Fairway Log'!$A$2:$A$70=$A549)*
        ('Fairway Log'!$B$2:$B$70=$B549)*
        ('Fairway Log'!$C$2:$C620=$C549),
      0),
      MATCH($G549,'Fairway Log'!$E$1:$V$1,0)
    ),
  "")
)</f>
        <v>↑</v>
      </c>
      <c r="Q549" cm="1">
        <f t="array" ref="Q549">IFERROR(
  INDEX('GIR Log'!$E$2:$V$70,
    MATCH(1,
      ('GIR Log'!$A$2:$A$70=$A549)*
      ('GIR Log'!$B$2:$B$70=$B549)*
      ('GIR Log'!$C$2:$C$70=$C549),
    0),
    MATCH($G549,'GIR Log'!$E$1:$V$1,0)
  ),
"")</f>
        <v>0</v>
      </c>
    </row>
    <row r="550" spans="1:17" x14ac:dyDescent="0.25">
      <c r="A550" s="20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Log'!$E$2:$V$70,
    MATCH(1,
      ('Golf Log'!$A$2:$A$70=$A550)*
      ('Golf Log'!$B$2:$B$70=$B550)*
      ('Golf Log'!$C$2:$C$70=$C550),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Log'!$E$2:$V$70,
    MATCH(1,
      ('Putt Log'!$A$2:$A$70=$A550)*
      ('Putt Log'!$B$2:$B$70=$B550)*
      ('Putt Log'!$C$2:$C$70=$C550),
    0),
    MATCH($G550,'Putt Log'!$E$1:$V$1,0)
  ),
"")</f>
        <v>3</v>
      </c>
      <c r="P550" t="str" cm="1">
        <f t="array" ref="P550">IF(K550=3,"",
  IFERROR(
    INDEX('Fairway Log'!$E$2:$V$70,
      MATCH(1,
        ('Fairway Log'!$A$2:$A$70=$A550)*
        ('Fairway Log'!$B$2:$B$70=$B550)*
        ('Fairway Log'!$C$2:$C621=$C550),
      0),
      MATCH($G550,'Fairway Log'!$E$1:$V$1,0)
    ),
  "")
)</f>
        <v>→</v>
      </c>
      <c r="Q550" cm="1">
        <f t="array" ref="Q550">IFERROR(
  INDEX('GIR Log'!$E$2:$V$70,
    MATCH(1,
      ('GIR Log'!$A$2:$A$70=$A550)*
      ('GIR Log'!$B$2:$B$70=$B550)*
      ('GIR Log'!$C$2:$C$70=$C550),
    0),
    MATCH($G550,'GIR Log'!$E$1:$V$1,0)
  ),
"")</f>
        <v>0</v>
      </c>
    </row>
    <row r="551" spans="1:17" x14ac:dyDescent="0.25">
      <c r="A551" s="20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Log'!$E$2:$V$70,
    MATCH(1,
      ('Golf Log'!$A$2:$A$70=$A551)*
      ('Golf Log'!$B$2:$B$70=$B551)*
      ('Golf Log'!$C$2:$C$70=$C551),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Log'!$E$2:$V$70,
    MATCH(1,
      ('Putt Log'!$A$2:$A$70=$A551)*
      ('Putt Log'!$B$2:$B$70=$B551)*
      ('Putt Log'!$C$2:$C$70=$C551),
    0),
    MATCH($G551,'Putt Log'!$E$1:$V$1,0)
  ),
"")</f>
        <v>2</v>
      </c>
      <c r="P551" cm="1">
        <f t="array" ref="P551">IF(K551=3,"",
  IFERROR(
    INDEX('Fairway Log'!$E$2:$V$70,
      MATCH(1,
        ('Fairway Log'!$A$2:$A$70=$A551)*
        ('Fairway Log'!$B$2:$B$70=$B551)*
        ('Fairway Log'!$C$2:$C622=$C551),
      0),
      MATCH($G551,'Fairway Log'!$E$1:$V$1,0)
    ),
  "")
)</f>
        <v>1</v>
      </c>
      <c r="Q551" cm="1">
        <f t="array" ref="Q551">IFERROR(
  INDEX('GIR Log'!$E$2:$V$70,
    MATCH(1,
      ('GIR Log'!$A$2:$A$70=$A551)*
      ('GIR Log'!$B$2:$B$70=$B551)*
      ('GIR Log'!$C$2:$C$70=$C551),
    0),
    MATCH($G551,'GIR Log'!$E$1:$V$1,0)
  ),
"")</f>
        <v>1</v>
      </c>
    </row>
    <row r="552" spans="1:17" x14ac:dyDescent="0.25">
      <c r="A552" s="20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Log'!$E$2:$V$70,
    MATCH(1,
      ('Golf Log'!$A$2:$A$70=$A552)*
      ('Golf Log'!$B$2:$B$70=$B552)*
      ('Golf Log'!$C$2:$C$70=$C552),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Log'!$E$2:$V$70,
    MATCH(1,
      ('Putt Log'!$A$2:$A$70=$A552)*
      ('Putt Log'!$B$2:$B$70=$B552)*
      ('Putt Log'!$C$2:$C$70=$C552),
    0),
    MATCH($G552,'Putt Log'!$E$1:$V$1,0)
  ),
"")</f>
        <v>3</v>
      </c>
      <c r="P552" t="str" cm="1">
        <f t="array" ref="P552">IF(K552=3,"",
  IFERROR(
    INDEX('Fairway Log'!$E$2:$V$70,
      MATCH(1,
        ('Fairway Log'!$A$2:$A$70=$A552)*
        ('Fairway Log'!$B$2:$B$70=$B552)*
        ('Fairway Log'!$C$2:$C623=$C552),
      0),
      MATCH($G552,'Fairway Log'!$E$1:$V$1,0)
    ),
  "")
)</f>
        <v/>
      </c>
      <c r="Q552" cm="1">
        <f t="array" ref="Q552">IFERROR(
  INDEX('GIR Log'!$E$2:$V$70,
    MATCH(1,
      ('GIR Log'!$A$2:$A$70=$A552)*
      ('GIR Log'!$B$2:$B$70=$B552)*
      ('GIR Log'!$C$2:$C$70=$C552),
    0),
    MATCH($G552,'GIR Log'!$E$1:$V$1,0)
  ),
"")</f>
        <v>1</v>
      </c>
    </row>
    <row r="553" spans="1:17" x14ac:dyDescent="0.25">
      <c r="A553" s="20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Log'!$E$2:$V$70,
    MATCH(1,
      ('Golf Log'!$A$2:$A$70=$A553)*
      ('Golf Log'!$B$2:$B$70=$B553)*
      ('Golf Log'!$C$2:$C$70=$C553),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Log'!$E$2:$V$70,
    MATCH(1,
      ('Putt Log'!$A$2:$A$70=$A553)*
      ('Putt Log'!$B$2:$B$70=$B553)*
      ('Putt Log'!$C$2:$C$70=$C553),
    0),
    MATCH($G553,'Putt Log'!$E$1:$V$1,0)
  ),
"")</f>
        <v>2</v>
      </c>
      <c r="P553" t="str" cm="1">
        <f t="array" ref="P553">IF(K553=3,"",
  IFERROR(
    INDEX('Fairway Log'!$E$2:$V$70,
      MATCH(1,
        ('Fairway Log'!$A$2:$A$70=$A553)*
        ('Fairway Log'!$B$2:$B$70=$B553)*
        ('Fairway Log'!$C$2:$C624=$C553),
      0),
      MATCH($G553,'Fairway Log'!$E$1:$V$1,0)
    ),
  "")
)</f>
        <v>↑</v>
      </c>
      <c r="Q553" cm="1">
        <f t="array" ref="Q553">IFERROR(
  INDEX('GIR Log'!$E$2:$V$70,
    MATCH(1,
      ('GIR Log'!$A$2:$A$70=$A553)*
      ('GIR Log'!$B$2:$B$70=$B553)*
      ('GIR Log'!$C$2:$C$70=$C553),
    0),
    MATCH($G553,'GIR Log'!$E$1:$V$1,0)
  ),
"")</f>
        <v>1</v>
      </c>
    </row>
    <row r="554" spans="1:17" x14ac:dyDescent="0.25">
      <c r="A554" s="20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Log'!$E$2:$V$70,
    MATCH(1,
      ('Golf Log'!$A$2:$A$70=$A554)*
      ('Golf Log'!$B$2:$B$70=$B554)*
      ('Golf Log'!$C$2:$C$70=$C554),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Log'!$E$2:$V$70,
    MATCH(1,
      ('Putt Log'!$A$2:$A$70=$A554)*
      ('Putt Log'!$B$2:$B$70=$B554)*
      ('Putt Log'!$C$2:$C$70=$C554),
    0),
    MATCH($G554,'Putt Log'!$E$1:$V$1,0)
  ),
"")</f>
        <v>2</v>
      </c>
      <c r="P554" t="str" cm="1">
        <f t="array" ref="P554">IF(K554=3,"",
  IFERROR(
    INDEX('Fairway Log'!$E$2:$V$70,
      MATCH(1,
        ('Fairway Log'!$A$2:$A$70=$A554)*
        ('Fairway Log'!$B$2:$B$70=$B554)*
        ('Fairway Log'!$C$2:$C625=$C554),
      0),
      MATCH($G554,'Fairway Log'!$E$1:$V$1,0)
    ),
  "")
)</f>
        <v>→</v>
      </c>
      <c r="Q554" cm="1">
        <f t="array" ref="Q554">IFERROR(
  INDEX('GIR Log'!$E$2:$V$70,
    MATCH(1,
      ('GIR Log'!$A$2:$A$70=$A554)*
      ('GIR Log'!$B$2:$B$70=$B554)*
      ('GIR Log'!$C$2:$C$70=$C554),
    0),
    MATCH($G554,'GIR Log'!$E$1:$V$1,0)
  ),
"")</f>
        <v>0</v>
      </c>
    </row>
    <row r="555" spans="1:17" x14ac:dyDescent="0.25">
      <c r="A555" s="20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Log'!$E$2:$V$70,
    MATCH(1,
      ('Golf Log'!$A$2:$A$70=$A555)*
      ('Golf Log'!$B$2:$B$70=$B555)*
      ('Golf Log'!$C$2:$C$70=$C555),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Log'!$E$2:$V$70,
    MATCH(1,
      ('Putt Log'!$A$2:$A$70=$A555)*
      ('Putt Log'!$B$2:$B$70=$B555)*
      ('Putt Log'!$C$2:$C$70=$C555),
    0),
    MATCH($G555,'Putt Log'!$E$1:$V$1,0)
  ),
"")</f>
        <v>2</v>
      </c>
      <c r="P555" cm="1">
        <f t="array" ref="P555">IF(K555=3,"",
  IFERROR(
    INDEX('Fairway Log'!$E$2:$V$70,
      MATCH(1,
        ('Fairway Log'!$A$2:$A$70=$A555)*
        ('Fairway Log'!$B$2:$B$70=$B555)*
        ('Fairway Log'!$C$2:$C626=$C555),
      0),
      MATCH($G555,'Fairway Log'!$E$1:$V$1,0)
    ),
  "")
)</f>
        <v>1</v>
      </c>
      <c r="Q555" cm="1">
        <f t="array" ref="Q555">IFERROR(
  INDEX('GIR Log'!$E$2:$V$70,
    MATCH(1,
      ('GIR Log'!$A$2:$A$70=$A555)*
      ('GIR Log'!$B$2:$B$70=$B555)*
      ('GIR Log'!$C$2:$C$70=$C555),
    0),
    MATCH($G555,'GIR Log'!$E$1:$V$1,0)
  ),
"")</f>
        <v>0</v>
      </c>
    </row>
    <row r="556" spans="1:17" x14ac:dyDescent="0.25">
      <c r="A556" s="20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Log'!$E$2:$V$70,
    MATCH(1,
      ('Golf Log'!$A$2:$A$70=$A556)*
      ('Golf Log'!$B$2:$B$70=$B556)*
      ('Golf Log'!$C$2:$C$70=$C556),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Log'!$E$2:$V$70,
    MATCH(1,
      ('Putt Log'!$A$2:$A$70=$A556)*
      ('Putt Log'!$B$2:$B$70=$B556)*
      ('Putt Log'!$C$2:$C$70=$C556),
    0),
    MATCH($G556,'Putt Log'!$E$1:$V$1,0)
  ),
"")</f>
        <v>2</v>
      </c>
      <c r="P556" t="str" cm="1">
        <f t="array" ref="P556">IF(K556=3,"",
  IFERROR(
    INDEX('Fairway Log'!$E$2:$V$70,
      MATCH(1,
        ('Fairway Log'!$A$2:$A$70=$A556)*
        ('Fairway Log'!$B$2:$B$70=$B556)*
        ('Fairway Log'!$C$2:$C627=$C556),
      0),
      MATCH($G556,'Fairway Log'!$E$1:$V$1,0)
    ),
  "")
)</f>
        <v/>
      </c>
      <c r="Q556" cm="1">
        <f t="array" ref="Q556">IFERROR(
  INDEX('GIR Log'!$E$2:$V$70,
    MATCH(1,
      ('GIR Log'!$A$2:$A$70=$A556)*
      ('GIR Log'!$B$2:$B$70=$B556)*
      ('GIR Log'!$C$2:$C$70=$C556),
    0),
    MATCH($G556,'GIR Log'!$E$1:$V$1,0)
  ),
"")</f>
        <v>0</v>
      </c>
    </row>
    <row r="557" spans="1:17" x14ac:dyDescent="0.25">
      <c r="A557" s="20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Log'!$E$2:$V$70,
    MATCH(1,
      ('Golf Log'!$A$2:$A$70=$A557)*
      ('Golf Log'!$B$2:$B$70=$B557)*
      ('Golf Log'!$C$2:$C$70=$C557),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Log'!$E$2:$V$70,
    MATCH(1,
      ('Putt Log'!$A$2:$A$70=$A557)*
      ('Putt Log'!$B$2:$B$70=$B557)*
      ('Putt Log'!$C$2:$C$70=$C557),
    0),
    MATCH($G557,'Putt Log'!$E$1:$V$1,0)
  ),
"")</f>
        <v>2</v>
      </c>
      <c r="P557" cm="1">
        <f t="array" ref="P557">IF(K557=3,"",
  IFERROR(
    INDEX('Fairway Log'!$E$2:$V$70,
      MATCH(1,
        ('Fairway Log'!$A$2:$A$70=$A557)*
        ('Fairway Log'!$B$2:$B$70=$B557)*
        ('Fairway Log'!$C$2:$C628=$C557),
      0),
      MATCH($G557,'Fairway Log'!$E$1:$V$1,0)
    ),
  "")
)</f>
        <v>1</v>
      </c>
      <c r="Q557" cm="1">
        <f t="array" ref="Q557">IFERROR(
  INDEX('GIR Log'!$E$2:$V$70,
    MATCH(1,
      ('GIR Log'!$A$2:$A$70=$A557)*
      ('GIR Log'!$B$2:$B$70=$B557)*
      ('GIR Log'!$C$2:$C$70=$C557),
    0),
    MATCH($G557,'GIR Log'!$E$1:$V$1,0)
  ),
"")</f>
        <v>0</v>
      </c>
    </row>
    <row r="558" spans="1:17" x14ac:dyDescent="0.25">
      <c r="A558" s="20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Log'!$E$2:$V$70,
    MATCH(1,
      ('Golf Log'!$A$2:$A$70=$A558)*
      ('Golf Log'!$B$2:$B$70=$B558)*
      ('Golf Log'!$C$2:$C$70=$C558),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Log'!$E$2:$V$70,
    MATCH(1,
      ('Putt Log'!$A$2:$A$70=$A558)*
      ('Putt Log'!$B$2:$B$70=$B558)*
      ('Putt Log'!$C$2:$C$70=$C558),
    0),
    MATCH($G558,'Putt Log'!$E$1:$V$1,0)
  ),
"")</f>
        <v>2</v>
      </c>
      <c r="P558" cm="1">
        <f t="array" ref="P558">IF(K558=3,"",
  IFERROR(
    INDEX('Fairway Log'!$E$2:$V$70,
      MATCH(1,
        ('Fairway Log'!$A$2:$A$70=$A558)*
        ('Fairway Log'!$B$2:$B$70=$B558)*
        ('Fairway Log'!$C$2:$C629=$C558),
      0),
      MATCH($G558,'Fairway Log'!$E$1:$V$1,0)
    ),
  "")
)</f>
        <v>1</v>
      </c>
      <c r="Q558" cm="1">
        <f t="array" ref="Q558">IFERROR(
  INDEX('GIR Log'!$E$2:$V$70,
    MATCH(1,
      ('GIR Log'!$A$2:$A$70=$A558)*
      ('GIR Log'!$B$2:$B$70=$B558)*
      ('GIR Log'!$C$2:$C$70=$C558),
    0),
    MATCH($G558,'GIR Log'!$E$1:$V$1,0)
  ),
"")</f>
        <v>0</v>
      </c>
    </row>
    <row r="559" spans="1:17" x14ac:dyDescent="0.25">
      <c r="A559" s="20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Log'!$E$2:$V$70,
    MATCH(1,
      ('Golf Log'!$A$2:$A$70=$A559)*
      ('Golf Log'!$B$2:$B$70=$B559)*
      ('Golf Log'!$C$2:$C$70=$C559),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Log'!$E$2:$V$70,
    MATCH(1,
      ('Putt Log'!$A$2:$A$70=$A559)*
      ('Putt Log'!$B$2:$B$70=$B559)*
      ('Putt Log'!$C$2:$C$70=$C559),
    0),
    MATCH($G559,'Putt Log'!$E$1:$V$1,0)
  ),
"")</f>
        <v>1</v>
      </c>
      <c r="P559" t="str" cm="1">
        <f t="array" ref="P559">IF(K559=3,"",
  IFERROR(
    INDEX('Fairway Log'!$E$2:$V$70,
      MATCH(1,
        ('Fairway Log'!$A$2:$A$70=$A559)*
        ('Fairway Log'!$B$2:$B$70=$B559)*
        ('Fairway Log'!$C$2:$C630=$C559),
      0),
      MATCH($G559,'Fairway Log'!$E$1:$V$1,0)
    ),
  "")
)</f>
        <v>→</v>
      </c>
      <c r="Q559" cm="1">
        <f t="array" ref="Q559">IFERROR(
  INDEX('GIR Log'!$E$2:$V$70,
    MATCH(1,
      ('GIR Log'!$A$2:$A$70=$A559)*
      ('GIR Log'!$B$2:$B$70=$B559)*
      ('GIR Log'!$C$2:$C$70=$C559),
    0),
    MATCH($G559,'GIR Log'!$E$1:$V$1,0)
  ),
"")</f>
        <v>0</v>
      </c>
    </row>
    <row r="560" spans="1:17" x14ac:dyDescent="0.25">
      <c r="A560" s="20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Log'!$E$2:$V$70,
    MATCH(1,
      ('Golf Log'!$A$2:$A$70=$A560)*
      ('Golf Log'!$B$2:$B$70=$B560)*
      ('Golf Log'!$C$2:$C$70=$C560),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Log'!$E$2:$V$70,
    MATCH(1,
      ('Putt Log'!$A$2:$A$70=$A560)*
      ('Putt Log'!$B$2:$B$70=$B560)*
      ('Putt Log'!$C$2:$C$70=$C560),
    0),
    MATCH($G560,'Putt Log'!$E$1:$V$1,0)
  ),
"")</f>
        <v>2</v>
      </c>
      <c r="P560" cm="1">
        <f t="array" ref="P560">IF(K560=3,"",
  IFERROR(
    INDEX('Fairway Log'!$E$2:$V$70,
      MATCH(1,
        ('Fairway Log'!$A$2:$A$70=$A560)*
        ('Fairway Log'!$B$2:$B$70=$B560)*
        ('Fairway Log'!$C$2:$C631=$C560),
      0),
      MATCH($G560,'Fairway Log'!$E$1:$V$1,0)
    ),
  "")
)</f>
        <v>1</v>
      </c>
      <c r="Q560" cm="1">
        <f t="array" ref="Q560">IFERROR(
  INDEX('GIR Log'!$E$2:$V$70,
    MATCH(1,
      ('GIR Log'!$A$2:$A$70=$A560)*
      ('GIR Log'!$B$2:$B$70=$B560)*
      ('GIR Log'!$C$2:$C$70=$C560),
    0),
    MATCH($G560,'GIR Log'!$E$1:$V$1,0)
  ),
"")</f>
        <v>0</v>
      </c>
    </row>
    <row r="561" spans="1:17" x14ac:dyDescent="0.25">
      <c r="A561" s="20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Log'!$E$2:$V$70,
    MATCH(1,
      ('Golf Log'!$A$2:$A$70=$A561)*
      ('Golf Log'!$B$2:$B$70=$B561)*
      ('Golf Log'!$C$2:$C$70=$C561),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Log'!$E$2:$V$70,
    MATCH(1,
      ('Putt Log'!$A$2:$A$70=$A561)*
      ('Putt Log'!$B$2:$B$70=$B561)*
      ('Putt Log'!$C$2:$C$70=$C561),
    0),
    MATCH($G561,'Putt Log'!$E$1:$V$1,0)
  ),
"")</f>
        <v>3</v>
      </c>
      <c r="P561" cm="1">
        <f t="array" ref="P561">IF(K561=3,"",
  IFERROR(
    INDEX('Fairway Log'!$E$2:$V$70,
      MATCH(1,
        ('Fairway Log'!$A$2:$A$70=$A561)*
        ('Fairway Log'!$B$2:$B$70=$B561)*
        ('Fairway Log'!$C$2:$C632=$C561),
      0),
      MATCH($G561,'Fairway Log'!$E$1:$V$1,0)
    ),
  "")
)</f>
        <v>1</v>
      </c>
      <c r="Q561" cm="1">
        <f t="array" ref="Q561">IFERROR(
  INDEX('GIR Log'!$E$2:$V$70,
    MATCH(1,
      ('GIR Log'!$A$2:$A$70=$A561)*
      ('GIR Log'!$B$2:$B$70=$B561)*
      ('GIR Log'!$C$2:$C$70=$C561),
    0),
    MATCH($G561,'GIR Log'!$E$1:$V$1,0)
  ),
"")</f>
        <v>0</v>
      </c>
    </row>
    <row r="562" spans="1:17" x14ac:dyDescent="0.25">
      <c r="A562" s="20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Log'!$E$2:$V$70,
    MATCH(1,
      ('Golf Log'!$A$2:$A$70=$A562)*
      ('Golf Log'!$B$2:$B$70=$B562)*
      ('Golf Log'!$C$2:$C$70=$C562),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Log'!$E$2:$V$70,
    MATCH(1,
      ('Putt Log'!$A$2:$A$70=$A562)*
      ('Putt Log'!$B$2:$B$70=$B562)*
      ('Putt Log'!$C$2:$C$70=$C562),
    0),
    MATCH($G562,'Putt Log'!$E$1:$V$1,0)
  ),
"")</f>
        <v>2</v>
      </c>
      <c r="P562" t="str" cm="1">
        <f t="array" ref="P562">IF(K562=3,"",
  IFERROR(
    INDEX('Fairway Log'!$E$2:$V$70,
      MATCH(1,
        ('Fairway Log'!$A$2:$A$70=$A562)*
        ('Fairway Log'!$B$2:$B$70=$B562)*
        ('Fairway Log'!$C$2:$C633=$C562),
      0),
      MATCH($G562,'Fairway Log'!$E$1:$V$1,0)
    ),
  "")
)</f>
        <v/>
      </c>
      <c r="Q562" cm="1">
        <f t="array" ref="Q562">IFERROR(
  INDEX('GIR Log'!$E$2:$V$70,
    MATCH(1,
      ('GIR Log'!$A$2:$A$70=$A562)*
      ('GIR Log'!$B$2:$B$70=$B562)*
      ('GIR Log'!$C$2:$C$70=$C562),
    0),
    MATCH($G562,'GIR Log'!$E$1:$V$1,0)
  ),
"")</f>
        <v>1</v>
      </c>
    </row>
    <row r="563" spans="1:17" x14ac:dyDescent="0.25">
      <c r="A563" s="20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Log'!$E$2:$V$70,
    MATCH(1,
      ('Golf Log'!$A$2:$A$70=$A563)*
      ('Golf Log'!$B$2:$B$70=$B563)*
      ('Golf Log'!$C$2:$C$70=$C563),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Log'!$E$2:$V$70,
    MATCH(1,
      ('Putt Log'!$A$2:$A$70=$A563)*
      ('Putt Log'!$B$2:$B$70=$B563)*
      ('Putt Log'!$C$2:$C$70=$C563),
    0),
    MATCH($G563,'Putt Log'!$E$1:$V$1,0)
  ),
"")</f>
        <v>2</v>
      </c>
      <c r="P563" cm="1">
        <f t="array" ref="P563">IF(K563=3,"",
  IFERROR(
    INDEX('Fairway Log'!$E$2:$V$70,
      MATCH(1,
        ('Fairway Log'!$A$2:$A$70=$A563)*
        ('Fairway Log'!$B$2:$B$70=$B563)*
        ('Fairway Log'!$C$2:$C634=$C563),
      0),
      MATCH($G563,'Fairway Log'!$E$1:$V$1,0)
    ),
  "")
)</f>
        <v>1</v>
      </c>
      <c r="Q563" cm="1">
        <f t="array" ref="Q563">IFERROR(
  INDEX('GIR Log'!$E$2:$V$70,
    MATCH(1,
      ('GIR Log'!$A$2:$A$70=$A563)*
      ('GIR Log'!$B$2:$B$70=$B563)*
      ('GIR Log'!$C$2:$C$70=$C563),
    0),
    MATCH($G563,'GIR Log'!$E$1:$V$1,0)
  ),
"")</f>
        <v>1</v>
      </c>
    </row>
    <row r="564" spans="1:17" x14ac:dyDescent="0.25">
      <c r="A564" s="20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Log'!$E$2:$V$70,
    MATCH(1,
      ('Golf Log'!$A$2:$A$70=$A564)*
      ('Golf Log'!$B$2:$B$70=$B564)*
      ('Golf Log'!$C$2:$C$70=$C564),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Log'!$E$2:$V$70,
    MATCH(1,
      ('Putt Log'!$A$2:$A$70=$A564)*
      ('Putt Log'!$B$2:$B$70=$B564)*
      ('Putt Log'!$C$2:$C$70=$C564),
    0),
    MATCH($G564,'Putt Log'!$E$1:$V$1,0)
  ),
"")</f>
        <v>2</v>
      </c>
      <c r="P564" cm="1">
        <f t="array" ref="P564">IF(K564=3,"",
  IFERROR(
    INDEX('Fairway Log'!$E$2:$V$70,
      MATCH(1,
        ('Fairway Log'!$A$2:$A$70=$A564)*
        ('Fairway Log'!$B$2:$B$70=$B564)*
        ('Fairway Log'!$C$2:$C635=$C564),
      0),
      MATCH($G564,'Fairway Log'!$E$1:$V$1,0)
    ),
  "")
)</f>
        <v>1</v>
      </c>
      <c r="Q564" cm="1">
        <f t="array" ref="Q564">IFERROR(
  INDEX('GIR Log'!$E$2:$V$70,
    MATCH(1,
      ('GIR Log'!$A$2:$A$70=$A564)*
      ('GIR Log'!$B$2:$B$70=$B564)*
      ('GIR Log'!$C$2:$C$70=$C564),
    0),
    MATCH($G564,'GIR Log'!$E$1:$V$1,0)
  ),
"")</f>
        <v>0</v>
      </c>
    </row>
    <row r="565" spans="1:17" x14ac:dyDescent="0.25">
      <c r="A565" s="20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Log'!$E$2:$V$70,
    MATCH(1,
      ('Golf Log'!$A$2:$A$70=$A565)*
      ('Golf Log'!$B$2:$B$70=$B565)*
      ('Golf Log'!$C$2:$C$70=$C565),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Log'!$E$2:$V$70,
    MATCH(1,
      ('Putt Log'!$A$2:$A$70=$A565)*
      ('Putt Log'!$B$2:$B$70=$B565)*
      ('Putt Log'!$C$2:$C$70=$C565),
    0),
    MATCH($G565,'Putt Log'!$E$1:$V$1,0)
  ),
"")</f>
        <v>2</v>
      </c>
      <c r="P565" cm="1">
        <f t="array" ref="P565">IF(K565=3,"",
  IFERROR(
    INDEX('Fairway Log'!$E$2:$V$70,
      MATCH(1,
        ('Fairway Log'!$A$2:$A$70=$A565)*
        ('Fairway Log'!$B$2:$B$70=$B565)*
        ('Fairway Log'!$C$2:$C636=$C565),
      0),
      MATCH($G565,'Fairway Log'!$E$1:$V$1,0)
    ),
  "")
)</f>
        <v>1</v>
      </c>
      <c r="Q565" cm="1">
        <f t="array" ref="Q565">IFERROR(
  INDEX('GIR Log'!$E$2:$V$70,
    MATCH(1,
      ('GIR Log'!$A$2:$A$70=$A565)*
      ('GIR Log'!$B$2:$B$70=$B565)*
      ('GIR Log'!$C$2:$C$70=$C565),
    0),
    MATCH($G565,'GIR Log'!$E$1:$V$1,0)
  ),
"")</f>
        <v>0</v>
      </c>
    </row>
    <row r="566" spans="1:17" x14ac:dyDescent="0.25">
      <c r="A566" s="20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Log'!$E$2:$V$70,
    MATCH(1,
      ('Golf Log'!$A$2:$A$70=$A566)*
      ('Golf Log'!$B$2:$B$70=$B566)*
      ('Golf Log'!$C$2:$C$70=$C566),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Log'!$E$2:$V$70,
    MATCH(1,
      ('Putt Log'!$A$2:$A$70=$A566)*
      ('Putt Log'!$B$2:$B$70=$B566)*
      ('Putt Log'!$C$2:$C$70=$C566),
    0),
    MATCH($G566,'Putt Log'!$E$1:$V$1,0)
  ),
"")</f>
        <v>1</v>
      </c>
      <c r="P566" t="str" cm="1">
        <f t="array" ref="P566">IF(K566=3,"",
  IFERROR(
    INDEX('Fairway Log'!$E$2:$V$70,
      MATCH(1,
        ('Fairway Log'!$A$2:$A$70=$A566)*
        ('Fairway Log'!$B$2:$B$70=$B566)*
        ('Fairway Log'!$C$2:$C637=$C566),
      0),
      MATCH($G566,'Fairway Log'!$E$1:$V$1,0)
    ),
  "")
)</f>
        <v/>
      </c>
      <c r="Q566" cm="1">
        <f t="array" ref="Q566">IFERROR(
  INDEX('GIR Log'!$E$2:$V$70,
    MATCH(1,
      ('GIR Log'!$A$2:$A$70=$A566)*
      ('GIR Log'!$B$2:$B$70=$B566)*
      ('GIR Log'!$C$2:$C$70=$C566),
    0),
    MATCH($G566,'GIR Log'!$E$1:$V$1,0)
  ),
"")</f>
        <v>0</v>
      </c>
    </row>
    <row r="567" spans="1:17" x14ac:dyDescent="0.25">
      <c r="A567" s="20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Log'!$E$2:$V$70,
    MATCH(1,
      ('Golf Log'!$A$2:$A$70=$A567)*
      ('Golf Log'!$B$2:$B$70=$B567)*
      ('Golf Log'!$C$2:$C$70=$C567),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Log'!$E$2:$V$70,
    MATCH(1,
      ('Putt Log'!$A$2:$A$70=$A567)*
      ('Putt Log'!$B$2:$B$70=$B567)*
      ('Putt Log'!$C$2:$C$70=$C567),
    0),
    MATCH($G567,'Putt Log'!$E$1:$V$1,0)
  ),
"")</f>
        <v>3</v>
      </c>
      <c r="P567" cm="1">
        <f t="array" ref="P567">IF(K567=3,"",
  IFERROR(
    INDEX('Fairway Log'!$E$2:$V$70,
      MATCH(1,
        ('Fairway Log'!$A$2:$A$70=$A567)*
        ('Fairway Log'!$B$2:$B$70=$B567)*
        ('Fairway Log'!$C$2:$C638=$C567),
      0),
      MATCH($G567,'Fairway Log'!$E$1:$V$1,0)
    ),
  "")
)</f>
        <v>1</v>
      </c>
      <c r="Q567" cm="1">
        <f t="array" ref="Q567">IFERROR(
  INDEX('GIR Log'!$E$2:$V$70,
    MATCH(1,
      ('GIR Log'!$A$2:$A$70=$A567)*
      ('GIR Log'!$B$2:$B$70=$B567)*
      ('GIR Log'!$C$2:$C$70=$C567),
    0),
    MATCH($G567,'GIR Log'!$E$1:$V$1,0)
  ),
"")</f>
        <v>0</v>
      </c>
    </row>
    <row r="568" spans="1:17" x14ac:dyDescent="0.25">
      <c r="A568" s="20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Log'!$E$2:$V$70,
    MATCH(1,
      ('Golf Log'!$A$2:$A$70=$A568)*
      ('Golf Log'!$B$2:$B$70=$B568)*
      ('Golf Log'!$C$2:$C$70=$C568),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Log'!$E$2:$V$70,
    MATCH(1,
      ('Putt Log'!$A$2:$A$70=$A568)*
      ('Putt Log'!$B$2:$B$70=$B568)*
      ('Putt Log'!$C$2:$C$70=$C568),
    0),
    MATCH($G568,'Putt Log'!$E$1:$V$1,0)
  ),
"")</f>
        <v>2</v>
      </c>
      <c r="P568" cm="1">
        <f t="array" ref="P568">IF(K568=3,"",
  IFERROR(
    INDEX('Fairway Log'!$E$2:$V$70,
      MATCH(1,
        ('Fairway Log'!$A$2:$A$70=$A568)*
        ('Fairway Log'!$B$2:$B$70=$B568)*
        ('Fairway Log'!$C$2:$C639=$C568),
      0),
      MATCH($G568,'Fairway Log'!$E$1:$V$1,0)
    ),
  "")
)</f>
        <v>1</v>
      </c>
      <c r="Q568" cm="1">
        <f t="array" ref="Q568">IFERROR(
  INDEX('GIR Log'!$E$2:$V$70,
    MATCH(1,
      ('GIR Log'!$A$2:$A$70=$A568)*
      ('GIR Log'!$B$2:$B$70=$B568)*
      ('GIR Log'!$C$2:$C$70=$C568),
    0),
    MATCH($G568,'GIR Log'!$E$1:$V$1,0)
  ),
"")</f>
        <v>1</v>
      </c>
    </row>
    <row r="569" spans="1:17" x14ac:dyDescent="0.25">
      <c r="A569" s="20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Log'!$E$2:$V$70,
    MATCH(1,
      ('Golf Log'!$A$2:$A$70=$A569)*
      ('Golf Log'!$B$2:$B$70=$B569)*
      ('Golf Log'!$C$2:$C$70=$C569),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Log'!$E$2:$V$70,
    MATCH(1,
      ('Putt Log'!$A$2:$A$70=$A569)*
      ('Putt Log'!$B$2:$B$70=$B569)*
      ('Putt Log'!$C$2:$C$70=$C569),
    0),
    MATCH($G569,'Putt Log'!$E$1:$V$1,0)
  ),
"")</f>
        <v>2</v>
      </c>
      <c r="P569" cm="1">
        <f t="array" ref="P569">IF(K569=3,"",
  IFERROR(
    INDEX('Fairway Log'!$E$2:$V$70,
      MATCH(1,
        ('Fairway Log'!$A$2:$A$70=$A569)*
        ('Fairway Log'!$B$2:$B$70=$B569)*
        ('Fairway Log'!$C$2:$C640=$C569),
      0),
      MATCH($G569,'Fairway Log'!$E$1:$V$1,0)
    ),
  "")
)</f>
        <v>1</v>
      </c>
      <c r="Q569" cm="1">
        <f t="array" ref="Q569">IFERROR(
  INDEX('GIR Log'!$E$2:$V$70,
    MATCH(1,
      ('GIR Log'!$A$2:$A$70=$A569)*
      ('GIR Log'!$B$2:$B$70=$B569)*
      ('GIR Log'!$C$2:$C$70=$C569),
    0),
    MATCH($G569,'GIR Log'!$E$1:$V$1,0)
  ),
"")</f>
        <v>0</v>
      </c>
    </row>
    <row r="570" spans="1:17" x14ac:dyDescent="0.25">
      <c r="A570" s="20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Log'!$E$2:$V$70,
    MATCH(1,
      ('Golf Log'!$A$2:$A$70=$A570)*
      ('Golf Log'!$B$2:$B$70=$B570)*
      ('Golf Log'!$C$2:$C$70=$C570),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Log'!$E$2:$V$70,
    MATCH(1,
      ('Putt Log'!$A$2:$A$70=$A570)*
      ('Putt Log'!$B$2:$B$70=$B570)*
      ('Putt Log'!$C$2:$C$70=$C570),
    0),
    MATCH($G570,'Putt Log'!$E$1:$V$1,0)
  ),
"")</f>
        <v>2</v>
      </c>
      <c r="P570" t="str" cm="1">
        <f t="array" ref="P570">IF(K570=3,"",
  IFERROR(
    INDEX('Fairway Log'!$E$2:$V$70,
      MATCH(1,
        ('Fairway Log'!$A$2:$A$70=$A570)*
        ('Fairway Log'!$B$2:$B$70=$B570)*
        ('Fairway Log'!$C$2:$C641=$C570),
      0),
      MATCH($G570,'Fairway Log'!$E$1:$V$1,0)
    ),
  "")
)</f>
        <v/>
      </c>
      <c r="Q570" cm="1">
        <f t="array" ref="Q570">IFERROR(
  INDEX('GIR Log'!$E$2:$V$70,
    MATCH(1,
      ('GIR Log'!$A$2:$A$70=$A570)*
      ('GIR Log'!$B$2:$B$70=$B570)*
      ('GIR Log'!$C$2:$C$70=$C570),
    0),
    MATCH($G570,'GIR Log'!$E$1:$V$1,0)
  ),
"")</f>
        <v>0</v>
      </c>
    </row>
    <row r="571" spans="1:17" x14ac:dyDescent="0.25">
      <c r="A571" s="20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Log'!$E$2:$V$70,
    MATCH(1,
      ('Golf Log'!$A$2:$A$70=$A571)*
      ('Golf Log'!$B$2:$B$70=$B571)*
      ('Golf Log'!$C$2:$C$70=$C571),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Log'!$E$2:$V$70,
    MATCH(1,
      ('Putt Log'!$A$2:$A$70=$A571)*
      ('Putt Log'!$B$2:$B$70=$B571)*
      ('Putt Log'!$C$2:$C$70=$C571),
    0),
    MATCH($G571,'Putt Log'!$E$1:$V$1,0)
  ),
"")</f>
        <v>3</v>
      </c>
      <c r="P571" t="str" cm="1">
        <f t="array" ref="P571">IF(K571=3,"",
  IFERROR(
    INDEX('Fairway Log'!$E$2:$V$70,
      MATCH(1,
        ('Fairway Log'!$A$2:$A$70=$A571)*
        ('Fairway Log'!$B$2:$B$70=$B571)*
        ('Fairway Log'!$C$2:$C642=$C571),
      0),
      MATCH($G571,'Fairway Log'!$E$1:$V$1,0)
    ),
  "")
)</f>
        <v>←</v>
      </c>
      <c r="Q571" cm="1">
        <f t="array" ref="Q571">IFERROR(
  INDEX('GIR Log'!$E$2:$V$70,
    MATCH(1,
      ('GIR Log'!$A$2:$A$70=$A571)*
      ('GIR Log'!$B$2:$B$70=$B571)*
      ('GIR Log'!$C$2:$C$70=$C571),
    0),
    MATCH($G571,'GIR Log'!$E$1:$V$1,0)
  ),
"")</f>
        <v>0</v>
      </c>
    </row>
    <row r="572" spans="1:17" x14ac:dyDescent="0.25">
      <c r="A572" s="20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Log'!$E$2:$V$70,
    MATCH(1,
      ('Golf Log'!$A$2:$A$70=$A572)*
      ('Golf Log'!$B$2:$B$70=$B572)*
      ('Golf Log'!$C$2:$C$70=$C572),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Log'!$E$2:$V$70,
    MATCH(1,
      ('Putt Log'!$A$2:$A$70=$A572)*
      ('Putt Log'!$B$2:$B$70=$B572)*
      ('Putt Log'!$C$2:$C$70=$C572),
    0),
    MATCH($G572,'Putt Log'!$E$1:$V$1,0)
  ),
"")</f>
        <v>2</v>
      </c>
      <c r="P572" t="str" cm="1">
        <f t="array" ref="P572">IF(K572=3,"",
  IFERROR(
    INDEX('Fairway Log'!$E$2:$V$70,
      MATCH(1,
        ('Fairway Log'!$A$2:$A$70=$A572)*
        ('Fairway Log'!$B$2:$B$70=$B572)*
        ('Fairway Log'!$C$2:$C643=$C572),
      0),
      MATCH($G572,'Fairway Log'!$E$1:$V$1,0)
    ),
  "")
)</f>
        <v>→</v>
      </c>
      <c r="Q572" cm="1">
        <f t="array" ref="Q572">IFERROR(
  INDEX('GIR Log'!$E$2:$V$70,
    MATCH(1,
      ('GIR Log'!$A$2:$A$70=$A572)*
      ('GIR Log'!$B$2:$B$70=$B572)*
      ('GIR Log'!$C$2:$C$70=$C572),
    0),
    MATCH($G572,'GIR Log'!$E$1:$V$1,0)
  ),
"")</f>
        <v>0</v>
      </c>
    </row>
    <row r="573" spans="1:17" x14ac:dyDescent="0.25">
      <c r="A573" s="20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Log'!$E$2:$V$70,
    MATCH(1,
      ('Golf Log'!$A$2:$A$70=$A573)*
      ('Golf Log'!$B$2:$B$70=$B573)*
      ('Golf Log'!$C$2:$C$70=$C573),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Log'!$E$2:$V$70,
    MATCH(1,
      ('Putt Log'!$A$2:$A$70=$A573)*
      ('Putt Log'!$B$2:$B$70=$B573)*
      ('Putt Log'!$C$2:$C$70=$C573),
    0),
    MATCH($G573,'Putt Log'!$E$1:$V$1,0)
  ),
"")</f>
        <v>2</v>
      </c>
      <c r="P573" t="str" cm="1">
        <f t="array" ref="P573">IF(K573=3,"",
  IFERROR(
    INDEX('Fairway Log'!$E$2:$V$70,
      MATCH(1,
        ('Fairway Log'!$A$2:$A$70=$A573)*
        ('Fairway Log'!$B$2:$B$70=$B573)*
        ('Fairway Log'!$C$2:$C644=$C573),
      0),
      MATCH($G573,'Fairway Log'!$E$1:$V$1,0)
    ),
  "")
)</f>
        <v>←</v>
      </c>
      <c r="Q573" cm="1">
        <f t="array" ref="Q573">IFERROR(
  INDEX('GIR Log'!$E$2:$V$70,
    MATCH(1,
      ('GIR Log'!$A$2:$A$70=$A573)*
      ('GIR Log'!$B$2:$B$70=$B573)*
      ('GIR Log'!$C$2:$C$70=$C573),
    0),
    MATCH($G573,'GIR Log'!$E$1:$V$1,0)
  ),
"")</f>
        <v>0</v>
      </c>
    </row>
    <row r="574" spans="1:17" x14ac:dyDescent="0.25">
      <c r="A574" s="20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Log'!$E$2:$V$70,
    MATCH(1,
      ('Golf Log'!$A$2:$A$70=$A574)*
      ('Golf Log'!$B$2:$B$70=$B574)*
      ('Golf Log'!$C$2:$C$70=$C574),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Log'!$E$2:$V$70,
    MATCH(1,
      ('Putt Log'!$A$2:$A$70=$A574)*
      ('Putt Log'!$B$2:$B$70=$B574)*
      ('Putt Log'!$C$2:$C$70=$C574),
    0),
    MATCH($G574,'Putt Log'!$E$1:$V$1,0)
  ),
"")</f>
        <v>1</v>
      </c>
      <c r="P574" t="str" cm="1">
        <f t="array" ref="P574">IF(K574=3,"",
  IFERROR(
    INDEX('Fairway Log'!$E$2:$V$70,
      MATCH(1,
        ('Fairway Log'!$A$2:$A$70=$A574)*
        ('Fairway Log'!$B$2:$B$70=$B574)*
        ('Fairway Log'!$C$2:$C645=$C574),
      0),
      MATCH($G574,'Fairway Log'!$E$1:$V$1,0)
    ),
  "")
)</f>
        <v>←</v>
      </c>
      <c r="Q574" cm="1">
        <f t="array" ref="Q574">IFERROR(
  INDEX('GIR Log'!$E$2:$V$70,
    MATCH(1,
      ('GIR Log'!$A$2:$A$70=$A574)*
      ('GIR Log'!$B$2:$B$70=$B574)*
      ('GIR Log'!$C$2:$C$70=$C574),
    0),
    MATCH($G574,'GIR Log'!$E$1:$V$1,0)
  ),
"")</f>
        <v>0</v>
      </c>
    </row>
    <row r="575" spans="1:17" x14ac:dyDescent="0.25">
      <c r="A575" s="20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Log'!$E$2:$V$70,
    MATCH(1,
      ('Golf Log'!$A$2:$A$70=$A575)*
      ('Golf Log'!$B$2:$B$70=$B575)*
      ('Golf Log'!$C$2:$C$70=$C575),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Log'!$E$2:$V$70,
    MATCH(1,
      ('Putt Log'!$A$2:$A$70=$A575)*
      ('Putt Log'!$B$2:$B$70=$B575)*
      ('Putt Log'!$C$2:$C$70=$C575),
    0),
    MATCH($G575,'Putt Log'!$E$1:$V$1,0)
  ),
"")</f>
        <v>3</v>
      </c>
      <c r="P575" cm="1">
        <f t="array" ref="P575">IF(K575=3,"",
  IFERROR(
    INDEX('Fairway Log'!$E$2:$V$70,
      MATCH(1,
        ('Fairway Log'!$A$2:$A$70=$A575)*
        ('Fairway Log'!$B$2:$B$70=$B575)*
        ('Fairway Log'!$C$2:$C646=$C575),
      0),
      MATCH($G575,'Fairway Log'!$E$1:$V$1,0)
    ),
  "")
)</f>
        <v>1</v>
      </c>
      <c r="Q575" cm="1">
        <f t="array" ref="Q575">IFERROR(
  INDEX('GIR Log'!$E$2:$V$70,
    MATCH(1,
      ('GIR Log'!$A$2:$A$70=$A575)*
      ('GIR Log'!$B$2:$B$70=$B575)*
      ('GIR Log'!$C$2:$C$70=$C575),
    0),
    MATCH($G575,'GIR Log'!$E$1:$V$1,0)
  ),
"")</f>
        <v>0</v>
      </c>
    </row>
    <row r="576" spans="1:17" x14ac:dyDescent="0.25">
      <c r="A576" s="20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Log'!$E$2:$V$70,
    MATCH(1,
      ('Golf Log'!$A$2:$A$70=$A576)*
      ('Golf Log'!$B$2:$B$70=$B576)*
      ('Golf Log'!$C$2:$C$70=$C576),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Log'!$E$2:$V$70,
    MATCH(1,
      ('Putt Log'!$A$2:$A$70=$A576)*
      ('Putt Log'!$B$2:$B$70=$B576)*
      ('Putt Log'!$C$2:$C$70=$C576),
    0),
    MATCH($G576,'Putt Log'!$E$1:$V$1,0)
  ),
"")</f>
        <v>1</v>
      </c>
      <c r="P576" t="str" cm="1">
        <f t="array" ref="P576">IF(K576=3,"",
  IFERROR(
    INDEX('Fairway Log'!$E$2:$V$70,
      MATCH(1,
        ('Fairway Log'!$A$2:$A$70=$A576)*
        ('Fairway Log'!$B$2:$B$70=$B576)*
        ('Fairway Log'!$C$2:$C647=$C576),
      0),
      MATCH($G576,'Fairway Log'!$E$1:$V$1,0)
    ),
  "")
)</f>
        <v/>
      </c>
      <c r="Q576" cm="1">
        <f t="array" ref="Q576">IFERROR(
  INDEX('GIR Log'!$E$2:$V$70,
    MATCH(1,
      ('GIR Log'!$A$2:$A$70=$A576)*
      ('GIR Log'!$B$2:$B$70=$B576)*
      ('GIR Log'!$C$2:$C$70=$C576),
    0),
    MATCH($G576,'GIR Log'!$E$1:$V$1,0)
  ),
"")</f>
        <v>0</v>
      </c>
    </row>
    <row r="577" spans="1:17" x14ac:dyDescent="0.25">
      <c r="A577" s="20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Log'!$E$2:$V$70,
    MATCH(1,
      ('Golf Log'!$A$2:$A$70=$A577)*
      ('Golf Log'!$B$2:$B$70=$B577)*
      ('Golf Log'!$C$2:$C$70=$C577),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Log'!$E$2:$V$70,
    MATCH(1,
      ('Putt Log'!$A$2:$A$70=$A577)*
      ('Putt Log'!$B$2:$B$70=$B577)*
      ('Putt Log'!$C$2:$C$70=$C577),
    0),
    MATCH($G577,'Putt Log'!$E$1:$V$1,0)
  ),
"")</f>
        <v>1</v>
      </c>
      <c r="P577" t="str" cm="1">
        <f t="array" ref="P577">IF(K577=3,"",
  IFERROR(
    INDEX('Fairway Log'!$E$2:$V$70,
      MATCH(1,
        ('Fairway Log'!$A$2:$A$70=$A577)*
        ('Fairway Log'!$B$2:$B$70=$B577)*
        ('Fairway Log'!$C$2:$C648=$C577),
      0),
      MATCH($G577,'Fairway Log'!$E$1:$V$1,0)
    ),
  "")
)</f>
        <v>←</v>
      </c>
      <c r="Q577" cm="1">
        <f t="array" ref="Q577">IFERROR(
  INDEX('GIR Log'!$E$2:$V$70,
    MATCH(1,
      ('GIR Log'!$A$2:$A$70=$A577)*
      ('GIR Log'!$B$2:$B$70=$B577)*
      ('GIR Log'!$C$2:$C$70=$C577),
    0),
    MATCH($G577,'GIR Log'!$E$1:$V$1,0)
  ),
"")</f>
        <v>0</v>
      </c>
    </row>
    <row r="578" spans="1:17" x14ac:dyDescent="0.25">
      <c r="A578" s="20" t="s">
        <v>126</v>
      </c>
      <c r="B578" s="2">
        <v>45829</v>
      </c>
      <c r="C578" s="12" t="s">
        <v>6</v>
      </c>
      <c r="D578" s="12" t="s">
        <v>75</v>
      </c>
      <c r="E578" s="12" t="s">
        <v>36</v>
      </c>
      <c r="F578">
        <v>76</v>
      </c>
      <c r="G578" s="12" t="s">
        <v>47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Log'!$E$2:$V$70,
    MATCH(1,
      ('Golf Log'!$A$2:$A$70=$A578)*
      ('Golf Log'!$B$2:$B$70=$B578)*
      ('Golf Log'!$C$2:$C$70=$C578),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Log'!$E$2:$V$70,
    MATCH(1,
      ('Putt Log'!$A$2:$A$70=$A578)*
      ('Putt Log'!$B$2:$B$70=$B578)*
      ('Putt Log'!$C$2:$C$70=$C578),
    0),
    MATCH($G578,'Putt Log'!$E$1:$V$1,0)
  ),
"")</f>
        <v>2</v>
      </c>
      <c r="P578" cm="1">
        <f t="array" ref="P578">IF(K578=3,"",
  IFERROR(
    INDEX('Fairway Log'!$E$2:$V$70,
      MATCH(1,
        ('Fairway Log'!$A$2:$A$70=$A578)*
        ('Fairway Log'!$B$2:$B$70=$B578)*
        ('Fairway Log'!$C$2:$C649=$C578),
      0),
      MATCH($G578,'Fairway Log'!$E$1:$V$1,0)
    ),
  "")
)</f>
        <v>1</v>
      </c>
      <c r="Q578" t="str" cm="1">
        <f t="array" ref="Q578">IFERROR(
  INDEX('GIR Log'!$E$2:$V$70,
    MATCH(1,
      ('GIR Log'!$A$2:$A$70=$A578)*
      ('GIR Log'!$B$2:$B$70=$B578)*
      ('GIR Log'!$C$2:$C$70=$C578),
    0),
    MATCH($G578,'GIR Log'!$E$1:$V$1,0)
  ),
"")</f>
        <v>↓</v>
      </c>
    </row>
    <row r="579" spans="1:17" x14ac:dyDescent="0.25">
      <c r="A579" s="20" t="s">
        <v>126</v>
      </c>
      <c r="B579" s="2">
        <v>45829</v>
      </c>
      <c r="C579" s="12" t="s">
        <v>6</v>
      </c>
      <c r="D579" s="12" t="s">
        <v>75</v>
      </c>
      <c r="E579" s="12" t="s">
        <v>36</v>
      </c>
      <c r="F579">
        <v>77</v>
      </c>
      <c r="G579" s="12" t="s">
        <v>48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Log'!$E$2:$V$70,
    MATCH(1,
      ('Golf Log'!$A$2:$A$70=$A579)*
      ('Golf Log'!$B$2:$B$70=$B579)*
      ('Golf Log'!$C$2:$C$70=$C579),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Log'!$E$2:$V$70,
    MATCH(1,
      ('Putt Log'!$A$2:$A$70=$A579)*
      ('Putt Log'!$B$2:$B$70=$B579)*
      ('Putt Log'!$C$2:$C$70=$C579),
    0),
    MATCH($G579,'Putt Log'!$E$1:$V$1,0)
  ),
"")</f>
        <v>1</v>
      </c>
      <c r="P579" t="str" cm="1">
        <f t="array" ref="P579">IF(K579=3,"",
  IFERROR(
    INDEX('Fairway Log'!$E$2:$V$70,
      MATCH(1,
        ('Fairway Log'!$A$2:$A$70=$A579)*
        ('Fairway Log'!$B$2:$B$70=$B579)*
        ('Fairway Log'!$C$2:$C650=$C579),
      0),
      MATCH($G579,'Fairway Log'!$E$1:$V$1,0)
    ),
  "")
)</f>
        <v>→</v>
      </c>
      <c r="Q579" cm="1">
        <f t="array" ref="Q579">IFERROR(
  INDEX('GIR Log'!$E$2:$V$70,
    MATCH(1,
      ('GIR Log'!$A$2:$A$70=$A579)*
      ('GIR Log'!$B$2:$B$70=$B579)*
      ('GIR Log'!$C$2:$C$70=$C579),
    0),
    MATCH($G579,'GIR Log'!$E$1:$V$1,0)
  ),
"")</f>
        <v>1</v>
      </c>
    </row>
    <row r="580" spans="1:17" x14ac:dyDescent="0.25">
      <c r="A580" s="20" t="s">
        <v>126</v>
      </c>
      <c r="B580" s="2">
        <v>45829</v>
      </c>
      <c r="C580" s="12" t="s">
        <v>6</v>
      </c>
      <c r="D580" s="12" t="s">
        <v>75</v>
      </c>
      <c r="E580" s="12" t="s">
        <v>36</v>
      </c>
      <c r="F580">
        <v>78</v>
      </c>
      <c r="G580" s="12" t="s">
        <v>49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Log'!$E$2:$V$70,
    MATCH(1,
      ('Golf Log'!$A$2:$A$70=$A580)*
      ('Golf Log'!$B$2:$B$70=$B580)*
      ('Golf Log'!$C$2:$C$70=$C580),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Log'!$E$2:$V$70,
    MATCH(1,
      ('Putt Log'!$A$2:$A$70=$A580)*
      ('Putt Log'!$B$2:$B$70=$B580)*
      ('Putt Log'!$C$2:$C$70=$C580),
    0),
    MATCH($G580,'Putt Log'!$E$1:$V$1,0)
  ),
"")</f>
        <v>2</v>
      </c>
      <c r="P580" t="str" cm="1">
        <f t="array" ref="P580">IF(K580=3,"",
  IFERROR(
    INDEX('Fairway Log'!$E$2:$V$70,
      MATCH(1,
        ('Fairway Log'!$A$2:$A$70=$A580)*
        ('Fairway Log'!$B$2:$B$70=$B580)*
        ('Fairway Log'!$C$2:$C651=$C580),
      0),
      MATCH($G580,'Fairway Log'!$E$1:$V$1,0)
    ),
  "")
)</f>
        <v/>
      </c>
      <c r="Q580" t="str" cm="1">
        <f t="array" ref="Q580">IFERROR(
  INDEX('GIR Log'!$E$2:$V$70,
    MATCH(1,
      ('GIR Log'!$A$2:$A$70=$A580)*
      ('GIR Log'!$B$2:$B$70=$B580)*
      ('GIR Log'!$C$2:$C$70=$C580),
    0),
    MATCH($G580,'GIR Log'!$E$1:$V$1,0)
  ),
"")</f>
        <v>↓</v>
      </c>
    </row>
    <row r="581" spans="1:17" x14ac:dyDescent="0.25">
      <c r="A581" s="20" t="s">
        <v>126</v>
      </c>
      <c r="B581" s="2">
        <v>45829</v>
      </c>
      <c r="C581" s="12" t="s">
        <v>6</v>
      </c>
      <c r="D581" s="12" t="s">
        <v>75</v>
      </c>
      <c r="E581" s="12" t="s">
        <v>36</v>
      </c>
      <c r="F581">
        <v>79</v>
      </c>
      <c r="G581" s="12" t="s">
        <v>50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Log'!$E$2:$V$70,
    MATCH(1,
      ('Golf Log'!$A$2:$A$70=$A581)*
      ('Golf Log'!$B$2:$B$70=$B581)*
      ('Golf Log'!$C$2:$C$70=$C581),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Log'!$E$2:$V$70,
    MATCH(1,
      ('Putt Log'!$A$2:$A$70=$A581)*
      ('Putt Log'!$B$2:$B$70=$B581)*
      ('Putt Log'!$C$2:$C$70=$C581),
    0),
    MATCH($G581,'Putt Log'!$E$1:$V$1,0)
  ),
"")</f>
        <v>2</v>
      </c>
      <c r="P581" t="str" cm="1">
        <f t="array" ref="P581">IF(K581=3,"",
  IFERROR(
    INDEX('Fairway Log'!$E$2:$V$70,
      MATCH(1,
        ('Fairway Log'!$A$2:$A$70=$A581)*
        ('Fairway Log'!$B$2:$B$70=$B581)*
        ('Fairway Log'!$C$2:$C652=$C581),
      0),
      MATCH($G581,'Fairway Log'!$E$1:$V$1,0)
    ),
  "")
)</f>
        <v>←</v>
      </c>
      <c r="Q581" t="str" cm="1">
        <f t="array" ref="Q581">IFERROR(
  INDEX('GIR Log'!$E$2:$V$70,
    MATCH(1,
      ('GIR Log'!$A$2:$A$70=$A581)*
      ('GIR Log'!$B$2:$B$70=$B581)*
      ('GIR Log'!$C$2:$C$70=$C581),
    0),
    MATCH($G581,'GIR Log'!$E$1:$V$1,0)
  ),
"")</f>
        <v>↓</v>
      </c>
    </row>
    <row r="582" spans="1:17" x14ac:dyDescent="0.25">
      <c r="A582" s="20" t="s">
        <v>126</v>
      </c>
      <c r="B582" s="2">
        <v>45829</v>
      </c>
      <c r="C582" s="12" t="s">
        <v>6</v>
      </c>
      <c r="D582" s="12" t="s">
        <v>75</v>
      </c>
      <c r="E582" s="12" t="s">
        <v>36</v>
      </c>
      <c r="F582">
        <v>80</v>
      </c>
      <c r="G582" s="12" t="s">
        <v>51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Log'!$E$2:$V$70,
    MATCH(1,
      ('Golf Log'!$A$2:$A$70=$A582)*
      ('Golf Log'!$B$2:$B$70=$B582)*
      ('Golf Log'!$C$2:$C$70=$C582),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Log'!$E$2:$V$70,
    MATCH(1,
      ('Putt Log'!$A$2:$A$70=$A582)*
      ('Putt Log'!$B$2:$B$70=$B582)*
      ('Putt Log'!$C$2:$C$70=$C582),
    0),
    MATCH($G582,'Putt Log'!$E$1:$V$1,0)
  ),
"")</f>
        <v>2</v>
      </c>
      <c r="P582" t="str" cm="1">
        <f t="array" ref="P582">IF(K582=3,"",
  IFERROR(
    INDEX('Fairway Log'!$E$2:$V$70,
      MATCH(1,
        ('Fairway Log'!$A$2:$A$70=$A582)*
        ('Fairway Log'!$B$2:$B$70=$B582)*
        ('Fairway Log'!$C$2:$C653=$C582),
      0),
      MATCH($G582,'Fairway Log'!$E$1:$V$1,0)
    ),
  "")
)</f>
        <v/>
      </c>
      <c r="Q582" t="str" cm="1">
        <f t="array" ref="Q582">IFERROR(
  INDEX('GIR Log'!$E$2:$V$70,
    MATCH(1,
      ('GIR Log'!$A$2:$A$70=$A582)*
      ('GIR Log'!$B$2:$B$70=$B582)*
      ('GIR Log'!$C$2:$C$70=$C582),
    0),
    MATCH($G582,'GIR Log'!$E$1:$V$1,0)
  ),
"")</f>
        <v>←</v>
      </c>
    </row>
    <row r="583" spans="1:17" x14ac:dyDescent="0.25">
      <c r="A583" s="20" t="s">
        <v>126</v>
      </c>
      <c r="B583" s="2">
        <v>45829</v>
      </c>
      <c r="C583" s="12" t="s">
        <v>6</v>
      </c>
      <c r="D583" s="12" t="s">
        <v>75</v>
      </c>
      <c r="E583" s="12" t="s">
        <v>36</v>
      </c>
      <c r="F583">
        <v>81</v>
      </c>
      <c r="G583" s="12" t="s">
        <v>52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Log'!$E$2:$V$70,
    MATCH(1,
      ('Golf Log'!$A$2:$A$70=$A583)*
      ('Golf Log'!$B$2:$B$70=$B583)*
      ('Golf Log'!$C$2:$C$70=$C583),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Log'!$E$2:$V$70,
    MATCH(1,
      ('Putt Log'!$A$2:$A$70=$A583)*
      ('Putt Log'!$B$2:$B$70=$B583)*
      ('Putt Log'!$C$2:$C$70=$C583),
    0),
    MATCH($G583,'Putt Log'!$E$1:$V$1,0)
  ),
"")</f>
        <v>1</v>
      </c>
      <c r="P583" cm="1">
        <f t="array" ref="P583">IF(K583=3,"",
  IFERROR(
    INDEX('Fairway Log'!$E$2:$V$70,
      MATCH(1,
        ('Fairway Log'!$A$2:$A$70=$A583)*
        ('Fairway Log'!$B$2:$B$70=$B583)*
        ('Fairway Log'!$C$2:$C654=$C583),
      0),
      MATCH($G583,'Fairway Log'!$E$1:$V$1,0)
    ),
  "")
)</f>
        <v>1</v>
      </c>
      <c r="Q583" t="str" cm="1">
        <f t="array" ref="Q583">IFERROR(
  INDEX('GIR Log'!$E$2:$V$70,
    MATCH(1,
      ('GIR Log'!$A$2:$A$70=$A583)*
      ('GIR Log'!$B$2:$B$70=$B583)*
      ('GIR Log'!$C$2:$C$70=$C583),
    0),
    MATCH($G583,'GIR Log'!$E$1:$V$1,0)
  ),
"")</f>
        <v>↓</v>
      </c>
    </row>
    <row r="584" spans="1:17" x14ac:dyDescent="0.25">
      <c r="A584" s="20" t="s">
        <v>126</v>
      </c>
      <c r="B584" s="2">
        <v>45829</v>
      </c>
      <c r="C584" s="12" t="s">
        <v>6</v>
      </c>
      <c r="D584" s="12" t="s">
        <v>75</v>
      </c>
      <c r="E584" s="12" t="s">
        <v>36</v>
      </c>
      <c r="F584">
        <v>82</v>
      </c>
      <c r="G584" s="12" t="s">
        <v>53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Log'!$E$2:$V$70,
    MATCH(1,
      ('Golf Log'!$A$2:$A$70=$A584)*
      ('Golf Log'!$B$2:$B$70=$B584)*
      ('Golf Log'!$C$2:$C$70=$C584),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Log'!$E$2:$V$70,
    MATCH(1,
      ('Putt Log'!$A$2:$A$70=$A584)*
      ('Putt Log'!$B$2:$B$70=$B584)*
      ('Putt Log'!$C$2:$C$70=$C584),
    0),
    MATCH($G584,'Putt Log'!$E$1:$V$1,0)
  ),
"")</f>
        <v>2</v>
      </c>
      <c r="P584" cm="1">
        <f t="array" ref="P584">IF(K584=3,"",
  IFERROR(
    INDEX('Fairway Log'!$E$2:$V$70,
      MATCH(1,
        ('Fairway Log'!$A$2:$A$70=$A584)*
        ('Fairway Log'!$B$2:$B$70=$B584)*
        ('Fairway Log'!$C$2:$C655=$C584),
      0),
      MATCH($G584,'Fairway Log'!$E$1:$V$1,0)
    ),
  "")
)</f>
        <v>1</v>
      </c>
      <c r="Q584" cm="1">
        <f t="array" ref="Q584">IFERROR(
  INDEX('GIR Log'!$E$2:$V$70,
    MATCH(1,
      ('GIR Log'!$A$2:$A$70=$A584)*
      ('GIR Log'!$B$2:$B$70=$B584)*
      ('GIR Log'!$C$2:$C$70=$C584),
    0),
    MATCH($G584,'GIR Log'!$E$1:$V$1,0)
  ),
"")</f>
        <v>1</v>
      </c>
    </row>
    <row r="585" spans="1:17" x14ac:dyDescent="0.25">
      <c r="A585" s="20" t="s">
        <v>126</v>
      </c>
      <c r="B585" s="2">
        <v>45829</v>
      </c>
      <c r="C585" s="12" t="s">
        <v>6</v>
      </c>
      <c r="D585" s="12" t="s">
        <v>75</v>
      </c>
      <c r="E585" s="12" t="s">
        <v>36</v>
      </c>
      <c r="F585">
        <v>83</v>
      </c>
      <c r="G585" s="12" t="s">
        <v>54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Log'!$E$2:$V$70,
    MATCH(1,
      ('Golf Log'!$A$2:$A$70=$A585)*
      ('Golf Log'!$B$2:$B$70=$B585)*
      ('Golf Log'!$C$2:$C$70=$C585),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Log'!$E$2:$V$70,
    MATCH(1,
      ('Putt Log'!$A$2:$A$70=$A585)*
      ('Putt Log'!$B$2:$B$70=$B585)*
      ('Putt Log'!$C$2:$C$70=$C585),
    0),
    MATCH($G585,'Putt Log'!$E$1:$V$1,0)
  ),
"")</f>
        <v>1</v>
      </c>
      <c r="P585" cm="1">
        <f t="array" ref="P585">IF(K585=3,"",
  IFERROR(
    INDEX('Fairway Log'!$E$2:$V$70,
      MATCH(1,
        ('Fairway Log'!$A$2:$A$70=$A585)*
        ('Fairway Log'!$B$2:$B$70=$B585)*
        ('Fairway Log'!$C$2:$C656=$C585),
      0),
      MATCH($G585,'Fairway Log'!$E$1:$V$1,0)
    ),
  "")
)</f>
        <v>1</v>
      </c>
      <c r="Q585" t="str" cm="1">
        <f t="array" ref="Q585">IFERROR(
  INDEX('GIR Log'!$E$2:$V$70,
    MATCH(1,
      ('GIR Log'!$A$2:$A$70=$A585)*
      ('GIR Log'!$B$2:$B$70=$B585)*
      ('GIR Log'!$C$2:$C$70=$C585),
    0),
    MATCH($G585,'GIR Log'!$E$1:$V$1,0)
  ),
"")</f>
        <v>↓</v>
      </c>
    </row>
    <row r="586" spans="1:17" x14ac:dyDescent="0.25">
      <c r="A586" s="20" t="s">
        <v>126</v>
      </c>
      <c r="B586" s="2">
        <v>45829</v>
      </c>
      <c r="C586" s="12" t="s">
        <v>6</v>
      </c>
      <c r="D586" s="12" t="s">
        <v>75</v>
      </c>
      <c r="E586" s="12" t="s">
        <v>36</v>
      </c>
      <c r="F586">
        <v>84</v>
      </c>
      <c r="G586" s="12" t="s">
        <v>55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Log'!$E$2:$V$70,
    MATCH(1,
      ('Golf Log'!$A$2:$A$70=$A586)*
      ('Golf Log'!$B$2:$B$70=$B586)*
      ('Golf Log'!$C$2:$C$70=$C586),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Log'!$E$2:$V$70,
    MATCH(1,
      ('Putt Log'!$A$2:$A$70=$A586)*
      ('Putt Log'!$B$2:$B$70=$B586)*
      ('Putt Log'!$C$2:$C$70=$C586),
    0),
    MATCH($G586,'Putt Log'!$E$1:$V$1,0)
  ),
"")</f>
        <v>2</v>
      </c>
      <c r="P586" t="str" cm="1">
        <f t="array" ref="P586">IF(K586=3,"",
  IFERROR(
    INDEX('Fairway Log'!$E$2:$V$70,
      MATCH(1,
        ('Fairway Log'!$A$2:$A$70=$A586)*
        ('Fairway Log'!$B$2:$B$70=$B586)*
        ('Fairway Log'!$C$2:$C657=$C586),
      0),
      MATCH($G586,'Fairway Log'!$E$1:$V$1,0)
    ),
  "")
)</f>
        <v>↓</v>
      </c>
      <c r="Q586" cm="1">
        <f t="array" ref="Q586">IFERROR(
  INDEX('GIR Log'!$E$2:$V$70,
    MATCH(1,
      ('GIR Log'!$A$2:$A$70=$A586)*
      ('GIR Log'!$B$2:$B$70=$B586)*
      ('GIR Log'!$C$2:$C$70=$C586),
    0),
    MATCH($G586,'GIR Log'!$E$1:$V$1,0)
  ),
"")</f>
        <v>1</v>
      </c>
    </row>
    <row r="587" spans="1:17" x14ac:dyDescent="0.25">
      <c r="A587" s="20" t="s">
        <v>126</v>
      </c>
      <c r="B587" s="2">
        <v>45829</v>
      </c>
      <c r="C587" s="12" t="s">
        <v>6</v>
      </c>
      <c r="D587" s="12" t="s">
        <v>75</v>
      </c>
      <c r="E587" s="12" t="s">
        <v>36</v>
      </c>
      <c r="F587">
        <v>85</v>
      </c>
      <c r="G587" s="12" t="s">
        <v>56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Log'!$E$2:$V$70,
    MATCH(1,
      ('Golf Log'!$A$2:$A$70=$A587)*
      ('Golf Log'!$B$2:$B$70=$B587)*
      ('Golf Log'!$C$2:$C$70=$C587),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Log'!$E$2:$V$70,
    MATCH(1,
      ('Putt Log'!$A$2:$A$70=$A587)*
      ('Putt Log'!$B$2:$B$70=$B587)*
      ('Putt Log'!$C$2:$C$70=$C587),
    0),
    MATCH($G587,'Putt Log'!$E$1:$V$1,0)
  ),
"")</f>
        <v>2</v>
      </c>
      <c r="P587" cm="1">
        <f t="array" ref="P587">IF(K587=3,"",
  IFERROR(
    INDEX('Fairway Log'!$E$2:$V$70,
      MATCH(1,
        ('Fairway Log'!$A$2:$A$70=$A587)*
        ('Fairway Log'!$B$2:$B$70=$B587)*
        ('Fairway Log'!$C$2:$C658=$C587),
      0),
      MATCH($G587,'Fairway Log'!$E$1:$V$1,0)
    ),
  "")
)</f>
        <v>1</v>
      </c>
      <c r="Q587" cm="1">
        <f t="array" ref="Q587">IFERROR(
  INDEX('GIR Log'!$E$2:$V$70,
    MATCH(1,
      ('GIR Log'!$A$2:$A$70=$A587)*
      ('GIR Log'!$B$2:$B$70=$B587)*
      ('GIR Log'!$C$2:$C$70=$C587),
    0),
    MATCH($G587,'GIR Log'!$E$1:$V$1,0)
  ),
"")</f>
        <v>1</v>
      </c>
    </row>
    <row r="588" spans="1:17" x14ac:dyDescent="0.25">
      <c r="A588" s="20" t="s">
        <v>126</v>
      </c>
      <c r="B588" s="2">
        <v>45829</v>
      </c>
      <c r="C588" s="12" t="s">
        <v>6</v>
      </c>
      <c r="D588" s="12" t="s">
        <v>75</v>
      </c>
      <c r="E588" s="12" t="s">
        <v>36</v>
      </c>
      <c r="F588">
        <v>86</v>
      </c>
      <c r="G588" s="12" t="s">
        <v>57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Log'!$E$2:$V$70,
    MATCH(1,
      ('Golf Log'!$A$2:$A$70=$A588)*
      ('Golf Log'!$B$2:$B$70=$B588)*
      ('Golf Log'!$C$2:$C$70=$C588),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Log'!$E$2:$V$70,
    MATCH(1,
      ('Putt Log'!$A$2:$A$70=$A588)*
      ('Putt Log'!$B$2:$B$70=$B588)*
      ('Putt Log'!$C$2:$C$70=$C588),
    0),
    MATCH($G588,'Putt Log'!$E$1:$V$1,0)
  ),
"")</f>
        <v>1</v>
      </c>
      <c r="P588" cm="1">
        <f t="array" ref="P588">IF(K588=3,"",
  IFERROR(
    INDEX('Fairway Log'!$E$2:$V$70,
      MATCH(1,
        ('Fairway Log'!$A$2:$A$70=$A588)*
        ('Fairway Log'!$B$2:$B$70=$B588)*
        ('Fairway Log'!$C$2:$C659=$C588),
      0),
      MATCH($G588,'Fairway Log'!$E$1:$V$1,0)
    ),
  "")
)</f>
        <v>1</v>
      </c>
      <c r="Q588" cm="1">
        <f t="array" ref="Q588">IFERROR(
  INDEX('GIR Log'!$E$2:$V$70,
    MATCH(1,
      ('GIR Log'!$A$2:$A$70=$A588)*
      ('GIR Log'!$B$2:$B$70=$B588)*
      ('GIR Log'!$C$2:$C$70=$C588),
    0),
    MATCH($G588,'GIR Log'!$E$1:$V$1,0)
  ),
"")</f>
        <v>1</v>
      </c>
    </row>
    <row r="589" spans="1:17" x14ac:dyDescent="0.25">
      <c r="A589" s="20" t="s">
        <v>126</v>
      </c>
      <c r="B589" s="2">
        <v>45829</v>
      </c>
      <c r="C589" s="12" t="s">
        <v>6</v>
      </c>
      <c r="D589" s="12" t="s">
        <v>75</v>
      </c>
      <c r="E589" s="12" t="s">
        <v>36</v>
      </c>
      <c r="F589">
        <v>87</v>
      </c>
      <c r="G589" s="12" t="s">
        <v>58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Log'!$E$2:$V$70,
    MATCH(1,
      ('Golf Log'!$A$2:$A$70=$A589)*
      ('Golf Log'!$B$2:$B$70=$B589)*
      ('Golf Log'!$C$2:$C$70=$C589),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Log'!$E$2:$V$70,
    MATCH(1,
      ('Putt Log'!$A$2:$A$70=$A589)*
      ('Putt Log'!$B$2:$B$70=$B589)*
      ('Putt Log'!$C$2:$C$70=$C589),
    0),
    MATCH($G589,'Putt Log'!$E$1:$V$1,0)
  ),
"")</f>
        <v>1</v>
      </c>
      <c r="P589" t="str" cm="1">
        <f t="array" ref="P589">IF(K589=3,"",
  IFERROR(
    INDEX('Fairway Log'!$E$2:$V$70,
      MATCH(1,
        ('Fairway Log'!$A$2:$A$70=$A589)*
        ('Fairway Log'!$B$2:$B$70=$B589)*
        ('Fairway Log'!$C$2:$C660=$C589),
      0),
      MATCH($G589,'Fairway Log'!$E$1:$V$1,0)
    ),
  "")
)</f>
        <v>→</v>
      </c>
      <c r="Q589" t="str" cm="1">
        <f t="array" ref="Q589">IFERROR(
  INDEX('GIR Log'!$E$2:$V$70,
    MATCH(1,
      ('GIR Log'!$A$2:$A$70=$A589)*
      ('GIR Log'!$B$2:$B$70=$B589)*
      ('GIR Log'!$C$2:$C$70=$C589),
    0),
    MATCH($G589,'GIR Log'!$E$1:$V$1,0)
  ),
"")</f>
        <v>→</v>
      </c>
    </row>
    <row r="590" spans="1:17" x14ac:dyDescent="0.25">
      <c r="A590" s="20" t="s">
        <v>126</v>
      </c>
      <c r="B590" s="2">
        <v>45829</v>
      </c>
      <c r="C590" s="12" t="s">
        <v>6</v>
      </c>
      <c r="D590" s="12" t="s">
        <v>75</v>
      </c>
      <c r="E590" s="12" t="s">
        <v>36</v>
      </c>
      <c r="F590">
        <v>88</v>
      </c>
      <c r="G590" s="12" t="s">
        <v>59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Log'!$E$2:$V$70,
    MATCH(1,
      ('Golf Log'!$A$2:$A$70=$A590)*
      ('Golf Log'!$B$2:$B$70=$B590)*
      ('Golf Log'!$C$2:$C$70=$C590),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Log'!$E$2:$V$70,
    MATCH(1,
      ('Putt Log'!$A$2:$A$70=$A590)*
      ('Putt Log'!$B$2:$B$70=$B590)*
      ('Putt Log'!$C$2:$C$70=$C590),
    0),
    MATCH($G590,'Putt Log'!$E$1:$V$1,0)
  ),
"")</f>
        <v>2</v>
      </c>
      <c r="P590" t="str" cm="1">
        <f t="array" ref="P590">IF(K590=3,"",
  IFERROR(
    INDEX('Fairway Log'!$E$2:$V$70,
      MATCH(1,
        ('Fairway Log'!$A$2:$A$70=$A590)*
        ('Fairway Log'!$B$2:$B$70=$B590)*
        ('Fairway Log'!$C$2:$C661=$C590),
      0),
      MATCH($G590,'Fairway Log'!$E$1:$V$1,0)
    ),
  "")
)</f>
        <v>→</v>
      </c>
      <c r="Q590" t="str" cm="1">
        <f t="array" ref="Q590">IFERROR(
  INDEX('GIR Log'!$E$2:$V$70,
    MATCH(1,
      ('GIR Log'!$A$2:$A$70=$A590)*
      ('GIR Log'!$B$2:$B$70=$B590)*
      ('GIR Log'!$C$2:$C$70=$C590),
    0),
    MATCH($G590,'GIR Log'!$E$1:$V$1,0)
  ),
"")</f>
        <v>↓</v>
      </c>
    </row>
    <row r="591" spans="1:17" x14ac:dyDescent="0.25">
      <c r="A591" s="20" t="s">
        <v>126</v>
      </c>
      <c r="B591" s="2">
        <v>45829</v>
      </c>
      <c r="C591" s="12" t="s">
        <v>6</v>
      </c>
      <c r="D591" s="12" t="s">
        <v>75</v>
      </c>
      <c r="E591" s="12" t="s">
        <v>36</v>
      </c>
      <c r="F591">
        <v>89</v>
      </c>
      <c r="G591" s="12" t="s">
        <v>60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Log'!$E$2:$V$70,
    MATCH(1,
      ('Golf Log'!$A$2:$A$70=$A591)*
      ('Golf Log'!$B$2:$B$70=$B591)*
      ('Golf Log'!$C$2:$C$70=$C591),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Log'!$E$2:$V$70,
    MATCH(1,
      ('Putt Log'!$A$2:$A$70=$A591)*
      ('Putt Log'!$B$2:$B$70=$B591)*
      ('Putt Log'!$C$2:$C$70=$C591),
    0),
    MATCH($G591,'Putt Log'!$E$1:$V$1,0)
  ),
"")</f>
        <v>1</v>
      </c>
      <c r="P591" t="str" cm="1">
        <f t="array" ref="P591">IF(K591=3,"",
  IFERROR(
    INDEX('Fairway Log'!$E$2:$V$70,
      MATCH(1,
        ('Fairway Log'!$A$2:$A$70=$A591)*
        ('Fairway Log'!$B$2:$B$70=$B591)*
        ('Fairway Log'!$C$2:$C662=$C591),
      0),
      MATCH($G591,'Fairway Log'!$E$1:$V$1,0)
    ),
  "")
)</f>
        <v/>
      </c>
      <c r="Q591" t="str" cm="1">
        <f t="array" ref="Q591">IFERROR(
  INDEX('GIR Log'!$E$2:$V$70,
    MATCH(1,
      ('GIR Log'!$A$2:$A$70=$A591)*
      ('GIR Log'!$B$2:$B$70=$B591)*
      ('GIR Log'!$C$2:$C$70=$C591),
    0),
    MATCH($G591,'GIR Log'!$E$1:$V$1,0)
  ),
"")</f>
        <v>↓</v>
      </c>
    </row>
    <row r="592" spans="1:17" x14ac:dyDescent="0.25">
      <c r="A592" s="20" t="s">
        <v>126</v>
      </c>
      <c r="B592" s="2">
        <v>45829</v>
      </c>
      <c r="C592" s="12" t="s">
        <v>6</v>
      </c>
      <c r="D592" s="12" t="s">
        <v>75</v>
      </c>
      <c r="E592" s="12" t="s">
        <v>36</v>
      </c>
      <c r="F592">
        <v>90</v>
      </c>
      <c r="G592" s="12" t="s">
        <v>61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Log'!$E$2:$V$70,
    MATCH(1,
      ('Golf Log'!$A$2:$A$70=$A592)*
      ('Golf Log'!$B$2:$B$70=$B592)*
      ('Golf Log'!$C$2:$C$70=$C592),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Log'!$E$2:$V$70,
    MATCH(1,
      ('Putt Log'!$A$2:$A$70=$A592)*
      ('Putt Log'!$B$2:$B$70=$B592)*
      ('Putt Log'!$C$2:$C$70=$C592),
    0),
    MATCH($G592,'Putt Log'!$E$1:$V$1,0)
  ),
"")</f>
        <v>1</v>
      </c>
      <c r="P592" t="str" cm="1">
        <f t="array" ref="P592">IF(K592=3,"",
  IFERROR(
    INDEX('Fairway Log'!$E$2:$V$70,
      MATCH(1,
        ('Fairway Log'!$A$2:$A$70=$A592)*
        ('Fairway Log'!$B$2:$B$70=$B592)*
        ('Fairway Log'!$C$2:$C663=$C592),
      0),
      MATCH($G592,'Fairway Log'!$E$1:$V$1,0)
    ),
  "")
)</f>
        <v>→</v>
      </c>
      <c r="Q592" t="str" cm="1">
        <f t="array" ref="Q592">IFERROR(
  INDEX('GIR Log'!$E$2:$V$70,
    MATCH(1,
      ('GIR Log'!$A$2:$A$70=$A592)*
      ('GIR Log'!$B$2:$B$70=$B592)*
      ('GIR Log'!$C$2:$C$70=$C592),
    0),
    MATCH($G592,'GIR Log'!$E$1:$V$1,0)
  ),
"")</f>
        <v>←</v>
      </c>
    </row>
    <row r="593" spans="1:17" x14ac:dyDescent="0.25">
      <c r="A593" s="20" t="s">
        <v>126</v>
      </c>
      <c r="B593" s="2">
        <v>45829</v>
      </c>
      <c r="C593" s="12" t="s">
        <v>6</v>
      </c>
      <c r="D593" s="12" t="s">
        <v>75</v>
      </c>
      <c r="E593" s="12" t="s">
        <v>36</v>
      </c>
      <c r="F593">
        <v>91</v>
      </c>
      <c r="G593" s="12" t="s">
        <v>62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Log'!$E$2:$V$70,
    MATCH(1,
      ('Golf Log'!$A$2:$A$70=$A593)*
      ('Golf Log'!$B$2:$B$70=$B593)*
      ('Golf Log'!$C$2:$C$70=$C593),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Log'!$E$2:$V$70,
    MATCH(1,
      ('Putt Log'!$A$2:$A$70=$A593)*
      ('Putt Log'!$B$2:$B$70=$B593)*
      ('Putt Log'!$C$2:$C$70=$C593),
    0),
    MATCH($G593,'Putt Log'!$E$1:$V$1,0)
  ),
"")</f>
        <v>2</v>
      </c>
      <c r="P593" cm="1">
        <f t="array" ref="P593">IF(K593=3,"",
  IFERROR(
    INDEX('Fairway Log'!$E$2:$V$70,
      MATCH(1,
        ('Fairway Log'!$A$2:$A$70=$A593)*
        ('Fairway Log'!$B$2:$B$70=$B593)*
        ('Fairway Log'!$C$2:$C664=$C593),
      0),
      MATCH($G593,'Fairway Log'!$E$1:$V$1,0)
    ),
  "")
)</f>
        <v>1</v>
      </c>
      <c r="Q593" cm="1">
        <f t="array" ref="Q593">IFERROR(
  INDEX('GIR Log'!$E$2:$V$70,
    MATCH(1,
      ('GIR Log'!$A$2:$A$70=$A593)*
      ('GIR Log'!$B$2:$B$70=$B593)*
      ('GIR Log'!$C$2:$C$70=$C593),
    0),
    MATCH($G593,'GIR Log'!$E$1:$V$1,0)
  ),
"")</f>
        <v>1</v>
      </c>
    </row>
    <row r="594" spans="1:17" x14ac:dyDescent="0.25">
      <c r="A594" s="20" t="s">
        <v>126</v>
      </c>
      <c r="B594" s="2">
        <v>45829</v>
      </c>
      <c r="C594" s="12" t="s">
        <v>6</v>
      </c>
      <c r="D594" s="12" t="s">
        <v>75</v>
      </c>
      <c r="E594" s="12" t="s">
        <v>36</v>
      </c>
      <c r="F594">
        <v>92</v>
      </c>
      <c r="G594" s="12" t="s">
        <v>63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Log'!$E$2:$V$70,
    MATCH(1,
      ('Golf Log'!$A$2:$A$70=$A594)*
      ('Golf Log'!$B$2:$B$70=$B594)*
      ('Golf Log'!$C$2:$C$70=$C594),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Log'!$E$2:$V$70,
    MATCH(1,
      ('Putt Log'!$A$2:$A$70=$A594)*
      ('Putt Log'!$B$2:$B$70=$B594)*
      ('Putt Log'!$C$2:$C$70=$C594),
    0),
    MATCH($G594,'Putt Log'!$E$1:$V$1,0)
  ),
"")</f>
        <v>2</v>
      </c>
      <c r="P594" cm="1">
        <f t="array" ref="P594">IF(K594=3,"",
  IFERROR(
    INDEX('Fairway Log'!$E$2:$V$70,
      MATCH(1,
        ('Fairway Log'!$A$2:$A$70=$A594)*
        ('Fairway Log'!$B$2:$B$70=$B594)*
        ('Fairway Log'!$C$2:$C665=$C594),
      0),
      MATCH($G594,'Fairway Log'!$E$1:$V$1,0)
    ),
  "")
)</f>
        <v>1</v>
      </c>
      <c r="Q594" cm="1">
        <f t="array" ref="Q594">IFERROR(
  INDEX('GIR Log'!$E$2:$V$70,
    MATCH(1,
      ('GIR Log'!$A$2:$A$70=$A594)*
      ('GIR Log'!$B$2:$B$70=$B594)*
      ('GIR Log'!$C$2:$C$70=$C594),
    0),
    MATCH($G594,'GIR Log'!$E$1:$V$1,0)
  ),
"")</f>
        <v>1</v>
      </c>
    </row>
    <row r="595" spans="1:17" x14ac:dyDescent="0.25">
      <c r="A595" s="20" t="s">
        <v>126</v>
      </c>
      <c r="B595" s="2">
        <v>45829</v>
      </c>
      <c r="C595" s="12" t="s">
        <v>6</v>
      </c>
      <c r="D595" s="12" t="s">
        <v>75</v>
      </c>
      <c r="E595" s="12" t="s">
        <v>36</v>
      </c>
      <c r="F595">
        <v>93</v>
      </c>
      <c r="G595" s="12" t="s">
        <v>64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Log'!$E$2:$V$70,
    MATCH(1,
      ('Golf Log'!$A$2:$A$70=$A595)*
      ('Golf Log'!$B$2:$B$70=$B595)*
      ('Golf Log'!$C$2:$C$70=$C595),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Log'!$E$2:$V$70,
    MATCH(1,
      ('Putt Log'!$A$2:$A$70=$A595)*
      ('Putt Log'!$B$2:$B$70=$B595)*
      ('Putt Log'!$C$2:$C$70=$C595),
    0),
    MATCH($G595,'Putt Log'!$E$1:$V$1,0)
  ),
"")</f>
        <v>1</v>
      </c>
      <c r="P595" cm="1">
        <f t="array" ref="P595">IF(K595=3,"",
  IFERROR(
    INDEX('Fairway Log'!$E$2:$V$70,
      MATCH(1,
        ('Fairway Log'!$A$2:$A$70=$A595)*
        ('Fairway Log'!$B$2:$B$70=$B595)*
        ('Fairway Log'!$C$2:$C666=$C595),
      0),
      MATCH($G595,'Fairway Log'!$E$1:$V$1,0)
    ),
  "")
)</f>
        <v>1</v>
      </c>
      <c r="Q595" t="str" cm="1">
        <f t="array" ref="Q595">IFERROR(
  INDEX('GIR Log'!$E$2:$V$70,
    MATCH(1,
      ('GIR Log'!$A$2:$A$70=$A595)*
      ('GIR Log'!$B$2:$B$70=$B595)*
      ('GIR Log'!$C$2:$C$70=$C595),
    0),
    MATCH($G595,'GIR Log'!$E$1:$V$1,0)
  ),
"")</f>
        <v>→</v>
      </c>
    </row>
    <row r="596" spans="1:17" x14ac:dyDescent="0.25">
      <c r="A596" s="20" t="s">
        <v>126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47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Log'!$E$2:$V$70,
    MATCH(1,
      ('Golf Log'!$A$2:$A$70=$A596)*
      ('Golf Log'!$B$2:$B$70=$B596)*
      ('Golf Log'!$C$2:$C$70=$C596),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Log'!$E$2:$V$70,
    MATCH(1,
      ('Putt Log'!$A$2:$A$70=$A596)*
      ('Putt Log'!$B$2:$B$70=$B596)*
      ('Putt Log'!$C$2:$C$70=$C596),
    0),
    MATCH($G596,'Putt Log'!$E$1:$V$1,0)
  ),
"")</f>
        <v>2</v>
      </c>
      <c r="P596" t="str" cm="1">
        <f t="array" ref="P596">IF(K596=3,"",
  IFERROR(
    INDEX('Fairway Log'!$E$2:$V$70,
      MATCH(1,
        ('Fairway Log'!$A$2:$A$70=$A596)*
        ('Fairway Log'!$B$2:$B$70=$B596)*
        ('Fairway Log'!$C$2:$C667=$C596),
      0),
      MATCH($G596,'Fairway Log'!$E$1:$V$1,0)
    ),
  "")
)</f>
        <v>→</v>
      </c>
      <c r="Q596" t="str" cm="1">
        <f t="array" ref="Q596">IFERROR(
  INDEX('GIR Log'!$E$2:$V$70,
    MATCH(1,
      ('GIR Log'!$A$2:$A$70=$A596)*
      ('GIR Log'!$B$2:$B$70=$B596)*
      ('GIR Log'!$C$2:$C$70=$C596),
    0),
    MATCH($G596,'GIR Log'!$E$1:$V$1,0)
  ),
"")</f>
        <v>↓</v>
      </c>
    </row>
    <row r="597" spans="1:17" x14ac:dyDescent="0.25">
      <c r="A597" s="20" t="s">
        <v>126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48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Log'!$E$2:$V$70,
    MATCH(1,
      ('Golf Log'!$A$2:$A$70=$A597)*
      ('Golf Log'!$B$2:$B$70=$B597)*
      ('Golf Log'!$C$2:$C$70=$C597),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Log'!$E$2:$V$70,
    MATCH(1,
      ('Putt Log'!$A$2:$A$70=$A597)*
      ('Putt Log'!$B$2:$B$70=$B597)*
      ('Putt Log'!$C$2:$C$70=$C597),
    0),
    MATCH($G597,'Putt Log'!$E$1:$V$1,0)
  ),
"")</f>
        <v>2</v>
      </c>
      <c r="P597" cm="1">
        <f t="array" ref="P597">IF(K597=3,"",
  IFERROR(
    INDEX('Fairway Log'!$E$2:$V$70,
      MATCH(1,
        ('Fairway Log'!$A$2:$A$70=$A597)*
        ('Fairway Log'!$B$2:$B$70=$B597)*
        ('Fairway Log'!$C$2:$C668=$C597),
      0),
      MATCH($G597,'Fairway Log'!$E$1:$V$1,0)
    ),
  "")
)</f>
        <v>1</v>
      </c>
      <c r="Q597" t="str" cm="1">
        <f t="array" ref="Q597">IFERROR(
  INDEX('GIR Log'!$E$2:$V$70,
    MATCH(1,
      ('GIR Log'!$A$2:$A$70=$A597)*
      ('GIR Log'!$B$2:$B$70=$B597)*
      ('GIR Log'!$C$2:$C$70=$C597),
    0),
    MATCH($G597,'GIR Log'!$E$1:$V$1,0)
  ),
"")</f>
        <v>→</v>
      </c>
    </row>
    <row r="598" spans="1:17" x14ac:dyDescent="0.25">
      <c r="A598" s="20" t="s">
        <v>126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49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Log'!$E$2:$V$70,
    MATCH(1,
      ('Golf Log'!$A$2:$A$70=$A598)*
      ('Golf Log'!$B$2:$B$70=$B598)*
      ('Golf Log'!$C$2:$C$70=$C598),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Log'!$E$2:$V$70,
    MATCH(1,
      ('Putt Log'!$A$2:$A$70=$A598)*
      ('Putt Log'!$B$2:$B$70=$B598)*
      ('Putt Log'!$C$2:$C$70=$C598),
    0),
    MATCH($G598,'Putt Log'!$E$1:$V$1,0)
  ),
"")</f>
        <v>2</v>
      </c>
      <c r="P598" t="str" cm="1">
        <f t="array" ref="P598">IF(K598=3,"",
  IFERROR(
    INDEX('Fairway Log'!$E$2:$V$70,
      MATCH(1,
        ('Fairway Log'!$A$2:$A$70=$A598)*
        ('Fairway Log'!$B$2:$B$70=$B598)*
        ('Fairway Log'!$C$2:$C669=$C598),
      0),
      MATCH($G598,'Fairway Log'!$E$1:$V$1,0)
    ),
  "")
)</f>
        <v/>
      </c>
      <c r="Q598" t="str" cm="1">
        <f t="array" ref="Q598">IFERROR(
  INDEX('GIR Log'!$E$2:$V$70,
    MATCH(1,
      ('GIR Log'!$A$2:$A$70=$A598)*
      ('GIR Log'!$B$2:$B$70=$B598)*
      ('GIR Log'!$C$2:$C$70=$C598),
    0),
    MATCH($G598,'GIR Log'!$E$1:$V$1,0)
  ),
"")</f>
        <v>↓</v>
      </c>
    </row>
    <row r="599" spans="1:17" x14ac:dyDescent="0.25">
      <c r="A599" s="20" t="s">
        <v>126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50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Log'!$E$2:$V$70,
    MATCH(1,
      ('Golf Log'!$A$2:$A$70=$A599)*
      ('Golf Log'!$B$2:$B$70=$B599)*
      ('Golf Log'!$C$2:$C$70=$C599),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Log'!$E$2:$V$70,
    MATCH(1,
      ('Putt Log'!$A$2:$A$70=$A599)*
      ('Putt Log'!$B$2:$B$70=$B599)*
      ('Putt Log'!$C$2:$C$70=$C599),
    0),
    MATCH($G599,'Putt Log'!$E$1:$V$1,0)
  ),
"")</f>
        <v>2</v>
      </c>
      <c r="P599" t="str" cm="1">
        <f t="array" ref="P599">IF(K599=3,"",
  IFERROR(
    INDEX('Fairway Log'!$E$2:$V$70,
      MATCH(1,
        ('Fairway Log'!$A$2:$A$70=$A599)*
        ('Fairway Log'!$B$2:$B$70=$B599)*
        ('Fairway Log'!$C$2:$C670=$C599),
      0),
      MATCH($G599,'Fairway Log'!$E$1:$V$1,0)
    ),
  "")
)</f>
        <v>→</v>
      </c>
      <c r="Q599" cm="1">
        <f t="array" ref="Q599">IFERROR(
  INDEX('GIR Log'!$E$2:$V$70,
    MATCH(1,
      ('GIR Log'!$A$2:$A$70=$A599)*
      ('GIR Log'!$B$2:$B$70=$B599)*
      ('GIR Log'!$C$2:$C$70=$C599),
    0),
    MATCH($G599,'GIR Log'!$E$1:$V$1,0)
  ),
"")</f>
        <v>1</v>
      </c>
    </row>
    <row r="600" spans="1:17" x14ac:dyDescent="0.25">
      <c r="A600" s="20" t="s">
        <v>126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51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Log'!$E$2:$V$70,
    MATCH(1,
      ('Golf Log'!$A$2:$A$70=$A600)*
      ('Golf Log'!$B$2:$B$70=$B600)*
      ('Golf Log'!$C$2:$C$70=$C600),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Log'!$E$2:$V$70,
    MATCH(1,
      ('Putt Log'!$A$2:$A$70=$A600)*
      ('Putt Log'!$B$2:$B$70=$B600)*
      ('Putt Log'!$C$2:$C$70=$C600),
    0),
    MATCH($G600,'Putt Log'!$E$1:$V$1,0)
  ),
"")</f>
        <v>2</v>
      </c>
      <c r="P600" t="str" cm="1">
        <f t="array" ref="P600">IF(K600=3,"",
  IFERROR(
    INDEX('Fairway Log'!$E$2:$V$70,
      MATCH(1,
        ('Fairway Log'!$A$2:$A$70=$A600)*
        ('Fairway Log'!$B$2:$B$70=$B600)*
        ('Fairway Log'!$C$2:$C671=$C600),
      0),
      MATCH($G600,'Fairway Log'!$E$1:$V$1,0)
    ),
  "")
)</f>
        <v>↑</v>
      </c>
      <c r="Q600" t="str" cm="1">
        <f t="array" ref="Q600">IFERROR(
  INDEX('GIR Log'!$E$2:$V$70,
    MATCH(1,
      ('GIR Log'!$A$2:$A$70=$A600)*
      ('GIR Log'!$B$2:$B$70=$B600)*
      ('GIR Log'!$C$2:$C$70=$C600),
    0),
    MATCH($G600,'GIR Log'!$E$1:$V$1,0)
  ),
"")</f>
        <v>↓</v>
      </c>
    </row>
    <row r="601" spans="1:17" x14ac:dyDescent="0.25">
      <c r="A601" s="20" t="s">
        <v>126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52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Log'!$E$2:$V$70,
    MATCH(1,
      ('Golf Log'!$A$2:$A$70=$A601)*
      ('Golf Log'!$B$2:$B$70=$B601)*
      ('Golf Log'!$C$2:$C$70=$C601),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Log'!$E$2:$V$70,
    MATCH(1,
      ('Putt Log'!$A$2:$A$70=$A601)*
      ('Putt Log'!$B$2:$B$70=$B601)*
      ('Putt Log'!$C$2:$C$70=$C601),
    0),
    MATCH($G601,'Putt Log'!$E$1:$V$1,0)
  ),
"")</f>
        <v>2</v>
      </c>
      <c r="P601" cm="1">
        <f t="array" ref="P601">IF(K601=3,"",
  IFERROR(
    INDEX('Fairway Log'!$E$2:$V$70,
      MATCH(1,
        ('Fairway Log'!$A$2:$A$70=$A601)*
        ('Fairway Log'!$B$2:$B$70=$B601)*
        ('Fairway Log'!$C$2:$C672=$C601),
      0),
      MATCH($G601,'Fairway Log'!$E$1:$V$1,0)
    ),
  "")
)</f>
        <v>1</v>
      </c>
      <c r="Q601" cm="1">
        <f t="array" ref="Q601">IFERROR(
  INDEX('GIR Log'!$E$2:$V$70,
    MATCH(1,
      ('GIR Log'!$A$2:$A$70=$A601)*
      ('GIR Log'!$B$2:$B$70=$B601)*
      ('GIR Log'!$C$2:$C$70=$C601),
    0),
    MATCH($G601,'GIR Log'!$E$1:$V$1,0)
  ),
"")</f>
        <v>1</v>
      </c>
    </row>
    <row r="602" spans="1:17" x14ac:dyDescent="0.25">
      <c r="A602" s="20" t="s">
        <v>126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53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Log'!$E$2:$V$70,
    MATCH(1,
      ('Golf Log'!$A$2:$A$70=$A602)*
      ('Golf Log'!$B$2:$B$70=$B602)*
      ('Golf Log'!$C$2:$C$70=$C602),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Log'!$E$2:$V$70,
    MATCH(1,
      ('Putt Log'!$A$2:$A$70=$A602)*
      ('Putt Log'!$B$2:$B$70=$B602)*
      ('Putt Log'!$C$2:$C$70=$C602),
    0),
    MATCH($G602,'Putt Log'!$E$1:$V$1,0)
  ),
"")</f>
        <v>2</v>
      </c>
      <c r="P602" t="str" cm="1">
        <f t="array" ref="P602">IF(K602=3,"",
  IFERROR(
    INDEX('Fairway Log'!$E$2:$V$70,
      MATCH(1,
        ('Fairway Log'!$A$2:$A$70=$A602)*
        ('Fairway Log'!$B$2:$B$70=$B602)*
        ('Fairway Log'!$C$2:$C673=$C602),
      0),
      MATCH($G602,'Fairway Log'!$E$1:$V$1,0)
    ),
  "")
)</f>
        <v/>
      </c>
      <c r="Q602" t="str" cm="1">
        <f t="array" ref="Q602">IFERROR(
  INDEX('GIR Log'!$E$2:$V$70,
    MATCH(1,
      ('GIR Log'!$A$2:$A$70=$A602)*
      ('GIR Log'!$B$2:$B$70=$B602)*
      ('GIR Log'!$C$2:$C$70=$C602),
    0),
    MATCH($G602,'GIR Log'!$E$1:$V$1,0)
  ),
"")</f>
        <v>→</v>
      </c>
    </row>
    <row r="603" spans="1:17" x14ac:dyDescent="0.25">
      <c r="A603" s="20" t="s">
        <v>126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54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Log'!$E$2:$V$70,
    MATCH(1,
      ('Golf Log'!$A$2:$A$70=$A603)*
      ('Golf Log'!$B$2:$B$70=$B603)*
      ('Golf Log'!$C$2:$C$70=$C603),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Log'!$E$2:$V$70,
    MATCH(1,
      ('Putt Log'!$A$2:$A$70=$A603)*
      ('Putt Log'!$B$2:$B$70=$B603)*
      ('Putt Log'!$C$2:$C$70=$C603),
    0),
    MATCH($G603,'Putt Log'!$E$1:$V$1,0)
  ),
"")</f>
        <v>2</v>
      </c>
      <c r="P603" cm="1">
        <f t="array" ref="P603">IF(K603=3,"",
  IFERROR(
    INDEX('Fairway Log'!$E$2:$V$70,
      MATCH(1,
        ('Fairway Log'!$A$2:$A$70=$A603)*
        ('Fairway Log'!$B$2:$B$70=$B603)*
        ('Fairway Log'!$C$2:$C674=$C603),
      0),
      MATCH($G603,'Fairway Log'!$E$1:$V$1,0)
    ),
  "")
)</f>
        <v>1</v>
      </c>
      <c r="Q603" cm="1">
        <f t="array" ref="Q603">IFERROR(
  INDEX('GIR Log'!$E$2:$V$70,
    MATCH(1,
      ('GIR Log'!$A$2:$A$70=$A603)*
      ('GIR Log'!$B$2:$B$70=$B603)*
      ('GIR Log'!$C$2:$C$70=$C603),
    0),
    MATCH($G603,'GIR Log'!$E$1:$V$1,0)
  ),
"")</f>
        <v>1</v>
      </c>
    </row>
    <row r="604" spans="1:17" x14ac:dyDescent="0.25">
      <c r="A604" s="20" t="s">
        <v>126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55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Log'!$E$2:$V$70,
    MATCH(1,
      ('Golf Log'!$A$2:$A$70=$A604)*
      ('Golf Log'!$B$2:$B$70=$B604)*
      ('Golf Log'!$C$2:$C$70=$C604),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Log'!$E$2:$V$70,
    MATCH(1,
      ('Putt Log'!$A$2:$A$70=$A604)*
      ('Putt Log'!$B$2:$B$70=$B604)*
      ('Putt Log'!$C$2:$C$70=$C604),
    0),
    MATCH($G604,'Putt Log'!$E$1:$V$1,0)
  ),
"")</f>
        <v>1</v>
      </c>
      <c r="P604" t="str" cm="1">
        <f t="array" ref="P604">IF(K604=3,"",
  IFERROR(
    INDEX('Fairway Log'!$E$2:$V$70,
      MATCH(1,
        ('Fairway Log'!$A$2:$A$70=$A604)*
        ('Fairway Log'!$B$2:$B$70=$B604)*
        ('Fairway Log'!$C$2:$C675=$C604),
      0),
      MATCH($G604,'Fairway Log'!$E$1:$V$1,0)
    ),
  "")
)</f>
        <v>→</v>
      </c>
      <c r="Q604" cm="1">
        <f t="array" ref="Q604">IFERROR(
  INDEX('GIR Log'!$E$2:$V$70,
    MATCH(1,
      ('GIR Log'!$A$2:$A$70=$A604)*
      ('GIR Log'!$B$2:$B$70=$B604)*
      ('GIR Log'!$C$2:$C$70=$C604),
    0),
    MATCH($G604,'GIR Log'!$E$1:$V$1,0)
  ),
"")</f>
        <v>1</v>
      </c>
    </row>
    <row r="605" spans="1:17" x14ac:dyDescent="0.25">
      <c r="A605" s="20" t="s">
        <v>126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56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Log'!$E$2:$V$70,
    MATCH(1,
      ('Golf Log'!$A$2:$A$70=$A605)*
      ('Golf Log'!$B$2:$B$70=$B605)*
      ('Golf Log'!$C$2:$C$70=$C605),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Log'!$E$2:$V$70,
    MATCH(1,
      ('Putt Log'!$A$2:$A$70=$A605)*
      ('Putt Log'!$B$2:$B$70=$B605)*
      ('Putt Log'!$C$2:$C$70=$C605),
    0),
    MATCH($G605,'Putt Log'!$E$1:$V$1,0)
  ),
"")</f>
        <v>1</v>
      </c>
      <c r="P605" cm="1">
        <f t="array" ref="P605">IF(K605=3,"",
  IFERROR(
    INDEX('Fairway Log'!$E$2:$V$70,
      MATCH(1,
        ('Fairway Log'!$A$2:$A$70=$A605)*
        ('Fairway Log'!$B$2:$B$70=$B605)*
        ('Fairway Log'!$C$2:$C676=$C605),
      0),
      MATCH($G605,'Fairway Log'!$E$1:$V$1,0)
    ),
  "")
)</f>
        <v>1</v>
      </c>
      <c r="Q605" t="str" cm="1">
        <f t="array" ref="Q605">IFERROR(
  INDEX('GIR Log'!$E$2:$V$70,
    MATCH(1,
      ('GIR Log'!$A$2:$A$70=$A605)*
      ('GIR Log'!$B$2:$B$70=$B605)*
      ('GIR Log'!$C$2:$C$70=$C605),
    0),
    MATCH($G605,'GIR Log'!$E$1:$V$1,0)
  ),
"")</f>
        <v>↓</v>
      </c>
    </row>
    <row r="606" spans="1:17" x14ac:dyDescent="0.25">
      <c r="A606" s="20" t="s">
        <v>126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57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Log'!$E$2:$V$70,
    MATCH(1,
      ('Golf Log'!$A$2:$A$70=$A606)*
      ('Golf Log'!$B$2:$B$70=$B606)*
      ('Golf Log'!$C$2:$C$70=$C606),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Log'!$E$2:$V$70,
    MATCH(1,
      ('Putt Log'!$A$2:$A$70=$A606)*
      ('Putt Log'!$B$2:$B$70=$B606)*
      ('Putt Log'!$C$2:$C$70=$C606),
    0),
    MATCH($G606,'Putt Log'!$E$1:$V$1,0)
  ),
"")</f>
        <v>2</v>
      </c>
      <c r="P606" t="str" cm="1">
        <f t="array" ref="P606">IF(K606=3,"",
  IFERROR(
    INDEX('Fairway Log'!$E$2:$V$70,
      MATCH(1,
        ('Fairway Log'!$A$2:$A$70=$A606)*
        ('Fairway Log'!$B$2:$B$70=$B606)*
        ('Fairway Log'!$C$2:$C677=$C606),
      0),
      MATCH($G606,'Fairway Log'!$E$1:$V$1,0)
    ),
  "")
)</f>
        <v/>
      </c>
      <c r="Q606" t="str" cm="1">
        <f t="array" ref="Q606">IFERROR(
  INDEX('GIR Log'!$E$2:$V$70,
    MATCH(1,
      ('GIR Log'!$A$2:$A$70=$A606)*
      ('GIR Log'!$B$2:$B$70=$B606)*
      ('GIR Log'!$C$2:$C$70=$C606),
    0),
    MATCH($G606,'GIR Log'!$E$1:$V$1,0)
  ),
"")</f>
        <v>→</v>
      </c>
    </row>
    <row r="607" spans="1:17" x14ac:dyDescent="0.25">
      <c r="A607" s="20" t="s">
        <v>126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58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Log'!$E$2:$V$70,
    MATCH(1,
      ('Golf Log'!$A$2:$A$70=$A607)*
      ('Golf Log'!$B$2:$B$70=$B607)*
      ('Golf Log'!$C$2:$C$70=$C607),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Log'!$E$2:$V$70,
    MATCH(1,
      ('Putt Log'!$A$2:$A$70=$A607)*
      ('Putt Log'!$B$2:$B$70=$B607)*
      ('Putt Log'!$C$2:$C$70=$C607),
    0),
    MATCH($G607,'Putt Log'!$E$1:$V$1,0)
  ),
"")</f>
        <v>1</v>
      </c>
      <c r="P607" cm="1">
        <f t="array" ref="P607">IF(K607=3,"",
  IFERROR(
    INDEX('Fairway Log'!$E$2:$V$70,
      MATCH(1,
        ('Fairway Log'!$A$2:$A$70=$A607)*
        ('Fairway Log'!$B$2:$B$70=$B607)*
        ('Fairway Log'!$C$2:$C678=$C607),
      0),
      MATCH($G607,'Fairway Log'!$E$1:$V$1,0)
    ),
  "")
)</f>
        <v>1</v>
      </c>
      <c r="Q607" cm="1">
        <f t="array" ref="Q607">IFERROR(
  INDEX('GIR Log'!$E$2:$V$70,
    MATCH(1,
      ('GIR Log'!$A$2:$A$70=$A607)*
      ('GIR Log'!$B$2:$B$70=$B607)*
      ('GIR Log'!$C$2:$C$70=$C607),
    0),
    MATCH($G607,'GIR Log'!$E$1:$V$1,0)
  ),
"")</f>
        <v>1</v>
      </c>
    </row>
    <row r="608" spans="1:17" x14ac:dyDescent="0.25">
      <c r="A608" s="20" t="s">
        <v>126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59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Log'!$E$2:$V$70,
    MATCH(1,
      ('Golf Log'!$A$2:$A$70=$A608)*
      ('Golf Log'!$B$2:$B$70=$B608)*
      ('Golf Log'!$C$2:$C$70=$C608),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Log'!$E$2:$V$70,
    MATCH(1,
      ('Putt Log'!$A$2:$A$70=$A608)*
      ('Putt Log'!$B$2:$B$70=$B608)*
      ('Putt Log'!$C$2:$C$70=$C608),
    0),
    MATCH($G608,'Putt Log'!$E$1:$V$1,0)
  ),
"")</f>
        <v>2</v>
      </c>
      <c r="P608" cm="1">
        <f t="array" ref="P608">IF(K608=3,"",
  IFERROR(
    INDEX('Fairway Log'!$E$2:$V$70,
      MATCH(1,
        ('Fairway Log'!$A$2:$A$70=$A608)*
        ('Fairway Log'!$B$2:$B$70=$B608)*
        ('Fairway Log'!$C$2:$C679=$C608),
      0),
      MATCH($G608,'Fairway Log'!$E$1:$V$1,0)
    ),
  "")
)</f>
        <v>1</v>
      </c>
      <c r="Q608" cm="1">
        <f t="array" ref="Q608">IFERROR(
  INDEX('GIR Log'!$E$2:$V$70,
    MATCH(1,
      ('GIR Log'!$A$2:$A$70=$A608)*
      ('GIR Log'!$B$2:$B$70=$B608)*
      ('GIR Log'!$C$2:$C$70=$C608),
    0),
    MATCH($G608,'GIR Log'!$E$1:$V$1,0)
  ),
"")</f>
        <v>1</v>
      </c>
    </row>
    <row r="609" spans="1:17" x14ac:dyDescent="0.25">
      <c r="A609" s="20" t="s">
        <v>126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60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Log'!$E$2:$V$70,
    MATCH(1,
      ('Golf Log'!$A$2:$A$70=$A609)*
      ('Golf Log'!$B$2:$B$70=$B609)*
      ('Golf Log'!$C$2:$C$70=$C609),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Log'!$E$2:$V$70,
    MATCH(1,
      ('Putt Log'!$A$2:$A$70=$A609)*
      ('Putt Log'!$B$2:$B$70=$B609)*
      ('Putt Log'!$C$2:$C$70=$C609),
    0),
    MATCH($G609,'Putt Log'!$E$1:$V$1,0)
  ),
"")</f>
        <v>2</v>
      </c>
      <c r="P609" t="str" cm="1">
        <f t="array" ref="P609">IF(K609=3,"",
  IFERROR(
    INDEX('Fairway Log'!$E$2:$V$70,
      MATCH(1,
        ('Fairway Log'!$A$2:$A$70=$A609)*
        ('Fairway Log'!$B$2:$B$70=$B609)*
        ('Fairway Log'!$C$2:$C680=$C609),
      0),
      MATCH($G609,'Fairway Log'!$E$1:$V$1,0)
    ),
  "")
)</f>
        <v>→</v>
      </c>
      <c r="Q609" cm="1">
        <f t="array" ref="Q609">IFERROR(
  INDEX('GIR Log'!$E$2:$V$70,
    MATCH(1,
      ('GIR Log'!$A$2:$A$70=$A609)*
      ('GIR Log'!$B$2:$B$70=$B609)*
      ('GIR Log'!$C$2:$C$70=$C609),
    0),
    MATCH($G609,'GIR Log'!$E$1:$V$1,0)
  ),
"")</f>
        <v>1</v>
      </c>
    </row>
    <row r="610" spans="1:17" x14ac:dyDescent="0.25">
      <c r="A610" s="20" t="s">
        <v>126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61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Log'!$E$2:$V$70,
    MATCH(1,
      ('Golf Log'!$A$2:$A$70=$A610)*
      ('Golf Log'!$B$2:$B$70=$B610)*
      ('Golf Log'!$C$2:$C$70=$C610),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Log'!$E$2:$V$70,
    MATCH(1,
      ('Putt Log'!$A$2:$A$70=$A610)*
      ('Putt Log'!$B$2:$B$70=$B610)*
      ('Putt Log'!$C$2:$C$70=$C610),
    0),
    MATCH($G610,'Putt Log'!$E$1:$V$1,0)
  ),
"")</f>
        <v>2</v>
      </c>
      <c r="P610" t="str" cm="1">
        <f t="array" ref="P610">IF(K610=3,"",
  IFERROR(
    INDEX('Fairway Log'!$E$2:$V$70,
      MATCH(1,
        ('Fairway Log'!$A$2:$A$70=$A610)*
        ('Fairway Log'!$B$2:$B$70=$B610)*
        ('Fairway Log'!$C$2:$C681=$C610),
      0),
      MATCH($G610,'Fairway Log'!$E$1:$V$1,0)
    ),
  "")
)</f>
        <v>→</v>
      </c>
      <c r="Q610" t="str" cm="1">
        <f t="array" ref="Q610">IFERROR(
  INDEX('GIR Log'!$E$2:$V$70,
    MATCH(1,
      ('GIR Log'!$A$2:$A$70=$A610)*
      ('GIR Log'!$B$2:$B$70=$B610)*
      ('GIR Log'!$C$2:$C$70=$C610),
    0),
    MATCH($G610,'GIR Log'!$E$1:$V$1,0)
  ),
"")</f>
        <v>↓</v>
      </c>
    </row>
    <row r="611" spans="1:17" x14ac:dyDescent="0.25">
      <c r="A611" s="20" t="s">
        <v>126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62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Log'!$E$2:$V$70,
    MATCH(1,
      ('Golf Log'!$A$2:$A$70=$A611)*
      ('Golf Log'!$B$2:$B$70=$B611)*
      ('Golf Log'!$C$2:$C$70=$C611),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Log'!$E$2:$V$70,
    MATCH(1,
      ('Putt Log'!$A$2:$A$70=$A611)*
      ('Putt Log'!$B$2:$B$70=$B611)*
      ('Putt Log'!$C$2:$C$70=$C611),
    0),
    MATCH($G611,'Putt Log'!$E$1:$V$1,0)
  ),
"")</f>
        <v>1</v>
      </c>
      <c r="P611" cm="1">
        <f t="array" ref="P611">IF(K611=3,"",
  IFERROR(
    INDEX('Fairway Log'!$E$2:$V$70,
      MATCH(1,
        ('Fairway Log'!$A$2:$A$70=$A611)*
        ('Fairway Log'!$B$2:$B$70=$B611)*
        ('Fairway Log'!$C$2:$C682=$C611),
      0),
      MATCH($G611,'Fairway Log'!$E$1:$V$1,0)
    ),
  "")
)</f>
        <v>1</v>
      </c>
      <c r="Q611" t="str" cm="1">
        <f t="array" ref="Q611">IFERROR(
  INDEX('GIR Log'!$E$2:$V$70,
    MATCH(1,
      ('GIR Log'!$A$2:$A$70=$A611)*
      ('GIR Log'!$B$2:$B$70=$B611)*
      ('GIR Log'!$C$2:$C$70=$C611),
    0),
    MATCH($G611,'GIR Log'!$E$1:$V$1,0)
  ),
"")</f>
        <v>↓</v>
      </c>
    </row>
    <row r="612" spans="1:17" x14ac:dyDescent="0.25">
      <c r="A612" s="20" t="s">
        <v>126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63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Log'!$E$2:$V$70,
    MATCH(1,
      ('Golf Log'!$A$2:$A$70=$A612)*
      ('Golf Log'!$B$2:$B$70=$B612)*
      ('Golf Log'!$C$2:$C$70=$C612),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Log'!$E$2:$V$70,
    MATCH(1,
      ('Putt Log'!$A$2:$A$70=$A612)*
      ('Putt Log'!$B$2:$B$70=$B612)*
      ('Putt Log'!$C$2:$C$70=$C612),
    0),
    MATCH($G612,'Putt Log'!$E$1:$V$1,0)
  ),
"")</f>
        <v>2</v>
      </c>
      <c r="P612" t="str" cm="1">
        <f t="array" ref="P612">IF(K612=3,"",
  IFERROR(
    INDEX('Fairway Log'!$E$2:$V$70,
      MATCH(1,
        ('Fairway Log'!$A$2:$A$70=$A612)*
        ('Fairway Log'!$B$2:$B$70=$B612)*
        ('Fairway Log'!$C$2:$C683=$C612),
      0),
      MATCH($G612,'Fairway Log'!$E$1:$V$1,0)
    ),
  "")
)</f>
        <v/>
      </c>
      <c r="Q612" cm="1">
        <f t="array" ref="Q612">IFERROR(
  INDEX('GIR Log'!$E$2:$V$70,
    MATCH(1,
      ('GIR Log'!$A$2:$A$70=$A612)*
      ('GIR Log'!$B$2:$B$70=$B612)*
      ('GIR Log'!$C$2:$C$70=$C612),
    0),
    MATCH($G612,'GIR Log'!$E$1:$V$1,0)
  ),
"")</f>
        <v>1</v>
      </c>
    </row>
    <row r="613" spans="1:17" x14ac:dyDescent="0.25">
      <c r="A613" s="20" t="s">
        <v>126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64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Log'!$E$2:$V$70,
    MATCH(1,
      ('Golf Log'!$A$2:$A$70=$A613)*
      ('Golf Log'!$B$2:$B$70=$B613)*
      ('Golf Log'!$C$2:$C$70=$C613),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Log'!$E$2:$V$70,
    MATCH(1,
      ('Putt Log'!$A$2:$A$70=$A613)*
      ('Putt Log'!$B$2:$B$70=$B613)*
      ('Putt Log'!$C$2:$C$70=$C613),
    0),
    MATCH($G613,'Putt Log'!$E$1:$V$1,0)
  ),
"")</f>
        <v>2</v>
      </c>
      <c r="P613" cm="1">
        <f t="array" ref="P613">IF(K613=3,"",
  IFERROR(
    INDEX('Fairway Log'!$E$2:$V$70,
      MATCH(1,
        ('Fairway Log'!$A$2:$A$70=$A613)*
        ('Fairway Log'!$B$2:$B$70=$B613)*
        ('Fairway Log'!$C$2:$C684=$C613),
      0),
      MATCH($G613,'Fairway Log'!$E$1:$V$1,0)
    ),
  "")
)</f>
        <v>1</v>
      </c>
      <c r="Q613" cm="1">
        <f t="array" ref="Q613">IFERROR(
  INDEX('GIR Log'!$E$2:$V$70,
    MATCH(1,
      ('GIR Log'!$A$2:$A$70=$A613)*
      ('GIR Log'!$B$2:$B$70=$B613)*
      ('GIR Log'!$C$2:$C$70=$C613),
    0),
    MATCH($G613,'GIR Log'!$E$1:$V$1,0)
  ),
"")</f>
        <v>1</v>
      </c>
    </row>
    <row r="614" spans="1:17" x14ac:dyDescent="0.25">
      <c r="A614" s="20" t="s">
        <v>126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47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Log'!$E$2:$V$70,
    MATCH(1,
      ('Golf Log'!$A$2:$A$70=$A614)*
      ('Golf Log'!$B$2:$B$70=$B614)*
      ('Golf Log'!$C$2:$C$70=$C614),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Log'!$E$2:$V$70,
    MATCH(1,
      ('Putt Log'!$A$2:$A$70=$A614)*
      ('Putt Log'!$B$2:$B$70=$B614)*
      ('Putt Log'!$C$2:$C$70=$C614),
    0),
    MATCH($G614,'Putt Log'!$E$1:$V$1,0)
  ),
"")</f>
        <v>2</v>
      </c>
      <c r="P614" cm="1">
        <f t="array" ref="P614">IF(K614=3,"",
  IFERROR(
    INDEX('Fairway Log'!$E$2:$V$70,
      MATCH(1,
        ('Fairway Log'!$A$2:$A$70=$A614)*
        ('Fairway Log'!$B$2:$B$70=$B614)*
        ('Fairway Log'!$C$2:$C685=$C614),
      0),
      MATCH($G614,'Fairway Log'!$E$1:$V$1,0)
    ),
  "")
)</f>
        <v>1</v>
      </c>
      <c r="Q614" cm="1">
        <f t="array" ref="Q614">IFERROR(
  INDEX('GIR Log'!$E$2:$V$70,
    MATCH(1,
      ('GIR Log'!$A$2:$A$70=$A614)*
      ('GIR Log'!$B$2:$B$70=$B614)*
      ('GIR Log'!$C$2:$C$70=$C614),
    0),
    MATCH($G614,'GIR Log'!$E$1:$V$1,0)
  ),
"")</f>
        <v>1</v>
      </c>
    </row>
    <row r="615" spans="1:17" x14ac:dyDescent="0.25">
      <c r="A615" s="20" t="s">
        <v>126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48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Log'!$E$2:$V$70,
    MATCH(1,
      ('Golf Log'!$A$2:$A$70=$A615)*
      ('Golf Log'!$B$2:$B$70=$B615)*
      ('Golf Log'!$C$2:$C$70=$C615),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Log'!$E$2:$V$70,
    MATCH(1,
      ('Putt Log'!$A$2:$A$70=$A615)*
      ('Putt Log'!$B$2:$B$70=$B615)*
      ('Putt Log'!$C$2:$C$70=$C615),
    0),
    MATCH($G615,'Putt Log'!$E$1:$V$1,0)
  ),
"")</f>
        <v>2</v>
      </c>
      <c r="P615" t="str" cm="1">
        <f t="array" ref="P615">IF(K615=3,"",
  IFERROR(
    INDEX('Fairway Log'!$E$2:$V$70,
      MATCH(1,
        ('Fairway Log'!$A$2:$A$70=$A615)*
        ('Fairway Log'!$B$2:$B$70=$B615)*
        ('Fairway Log'!$C$2:$C686=$C615),
      0),
      MATCH($G615,'Fairway Log'!$E$1:$V$1,0)
    ),
  "")
)</f>
        <v>→</v>
      </c>
      <c r="Q615" t="str" cm="1">
        <f t="array" ref="Q615">IFERROR(
  INDEX('GIR Log'!$E$2:$V$70,
    MATCH(1,
      ('GIR Log'!$A$2:$A$70=$A615)*
      ('GIR Log'!$B$2:$B$70=$B615)*
      ('GIR Log'!$C$2:$C$70=$C615),
    0),
    MATCH($G615,'GIR Log'!$E$1:$V$1,0)
  ),
"")</f>
        <v>↓</v>
      </c>
    </row>
    <row r="616" spans="1:17" x14ac:dyDescent="0.25">
      <c r="A616" s="20" t="s">
        <v>126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49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Log'!$E$2:$V$70,
    MATCH(1,
      ('Golf Log'!$A$2:$A$70=$A616)*
      ('Golf Log'!$B$2:$B$70=$B616)*
      ('Golf Log'!$C$2:$C$70=$C616),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Log'!$E$2:$V$70,
    MATCH(1,
      ('Putt Log'!$A$2:$A$70=$A616)*
      ('Putt Log'!$B$2:$B$70=$B616)*
      ('Putt Log'!$C$2:$C$70=$C616),
    0),
    MATCH($G616,'Putt Log'!$E$1:$V$1,0)
  ),
"")</f>
        <v>2</v>
      </c>
      <c r="P616" t="str" cm="1">
        <f t="array" ref="P616">IF(K616=3,"",
  IFERROR(
    INDEX('Fairway Log'!$E$2:$V$70,
      MATCH(1,
        ('Fairway Log'!$A$2:$A$70=$A616)*
        ('Fairway Log'!$B$2:$B$70=$B616)*
        ('Fairway Log'!$C$2:$C687=$C616),
      0),
      MATCH($G616,'Fairway Log'!$E$1:$V$1,0)
    ),
  "")
)</f>
        <v/>
      </c>
      <c r="Q616" cm="1">
        <f t="array" ref="Q616">IFERROR(
  INDEX('GIR Log'!$E$2:$V$70,
    MATCH(1,
      ('GIR Log'!$A$2:$A$70=$A616)*
      ('GIR Log'!$B$2:$B$70=$B616)*
      ('GIR Log'!$C$2:$C$70=$C616),
    0),
    MATCH($G616,'GIR Log'!$E$1:$V$1,0)
  ),
"")</f>
        <v>1</v>
      </c>
    </row>
    <row r="617" spans="1:17" x14ac:dyDescent="0.25">
      <c r="A617" s="20" t="s">
        <v>126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50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Log'!$E$2:$V$70,
    MATCH(1,
      ('Golf Log'!$A$2:$A$70=$A617)*
      ('Golf Log'!$B$2:$B$70=$B617)*
      ('Golf Log'!$C$2:$C$70=$C617),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Log'!$E$2:$V$70,
    MATCH(1,
      ('Putt Log'!$A$2:$A$70=$A617)*
      ('Putt Log'!$B$2:$B$70=$B617)*
      ('Putt Log'!$C$2:$C$70=$C617),
    0),
    MATCH($G617,'Putt Log'!$E$1:$V$1,0)
  ),
"")</f>
        <v>1</v>
      </c>
      <c r="P617" t="str" cm="1">
        <f t="array" ref="P617">IF(K617=3,"",
  IFERROR(
    INDEX('Fairway Log'!$E$2:$V$70,
      MATCH(1,
        ('Fairway Log'!$A$2:$A$70=$A617)*
        ('Fairway Log'!$B$2:$B$70=$B617)*
        ('Fairway Log'!$C$2:$C688=$C617),
      0),
      MATCH($G617,'Fairway Log'!$E$1:$V$1,0)
    ),
  "")
)</f>
        <v>→</v>
      </c>
      <c r="Q617" t="str" cm="1">
        <f t="array" ref="Q617">IFERROR(
  INDEX('GIR Log'!$E$2:$V$70,
    MATCH(1,
      ('GIR Log'!$A$2:$A$70=$A617)*
      ('GIR Log'!$B$2:$B$70=$B617)*
      ('GIR Log'!$C$2:$C$70=$C617),
    0),
    MATCH($G617,'GIR Log'!$E$1:$V$1,0)
  ),
"")</f>
        <v>↓</v>
      </c>
    </row>
    <row r="618" spans="1:17" x14ac:dyDescent="0.25">
      <c r="A618" s="20" t="s">
        <v>126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51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Log'!$E$2:$V$70,
    MATCH(1,
      ('Golf Log'!$A$2:$A$70=$A618)*
      ('Golf Log'!$B$2:$B$70=$B618)*
      ('Golf Log'!$C$2:$C$70=$C618),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Log'!$E$2:$V$70,
    MATCH(1,
      ('Putt Log'!$A$2:$A$70=$A618)*
      ('Putt Log'!$B$2:$B$70=$B618)*
      ('Putt Log'!$C$2:$C$70=$C618),
    0),
    MATCH($G618,'Putt Log'!$E$1:$V$1,0)
  ),
"")</f>
        <v>1</v>
      </c>
      <c r="P618" cm="1">
        <f t="array" ref="P618">IF(K618=3,"",
  IFERROR(
    INDEX('Fairway Log'!$E$2:$V$70,
      MATCH(1,
        ('Fairway Log'!$A$2:$A$70=$A618)*
        ('Fairway Log'!$B$2:$B$70=$B618)*
        ('Fairway Log'!$C$2:$C689=$C618),
      0),
      MATCH($G618,'Fairway Log'!$E$1:$V$1,0)
    ),
  "")
)</f>
        <v>1</v>
      </c>
      <c r="Q618" t="str" cm="1">
        <f t="array" ref="Q618">IFERROR(
  INDEX('GIR Log'!$E$2:$V$70,
    MATCH(1,
      ('GIR Log'!$A$2:$A$70=$A618)*
      ('GIR Log'!$B$2:$B$70=$B618)*
      ('GIR Log'!$C$2:$C$70=$C618),
    0),
    MATCH($G618,'GIR Log'!$E$1:$V$1,0)
  ),
"")</f>
        <v>↑</v>
      </c>
    </row>
    <row r="619" spans="1:17" x14ac:dyDescent="0.25">
      <c r="A619" s="20" t="s">
        <v>126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52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Log'!$E$2:$V$70,
    MATCH(1,
      ('Golf Log'!$A$2:$A$70=$A619)*
      ('Golf Log'!$B$2:$B$70=$B619)*
      ('Golf Log'!$C$2:$C$70=$C619),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Log'!$E$2:$V$70,
    MATCH(1,
      ('Putt Log'!$A$2:$A$70=$A619)*
      ('Putt Log'!$B$2:$B$70=$B619)*
      ('Putt Log'!$C$2:$C$70=$C619),
    0),
    MATCH($G619,'Putt Log'!$E$1:$V$1,0)
  ),
"")</f>
        <v>2</v>
      </c>
      <c r="P619" t="str" cm="1">
        <f t="array" ref="P619">IF(K619=3,"",
  IFERROR(
    INDEX('Fairway Log'!$E$2:$V$70,
      MATCH(1,
        ('Fairway Log'!$A$2:$A$70=$A619)*
        ('Fairway Log'!$B$2:$B$70=$B619)*
        ('Fairway Log'!$C$2:$C690=$C619),
      0),
      MATCH($G619,'Fairway Log'!$E$1:$V$1,0)
    ),
  "")
)</f>
        <v/>
      </c>
      <c r="Q619" cm="1">
        <f t="array" ref="Q619">IFERROR(
  INDEX('GIR Log'!$E$2:$V$70,
    MATCH(1,
      ('GIR Log'!$A$2:$A$70=$A619)*
      ('GIR Log'!$B$2:$B$70=$B619)*
      ('GIR Log'!$C$2:$C$70=$C619),
    0),
    MATCH($G619,'GIR Log'!$E$1:$V$1,0)
  ),
"")</f>
        <v>1</v>
      </c>
    </row>
    <row r="620" spans="1:17" x14ac:dyDescent="0.25">
      <c r="A620" s="20" t="s">
        <v>126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53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Log'!$E$2:$V$70,
    MATCH(1,
      ('Golf Log'!$A$2:$A$70=$A620)*
      ('Golf Log'!$B$2:$B$70=$B620)*
      ('Golf Log'!$C$2:$C$70=$C620),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Log'!$E$2:$V$70,
    MATCH(1,
      ('Putt Log'!$A$2:$A$70=$A620)*
      ('Putt Log'!$B$2:$B$70=$B620)*
      ('Putt Log'!$C$2:$C$70=$C620),
    0),
    MATCH($G620,'Putt Log'!$E$1:$V$1,0)
  ),
"")</f>
        <v>2</v>
      </c>
      <c r="P620" t="str" cm="1">
        <f t="array" ref="P620">IF(K620=3,"",
  IFERROR(
    INDEX('Fairway Log'!$E$2:$V$70,
      MATCH(1,
        ('Fairway Log'!$A$2:$A$70=$A620)*
        ('Fairway Log'!$B$2:$B$70=$B620)*
        ('Fairway Log'!$C$2:$C691=$C620),
      0),
      MATCH($G620,'Fairway Log'!$E$1:$V$1,0)
    ),
  "")
)</f>
        <v>→</v>
      </c>
      <c r="Q620" cm="1">
        <f t="array" ref="Q620">IFERROR(
  INDEX('GIR Log'!$E$2:$V$70,
    MATCH(1,
      ('GIR Log'!$A$2:$A$70=$A620)*
      ('GIR Log'!$B$2:$B$70=$B620)*
      ('GIR Log'!$C$2:$C$70=$C620),
    0),
    MATCH($G620,'GIR Log'!$E$1:$V$1,0)
  ),
"")</f>
        <v>1</v>
      </c>
    </row>
    <row r="621" spans="1:17" x14ac:dyDescent="0.25">
      <c r="A621" s="20" t="s">
        <v>126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54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Log'!$E$2:$V$70,
    MATCH(1,
      ('Golf Log'!$A$2:$A$70=$A621)*
      ('Golf Log'!$B$2:$B$70=$B621)*
      ('Golf Log'!$C$2:$C$70=$C621),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Log'!$E$2:$V$70,
    MATCH(1,
      ('Putt Log'!$A$2:$A$70=$A621)*
      ('Putt Log'!$B$2:$B$70=$B621)*
      ('Putt Log'!$C$2:$C$70=$C621),
    0),
    MATCH($G621,'Putt Log'!$E$1:$V$1,0)
  ),
"")</f>
        <v>2</v>
      </c>
      <c r="P621" cm="1">
        <f t="array" ref="P621">IF(K621=3,"",
  IFERROR(
    INDEX('Fairway Log'!$E$2:$V$70,
      MATCH(1,
        ('Fairway Log'!$A$2:$A$70=$A621)*
        ('Fairway Log'!$B$2:$B$70=$B621)*
        ('Fairway Log'!$C$2:$C692=$C621),
      0),
      MATCH($G621,'Fairway Log'!$E$1:$V$1,0)
    ),
  "")
)</f>
        <v>1</v>
      </c>
      <c r="Q621" cm="1">
        <f t="array" ref="Q621">IFERROR(
  INDEX('GIR Log'!$E$2:$V$70,
    MATCH(1,
      ('GIR Log'!$A$2:$A$70=$A621)*
      ('GIR Log'!$B$2:$B$70=$B621)*
      ('GIR Log'!$C$2:$C$70=$C621),
    0),
    MATCH($G621,'GIR Log'!$E$1:$V$1,0)
  ),
"")</f>
        <v>1</v>
      </c>
    </row>
    <row r="622" spans="1:17" x14ac:dyDescent="0.25">
      <c r="A622" s="20" t="s">
        <v>126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55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Log'!$E$2:$V$70,
    MATCH(1,
      ('Golf Log'!$A$2:$A$70=$A622)*
      ('Golf Log'!$B$2:$B$70=$B622)*
      ('Golf Log'!$C$2:$C$70=$C622),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Log'!$E$2:$V$70,
    MATCH(1,
      ('Putt Log'!$A$2:$A$70=$A622)*
      ('Putt Log'!$B$2:$B$70=$B622)*
      ('Putt Log'!$C$2:$C$70=$C622),
    0),
    MATCH($G622,'Putt Log'!$E$1:$V$1,0)
  ),
"")</f>
        <v>2</v>
      </c>
      <c r="P622" cm="1">
        <f t="array" ref="P622">IF(K622=3,"",
  IFERROR(
    INDEX('Fairway Log'!$E$2:$V$70,
      MATCH(1,
        ('Fairway Log'!$A$2:$A$70=$A622)*
        ('Fairway Log'!$B$2:$B$70=$B622)*
        ('Fairway Log'!$C$2:$C693=$C622),
      0),
      MATCH($G622,'Fairway Log'!$E$1:$V$1,0)
    ),
  "")
)</f>
        <v>1</v>
      </c>
      <c r="Q622" t="str" cm="1">
        <f t="array" ref="Q622">IFERROR(
  INDEX('GIR Log'!$E$2:$V$70,
    MATCH(1,
      ('GIR Log'!$A$2:$A$70=$A622)*
      ('GIR Log'!$B$2:$B$70=$B622)*
      ('GIR Log'!$C$2:$C$70=$C622),
    0),
    MATCH($G622,'GIR Log'!$E$1:$V$1,0)
  ),
"")</f>
        <v>↓</v>
      </c>
    </row>
    <row r="623" spans="1:17" x14ac:dyDescent="0.25">
      <c r="A623" s="20" t="s">
        <v>126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56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Log'!$E$2:$V$70,
    MATCH(1,
      ('Golf Log'!$A$2:$A$70=$A623)*
      ('Golf Log'!$B$2:$B$70=$B623)*
      ('Golf Log'!$C$2:$C$70=$C623),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Log'!$E$2:$V$70,
    MATCH(1,
      ('Putt Log'!$A$2:$A$70=$A623)*
      ('Putt Log'!$B$2:$B$70=$B623)*
      ('Putt Log'!$C$2:$C$70=$C623),
    0),
    MATCH($G623,'Putt Log'!$E$1:$V$1,0)
  ),
"")</f>
        <v>1</v>
      </c>
      <c r="P623" cm="1">
        <f t="array" ref="P623">IF(K623=3,"",
  IFERROR(
    INDEX('Fairway Log'!$E$2:$V$70,
      MATCH(1,
        ('Fairway Log'!$A$2:$A$70=$A623)*
        ('Fairway Log'!$B$2:$B$70=$B623)*
        ('Fairway Log'!$C$2:$C694=$C623),
      0),
      MATCH($G623,'Fairway Log'!$E$1:$V$1,0)
    ),
  "")
)</f>
        <v>1</v>
      </c>
      <c r="Q623" t="str" cm="1">
        <f t="array" ref="Q623">IFERROR(
  INDEX('GIR Log'!$E$2:$V$70,
    MATCH(1,
      ('GIR Log'!$A$2:$A$70=$A623)*
      ('GIR Log'!$B$2:$B$70=$B623)*
      ('GIR Log'!$C$2:$C$70=$C623),
    0),
    MATCH($G623,'GIR Log'!$E$1:$V$1,0)
  ),
"")</f>
        <v>↓</v>
      </c>
    </row>
    <row r="624" spans="1:17" x14ac:dyDescent="0.25">
      <c r="A624" s="20" t="s">
        <v>126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57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Log'!$E$2:$V$70,
    MATCH(1,
      ('Golf Log'!$A$2:$A$70=$A624)*
      ('Golf Log'!$B$2:$B$70=$B624)*
      ('Golf Log'!$C$2:$C$70=$C624),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Log'!$E$2:$V$70,
    MATCH(1,
      ('Putt Log'!$A$2:$A$70=$A624)*
      ('Putt Log'!$B$2:$B$70=$B624)*
      ('Putt Log'!$C$2:$C$70=$C624),
    0),
    MATCH($G624,'Putt Log'!$E$1:$V$1,0)
  ),
"")</f>
        <v>2</v>
      </c>
      <c r="P624" t="str" cm="1">
        <f t="array" ref="P624">IF(K624=3,"",
  IFERROR(
    INDEX('Fairway Log'!$E$2:$V$70,
      MATCH(1,
        ('Fairway Log'!$A$2:$A$70=$A624)*
        ('Fairway Log'!$B$2:$B$70=$B624)*
        ('Fairway Log'!$C$2:$C695=$C624),
      0),
      MATCH($G624,'Fairway Log'!$E$1:$V$1,0)
    ),
  "")
)</f>
        <v/>
      </c>
      <c r="Q624" t="str" cm="1">
        <f t="array" ref="Q624">IFERROR(
  INDEX('GIR Log'!$E$2:$V$70,
    MATCH(1,
      ('GIR Log'!$A$2:$A$70=$A624)*
      ('GIR Log'!$B$2:$B$70=$B624)*
      ('GIR Log'!$C$2:$C$70=$C624),
    0),
    MATCH($G624,'GIR Log'!$E$1:$V$1,0)
  ),
"")</f>
        <v>→</v>
      </c>
    </row>
    <row r="625" spans="1:17" x14ac:dyDescent="0.25">
      <c r="A625" s="20" t="s">
        <v>126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58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Log'!$E$2:$V$70,
    MATCH(1,
      ('Golf Log'!$A$2:$A$70=$A625)*
      ('Golf Log'!$B$2:$B$70=$B625)*
      ('Golf Log'!$C$2:$C$70=$C625),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Log'!$E$2:$V$70,
    MATCH(1,
      ('Putt Log'!$A$2:$A$70=$A625)*
      ('Putt Log'!$B$2:$B$70=$B625)*
      ('Putt Log'!$C$2:$C$70=$C625),
    0),
    MATCH($G625,'Putt Log'!$E$1:$V$1,0)
  ),
"")</f>
        <v>2</v>
      </c>
      <c r="P625" cm="1">
        <f t="array" ref="P625">IF(K625=3,"",
  IFERROR(
    INDEX('Fairway Log'!$E$2:$V$70,
      MATCH(1,
        ('Fairway Log'!$A$2:$A$70=$A625)*
        ('Fairway Log'!$B$2:$B$70=$B625)*
        ('Fairway Log'!$C$2:$C696=$C625),
      0),
      MATCH($G625,'Fairway Log'!$E$1:$V$1,0)
    ),
  "")
)</f>
        <v>1</v>
      </c>
      <c r="Q625" cm="1">
        <f t="array" ref="Q625">IFERROR(
  INDEX('GIR Log'!$E$2:$V$70,
    MATCH(1,
      ('GIR Log'!$A$2:$A$70=$A625)*
      ('GIR Log'!$B$2:$B$70=$B625)*
      ('GIR Log'!$C$2:$C$70=$C625),
    0),
    MATCH($G625,'GIR Log'!$E$1:$V$1,0)
  ),
"")</f>
        <v>1</v>
      </c>
    </row>
    <row r="626" spans="1:17" x14ac:dyDescent="0.25">
      <c r="A626" s="20" t="s">
        <v>126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59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Log'!$E$2:$V$70,
    MATCH(1,
      ('Golf Log'!$A$2:$A$70=$A626)*
      ('Golf Log'!$B$2:$B$70=$B626)*
      ('Golf Log'!$C$2:$C$70=$C626),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Log'!$E$2:$V$70,
    MATCH(1,
      ('Putt Log'!$A$2:$A$70=$A626)*
      ('Putt Log'!$B$2:$B$70=$B626)*
      ('Putt Log'!$C$2:$C$70=$C626),
    0),
    MATCH($G626,'Putt Log'!$E$1:$V$1,0)
  ),
"")</f>
        <v>2</v>
      </c>
      <c r="P626" t="str" cm="1">
        <f t="array" ref="P626">IF(K626=3,"",
  IFERROR(
    INDEX('Fairway Log'!$E$2:$V$70,
      MATCH(1,
        ('Fairway Log'!$A$2:$A$70=$A626)*
        ('Fairway Log'!$B$2:$B$70=$B626)*
        ('Fairway Log'!$C$2:$C697=$C626),
      0),
      MATCH($G626,'Fairway Log'!$E$1:$V$1,0)
    ),
  "")
)</f>
        <v>→</v>
      </c>
      <c r="Q626" t="str" cm="1">
        <f t="array" ref="Q626">IFERROR(
  INDEX('GIR Log'!$E$2:$V$70,
    MATCH(1,
      ('GIR Log'!$A$2:$A$70=$A626)*
      ('GIR Log'!$B$2:$B$70=$B626)*
      ('GIR Log'!$C$2:$C$70=$C626),
    0),
    MATCH($G626,'GIR Log'!$E$1:$V$1,0)
  ),
"")</f>
        <v>↓</v>
      </c>
    </row>
    <row r="627" spans="1:17" x14ac:dyDescent="0.25">
      <c r="A627" s="20" t="s">
        <v>126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60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Log'!$E$2:$V$70,
    MATCH(1,
      ('Golf Log'!$A$2:$A$70=$A627)*
      ('Golf Log'!$B$2:$B$70=$B627)*
      ('Golf Log'!$C$2:$C$70=$C627),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Log'!$E$2:$V$70,
    MATCH(1,
      ('Putt Log'!$A$2:$A$70=$A627)*
      ('Putt Log'!$B$2:$B$70=$B627)*
      ('Putt Log'!$C$2:$C$70=$C627),
    0),
    MATCH($G627,'Putt Log'!$E$1:$V$1,0)
  ),
"")</f>
        <v>2</v>
      </c>
      <c r="P627" t="str" cm="1">
        <f t="array" ref="P627">IF(K627=3,"",
  IFERROR(
    INDEX('Fairway Log'!$E$2:$V$70,
      MATCH(1,
        ('Fairway Log'!$A$2:$A$70=$A627)*
        ('Fairway Log'!$B$2:$B$70=$B627)*
        ('Fairway Log'!$C$2:$C698=$C627),
      0),
      MATCH($G627,'Fairway Log'!$E$1:$V$1,0)
    ),
  "")
)</f>
        <v>→</v>
      </c>
      <c r="Q627" t="str" cm="1">
        <f t="array" ref="Q627">IFERROR(
  INDEX('GIR Log'!$E$2:$V$70,
    MATCH(1,
      ('GIR Log'!$A$2:$A$70=$A627)*
      ('GIR Log'!$B$2:$B$70=$B627)*
      ('GIR Log'!$C$2:$C$70=$C627),
    0),
    MATCH($G627,'GIR Log'!$E$1:$V$1,0)
  ),
"")</f>
        <v>↑</v>
      </c>
    </row>
    <row r="628" spans="1:17" x14ac:dyDescent="0.25">
      <c r="A628" s="20" t="s">
        <v>126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61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Log'!$E$2:$V$70,
    MATCH(1,
      ('Golf Log'!$A$2:$A$70=$A628)*
      ('Golf Log'!$B$2:$B$70=$B628)*
      ('Golf Log'!$C$2:$C$70=$C628),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Log'!$E$2:$V$70,
    MATCH(1,
      ('Putt Log'!$A$2:$A$70=$A628)*
      ('Putt Log'!$B$2:$B$70=$B628)*
      ('Putt Log'!$C$2:$C$70=$C628),
    0),
    MATCH($G628,'Putt Log'!$E$1:$V$1,0)
  ),
"")</f>
        <v>1</v>
      </c>
      <c r="P628" t="str" cm="1">
        <f t="array" ref="P628">IF(K628=3,"",
  IFERROR(
    INDEX('Fairway Log'!$E$2:$V$70,
      MATCH(1,
        ('Fairway Log'!$A$2:$A$70=$A628)*
        ('Fairway Log'!$B$2:$B$70=$B628)*
        ('Fairway Log'!$C$2:$C699=$C628),
      0),
      MATCH($G628,'Fairway Log'!$E$1:$V$1,0)
    ),
  "")
)</f>
        <v/>
      </c>
      <c r="Q628" t="str" cm="1">
        <f t="array" ref="Q628">IFERROR(
  INDEX('GIR Log'!$E$2:$V$70,
    MATCH(1,
      ('GIR Log'!$A$2:$A$70=$A628)*
      ('GIR Log'!$B$2:$B$70=$B628)*
      ('GIR Log'!$C$2:$C$70=$C628),
    0),
    MATCH($G628,'GIR Log'!$E$1:$V$1,0)
  ),
"")</f>
        <v>←</v>
      </c>
    </row>
    <row r="629" spans="1:17" x14ac:dyDescent="0.25">
      <c r="A629" s="20" t="s">
        <v>126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62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Log'!$E$2:$V$70,
    MATCH(1,
      ('Golf Log'!$A$2:$A$70=$A629)*
      ('Golf Log'!$B$2:$B$70=$B629)*
      ('Golf Log'!$C$2:$C$70=$C629),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Log'!$E$2:$V$70,
    MATCH(1,
      ('Putt Log'!$A$2:$A$70=$A629)*
      ('Putt Log'!$B$2:$B$70=$B629)*
      ('Putt Log'!$C$2:$C$70=$C629),
    0),
    MATCH($G629,'Putt Log'!$E$1:$V$1,0)
  ),
"")</f>
        <v>2</v>
      </c>
      <c r="P629" t="str" cm="1">
        <f t="array" ref="P629">IF(K629=3,"",
  IFERROR(
    INDEX('Fairway Log'!$E$2:$V$70,
      MATCH(1,
        ('Fairway Log'!$A$2:$A$70=$A629)*
        ('Fairway Log'!$B$2:$B$70=$B629)*
        ('Fairway Log'!$C$2:$C700=$C629),
      0),
      MATCH($G629,'Fairway Log'!$E$1:$V$1,0)
    ),
  "")
)</f>
        <v>←</v>
      </c>
      <c r="Q629" t="str" cm="1">
        <f t="array" ref="Q629">IFERROR(
  INDEX('GIR Log'!$E$2:$V$70,
    MATCH(1,
      ('GIR Log'!$A$2:$A$70=$A629)*
      ('GIR Log'!$B$2:$B$70=$B629)*
      ('GIR Log'!$C$2:$C$70=$C629),
    0),
    MATCH($G629,'GIR Log'!$E$1:$V$1,0)
  ),
"")</f>
        <v>↓</v>
      </c>
    </row>
    <row r="630" spans="1:17" x14ac:dyDescent="0.25">
      <c r="A630" s="20" t="s">
        <v>126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63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Log'!$E$2:$V$70,
    MATCH(1,
      ('Golf Log'!$A$2:$A$70=$A630)*
      ('Golf Log'!$B$2:$B$70=$B630)*
      ('Golf Log'!$C$2:$C$70=$C630),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Log'!$E$2:$V$70,
    MATCH(1,
      ('Putt Log'!$A$2:$A$70=$A630)*
      ('Putt Log'!$B$2:$B$70=$B630)*
      ('Putt Log'!$C$2:$C$70=$C630),
    0),
    MATCH($G630,'Putt Log'!$E$1:$V$1,0)
  ),
"")</f>
        <v>2</v>
      </c>
      <c r="P630" t="str" cm="1">
        <f t="array" ref="P630">IF(K630=3,"",
  IFERROR(
    INDEX('Fairway Log'!$E$2:$V$70,
      MATCH(1,
        ('Fairway Log'!$A$2:$A$70=$A630)*
        ('Fairway Log'!$B$2:$B$70=$B630)*
        ('Fairway Log'!$C$2:$C701=$C630),
      0),
      MATCH($G630,'Fairway Log'!$E$1:$V$1,0)
    ),
  "")
)</f>
        <v>→</v>
      </c>
      <c r="Q630" cm="1">
        <f t="array" ref="Q630">IFERROR(
  INDEX('GIR Log'!$E$2:$V$70,
    MATCH(1,
      ('GIR Log'!$A$2:$A$70=$A630)*
      ('GIR Log'!$B$2:$B$70=$B630)*
      ('GIR Log'!$C$2:$C$70=$C630),
    0),
    MATCH($G630,'GIR Log'!$E$1:$V$1,0)
  ),
"")</f>
        <v>1</v>
      </c>
    </row>
    <row r="631" spans="1:17" x14ac:dyDescent="0.25">
      <c r="A631" s="20" t="s">
        <v>126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64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Log'!$E$2:$V$70,
    MATCH(1,
      ('Golf Log'!$A$2:$A$70=$A631)*
      ('Golf Log'!$B$2:$B$70=$B631)*
      ('Golf Log'!$C$2:$C$70=$C631),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Log'!$E$2:$V$70,
    MATCH(1,
      ('Putt Log'!$A$2:$A$70=$A631)*
      ('Putt Log'!$B$2:$B$70=$B631)*
      ('Putt Log'!$C$2:$C$70=$C631),
    0),
    MATCH($G631,'Putt Log'!$E$1:$V$1,0)
  ),
"")</f>
        <v>2</v>
      </c>
      <c r="P631" cm="1">
        <f t="array" ref="P631">IF(K631=3,"",
  IFERROR(
    INDEX('Fairway Log'!$E$2:$V$70,
      MATCH(1,
        ('Fairway Log'!$A$2:$A$70=$A631)*
        ('Fairway Log'!$B$2:$B$70=$B631)*
        ('Fairway Log'!$C$2:$C702=$C631),
      0),
      MATCH($G631,'Fairway Log'!$E$1:$V$1,0)
    ),
  "")
)</f>
        <v>1</v>
      </c>
      <c r="Q631" cm="1">
        <f t="array" ref="Q631">IFERROR(
  INDEX('GIR Log'!$E$2:$V$70,
    MATCH(1,
      ('GIR Log'!$A$2:$A$70=$A631)*
      ('GIR Log'!$B$2:$B$70=$B631)*
      ('GIR Log'!$C$2:$C$70=$C631),
    0),
    MATCH($G631,'GIR Log'!$E$1:$V$1,0)
  ),
"")</f>
        <v>1</v>
      </c>
    </row>
    <row r="632" spans="1:17" x14ac:dyDescent="0.25">
      <c r="A632" s="20" t="s">
        <v>126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47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Log'!$E$2:$V$70,
    MATCH(1,
      ('Golf Log'!$A$2:$A$70=$A632)*
      ('Golf Log'!$B$2:$B$70=$B632)*
      ('Golf Log'!$C$2:$C$70=$C632),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Log'!$E$2:$V$70,
    MATCH(1,
      ('Putt Log'!$A$2:$A$70=$A632)*
      ('Putt Log'!$B$2:$B$70=$B632)*
      ('Putt Log'!$C$2:$C$70=$C632),
    0),
    MATCH($G632,'Putt Log'!$E$1:$V$1,0)
  ),
"")</f>
        <v>2</v>
      </c>
      <c r="P632" cm="1">
        <f t="array" ref="P632">IF(K632=3,"",
  IFERROR(
    INDEX('Fairway Log'!$E$2:$V$70,
      MATCH(1,
        ('Fairway Log'!$A$2:$A$70=$A632)*
        ('Fairway Log'!$B$2:$B$70=$B632)*
        ('Fairway Log'!$C$2:$C703=$C632),
      0),
      MATCH($G632,'Fairway Log'!$E$1:$V$1,0)
    ),
  "")
)</f>
        <v>1</v>
      </c>
      <c r="Q632" cm="1">
        <f t="array" ref="Q632">IFERROR(
  INDEX('GIR Log'!$E$2:$V$70,
    MATCH(1,
      ('GIR Log'!$A$2:$A$70=$A632)*
      ('GIR Log'!$B$2:$B$70=$B632)*
      ('GIR Log'!$C$2:$C$70=$C632),
    0),
    MATCH($G632,'GIR Log'!$E$1:$V$1,0)
  ),
"")</f>
        <v>1</v>
      </c>
    </row>
    <row r="633" spans="1:17" x14ac:dyDescent="0.25">
      <c r="A633" s="20" t="s">
        <v>126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48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Log'!$E$2:$V$70,
    MATCH(1,
      ('Golf Log'!$A$2:$A$70=$A633)*
      ('Golf Log'!$B$2:$B$70=$B633)*
      ('Golf Log'!$C$2:$C$70=$C633),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Log'!$E$2:$V$70,
    MATCH(1,
      ('Putt Log'!$A$2:$A$70=$A633)*
      ('Putt Log'!$B$2:$B$70=$B633)*
      ('Putt Log'!$C$2:$C$70=$C633),
    0),
    MATCH($G633,'Putt Log'!$E$1:$V$1,0)
  ),
"")</f>
        <v>2</v>
      </c>
      <c r="P633" cm="1">
        <f t="array" ref="P633">IF(K633=3,"",
  IFERROR(
    INDEX('Fairway Log'!$E$2:$V$70,
      MATCH(1,
        ('Fairway Log'!$A$2:$A$70=$A633)*
        ('Fairway Log'!$B$2:$B$70=$B633)*
        ('Fairway Log'!$C$2:$C704=$C633),
      0),
      MATCH($G633,'Fairway Log'!$E$1:$V$1,0)
    ),
  "")
)</f>
        <v>1</v>
      </c>
      <c r="Q633" cm="1">
        <f t="array" ref="Q633">IFERROR(
  INDEX('GIR Log'!$E$2:$V$70,
    MATCH(1,
      ('GIR Log'!$A$2:$A$70=$A633)*
      ('GIR Log'!$B$2:$B$70=$B633)*
      ('GIR Log'!$C$2:$C$70=$C633),
    0),
    MATCH($G633,'GIR Log'!$E$1:$V$1,0)
  ),
"")</f>
        <v>1</v>
      </c>
    </row>
    <row r="634" spans="1:17" x14ac:dyDescent="0.25">
      <c r="A634" s="20" t="s">
        <v>126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49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Log'!$E$2:$V$70,
    MATCH(1,
      ('Golf Log'!$A$2:$A$70=$A634)*
      ('Golf Log'!$B$2:$B$70=$B634)*
      ('Golf Log'!$C$2:$C$70=$C634),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Log'!$E$2:$V$70,
    MATCH(1,
      ('Putt Log'!$A$2:$A$70=$A634)*
      ('Putt Log'!$B$2:$B$70=$B634)*
      ('Putt Log'!$C$2:$C$70=$C634),
    0),
    MATCH($G634,'Putt Log'!$E$1:$V$1,0)
  ),
"")</f>
        <v>2</v>
      </c>
      <c r="P634" t="str" cm="1">
        <f t="array" ref="P634">IF(K634=3,"",
  IFERROR(
    INDEX('Fairway Log'!$E$2:$V$70,
      MATCH(1,
        ('Fairway Log'!$A$2:$A$70=$A634)*
        ('Fairway Log'!$B$2:$B$70=$B634)*
        ('Fairway Log'!$C$2:$C705=$C634),
      0),
      MATCH($G634,'Fairway Log'!$E$1:$V$1,0)
    ),
  "")
)</f>
        <v/>
      </c>
      <c r="Q634" t="str" cm="1">
        <f t="array" ref="Q634">IFERROR(
  INDEX('GIR Log'!$E$2:$V$70,
    MATCH(1,
      ('GIR Log'!$A$2:$A$70=$A634)*
      ('GIR Log'!$B$2:$B$70=$B634)*
      ('GIR Log'!$C$2:$C$70=$C634),
    0),
    MATCH($G634,'GIR Log'!$E$1:$V$1,0)
  ),
"")</f>
        <v>↑</v>
      </c>
    </row>
    <row r="635" spans="1:17" x14ac:dyDescent="0.25">
      <c r="A635" s="20" t="s">
        <v>126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50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Log'!$E$2:$V$70,
    MATCH(1,
      ('Golf Log'!$A$2:$A$70=$A635)*
      ('Golf Log'!$B$2:$B$70=$B635)*
      ('Golf Log'!$C$2:$C$70=$C635),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Log'!$E$2:$V$70,
    MATCH(1,
      ('Putt Log'!$A$2:$A$70=$A635)*
      ('Putt Log'!$B$2:$B$70=$B635)*
      ('Putt Log'!$C$2:$C$70=$C635),
    0),
    MATCH($G635,'Putt Log'!$E$1:$V$1,0)
  ),
"")</f>
        <v>3</v>
      </c>
      <c r="P635" t="str" cm="1">
        <f t="array" ref="P635">IF(K635=3,"",
  IFERROR(
    INDEX('Fairway Log'!$E$2:$V$70,
      MATCH(1,
        ('Fairway Log'!$A$2:$A$70=$A635)*
        ('Fairway Log'!$B$2:$B$70=$B635)*
        ('Fairway Log'!$C$2:$C706=$C635),
      0),
      MATCH($G635,'Fairway Log'!$E$1:$V$1,0)
    ),
  "")
)</f>
        <v>→</v>
      </c>
      <c r="Q635" cm="1">
        <f t="array" ref="Q635">IFERROR(
  INDEX('GIR Log'!$E$2:$V$70,
    MATCH(1,
      ('GIR Log'!$A$2:$A$70=$A635)*
      ('GIR Log'!$B$2:$B$70=$B635)*
      ('GIR Log'!$C$2:$C$70=$C635),
    0),
    MATCH($G635,'GIR Log'!$E$1:$V$1,0)
  ),
"")</f>
        <v>1</v>
      </c>
    </row>
    <row r="636" spans="1:17" x14ac:dyDescent="0.25">
      <c r="A636" s="20" t="s">
        <v>126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51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Log'!$E$2:$V$70,
    MATCH(1,
      ('Golf Log'!$A$2:$A$70=$A636)*
      ('Golf Log'!$B$2:$B$70=$B636)*
      ('Golf Log'!$C$2:$C$70=$C636),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Log'!$E$2:$V$70,
    MATCH(1,
      ('Putt Log'!$A$2:$A$70=$A636)*
      ('Putt Log'!$B$2:$B$70=$B636)*
      ('Putt Log'!$C$2:$C$70=$C636),
    0),
    MATCH($G636,'Putt Log'!$E$1:$V$1,0)
  ),
"")</f>
        <v>1</v>
      </c>
      <c r="P636" t="str" cm="1">
        <f t="array" ref="P636">IF(K636=3,"",
  IFERROR(
    INDEX('Fairway Log'!$E$2:$V$70,
      MATCH(1,
        ('Fairway Log'!$A$2:$A$70=$A636)*
        ('Fairway Log'!$B$2:$B$70=$B636)*
        ('Fairway Log'!$C$2:$C707=$C636),
      0),
      MATCH($G636,'Fairway Log'!$E$1:$V$1,0)
    ),
  "")
)</f>
        <v>↑</v>
      </c>
      <c r="Q636" t="str" cm="1">
        <f t="array" ref="Q636">IFERROR(
  INDEX('GIR Log'!$E$2:$V$70,
    MATCH(1,
      ('GIR Log'!$A$2:$A$70=$A636)*
      ('GIR Log'!$B$2:$B$70=$B636)*
      ('GIR Log'!$C$2:$C$70=$C636),
    0),
    MATCH($G636,'GIR Log'!$E$1:$V$1,0)
  ),
"")</f>
        <v>↓</v>
      </c>
    </row>
    <row r="637" spans="1:17" x14ac:dyDescent="0.25">
      <c r="A637" s="20" t="s">
        <v>126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52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Log'!$E$2:$V$70,
    MATCH(1,
      ('Golf Log'!$A$2:$A$70=$A637)*
      ('Golf Log'!$B$2:$B$70=$B637)*
      ('Golf Log'!$C$2:$C$70=$C637),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Log'!$E$2:$V$70,
    MATCH(1,
      ('Putt Log'!$A$2:$A$70=$A637)*
      ('Putt Log'!$B$2:$B$70=$B637)*
      ('Putt Log'!$C$2:$C$70=$C637),
    0),
    MATCH($G637,'Putt Log'!$E$1:$V$1,0)
  ),
"")</f>
        <v>2</v>
      </c>
      <c r="P637" t="str" cm="1">
        <f t="array" ref="P637">IF(K637=3,"",
  IFERROR(
    INDEX('Fairway Log'!$E$2:$V$70,
      MATCH(1,
        ('Fairway Log'!$A$2:$A$70=$A637)*
        ('Fairway Log'!$B$2:$B$70=$B637)*
        ('Fairway Log'!$C$2:$C708=$C637),
      0),
      MATCH($G637,'Fairway Log'!$E$1:$V$1,0)
    ),
  "")
)</f>
        <v/>
      </c>
      <c r="Q637" cm="1">
        <f t="array" ref="Q637">IFERROR(
  INDEX('GIR Log'!$E$2:$V$70,
    MATCH(1,
      ('GIR Log'!$A$2:$A$70=$A637)*
      ('GIR Log'!$B$2:$B$70=$B637)*
      ('GIR Log'!$C$2:$C$70=$C637),
    0),
    MATCH($G637,'GIR Log'!$E$1:$V$1,0)
  ),
"")</f>
        <v>1</v>
      </c>
    </row>
    <row r="638" spans="1:17" x14ac:dyDescent="0.25">
      <c r="A638" s="20" t="s">
        <v>126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53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Log'!$E$2:$V$70,
    MATCH(1,
      ('Golf Log'!$A$2:$A$70=$A638)*
      ('Golf Log'!$B$2:$B$70=$B638)*
      ('Golf Log'!$C$2:$C$70=$C638),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Log'!$E$2:$V$70,
    MATCH(1,
      ('Putt Log'!$A$2:$A$70=$A638)*
      ('Putt Log'!$B$2:$B$70=$B638)*
      ('Putt Log'!$C$2:$C$70=$C638),
    0),
    MATCH($G638,'Putt Log'!$E$1:$V$1,0)
  ),
"")</f>
        <v>2</v>
      </c>
      <c r="P638" cm="1">
        <f t="array" ref="P638">IF(K638=3,"",
  IFERROR(
    INDEX('Fairway Log'!$E$2:$V$70,
      MATCH(1,
        ('Fairway Log'!$A$2:$A$70=$A638)*
        ('Fairway Log'!$B$2:$B$70=$B638)*
        ('Fairway Log'!$C$2:$C709=$C638),
      0),
      MATCH($G638,'Fairway Log'!$E$1:$V$1,0)
    ),
  "")
)</f>
        <v>1</v>
      </c>
      <c r="Q638" cm="1">
        <f t="array" ref="Q638">IFERROR(
  INDEX('GIR Log'!$E$2:$V$70,
    MATCH(1,
      ('GIR Log'!$A$2:$A$70=$A638)*
      ('GIR Log'!$B$2:$B$70=$B638)*
      ('GIR Log'!$C$2:$C$70=$C638),
    0),
    MATCH($G638,'GIR Log'!$E$1:$V$1,0)
  ),
"")</f>
        <v>1</v>
      </c>
    </row>
    <row r="639" spans="1:17" x14ac:dyDescent="0.25">
      <c r="A639" s="20" t="s">
        <v>126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54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Log'!$E$2:$V$70,
    MATCH(1,
      ('Golf Log'!$A$2:$A$70=$A639)*
      ('Golf Log'!$B$2:$B$70=$B639)*
      ('Golf Log'!$C$2:$C$70=$C639),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Log'!$E$2:$V$70,
    MATCH(1,
      ('Putt Log'!$A$2:$A$70=$A639)*
      ('Putt Log'!$B$2:$B$70=$B639)*
      ('Putt Log'!$C$2:$C$70=$C639),
    0),
    MATCH($G639,'Putt Log'!$E$1:$V$1,0)
  ),
"")</f>
        <v>2</v>
      </c>
      <c r="P639" cm="1">
        <f t="array" ref="P639">IF(K639=3,"",
  IFERROR(
    INDEX('Fairway Log'!$E$2:$V$70,
      MATCH(1,
        ('Fairway Log'!$A$2:$A$70=$A639)*
        ('Fairway Log'!$B$2:$B$70=$B639)*
        ('Fairway Log'!$C$2:$C710=$C639),
      0),
      MATCH($G639,'Fairway Log'!$E$1:$V$1,0)
    ),
  "")
)</f>
        <v>1</v>
      </c>
      <c r="Q639" cm="1">
        <f t="array" ref="Q639">IFERROR(
  INDEX('GIR Log'!$E$2:$V$70,
    MATCH(1,
      ('GIR Log'!$A$2:$A$70=$A639)*
      ('GIR Log'!$B$2:$B$70=$B639)*
      ('GIR Log'!$C$2:$C$70=$C639),
    0),
    MATCH($G639,'GIR Log'!$E$1:$V$1,0)
  ),
"")</f>
        <v>1</v>
      </c>
    </row>
    <row r="640" spans="1:17" x14ac:dyDescent="0.25">
      <c r="A640" s="20" t="s">
        <v>126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55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Log'!$E$2:$V$70,
    MATCH(1,
      ('Golf Log'!$A$2:$A$70=$A640)*
      ('Golf Log'!$B$2:$B$70=$B640)*
      ('Golf Log'!$C$2:$C$70=$C640),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Log'!$E$2:$V$70,
    MATCH(1,
      ('Putt Log'!$A$2:$A$70=$A640)*
      ('Putt Log'!$B$2:$B$70=$B640)*
      ('Putt Log'!$C$2:$C$70=$C640),
    0),
    MATCH($G640,'Putt Log'!$E$1:$V$1,0)
  ),
"")</f>
        <v>2</v>
      </c>
      <c r="P640" cm="1">
        <f t="array" ref="P640">IF(K640=3,"",
  IFERROR(
    INDEX('Fairway Log'!$E$2:$V$70,
      MATCH(1,
        ('Fairway Log'!$A$2:$A$70=$A640)*
        ('Fairway Log'!$B$2:$B$70=$B640)*
        ('Fairway Log'!$C$2:$C711=$C640),
      0),
      MATCH($G640,'Fairway Log'!$E$1:$V$1,0)
    ),
  "")
)</f>
        <v>1</v>
      </c>
      <c r="Q640" cm="1">
        <f t="array" ref="Q640">IFERROR(
  INDEX('GIR Log'!$E$2:$V$70,
    MATCH(1,
      ('GIR Log'!$A$2:$A$70=$A640)*
      ('GIR Log'!$B$2:$B$70=$B640)*
      ('GIR Log'!$C$2:$C$70=$C640),
    0),
    MATCH($G640,'GIR Log'!$E$1:$V$1,0)
  ),
"")</f>
        <v>1</v>
      </c>
    </row>
    <row r="641" spans="1:17" x14ac:dyDescent="0.25">
      <c r="A641" s="20" t="s">
        <v>126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56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Log'!$E$2:$V$70,
    MATCH(1,
      ('Golf Log'!$A$2:$A$70=$A641)*
      ('Golf Log'!$B$2:$B$70=$B641)*
      ('Golf Log'!$C$2:$C$70=$C641),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Log'!$E$2:$V$70,
    MATCH(1,
      ('Putt Log'!$A$2:$A$70=$A641)*
      ('Putt Log'!$B$2:$B$70=$B641)*
      ('Putt Log'!$C$2:$C$70=$C641),
    0),
    MATCH($G641,'Putt Log'!$E$1:$V$1,0)
  ),
"")</f>
        <v>2</v>
      </c>
      <c r="P641" t="str" cm="1">
        <f t="array" ref="P641">IF(K641=3,"",
  IFERROR(
    INDEX('Fairway Log'!$E$2:$V$70,
      MATCH(1,
        ('Fairway Log'!$A$2:$A$70=$A641)*
        ('Fairway Log'!$B$2:$B$70=$B641)*
        ('Fairway Log'!$C$2:$C712=$C641),
      0),
      MATCH($G641,'Fairway Log'!$E$1:$V$1,0)
    ),
  "")
)</f>
        <v>→</v>
      </c>
      <c r="Q641" cm="1">
        <f t="array" ref="Q641">IFERROR(
  INDEX('GIR Log'!$E$2:$V$70,
    MATCH(1,
      ('GIR Log'!$A$2:$A$70=$A641)*
      ('GIR Log'!$B$2:$B$70=$B641)*
      ('GIR Log'!$C$2:$C$70=$C641),
    0),
    MATCH($G641,'GIR Log'!$E$1:$V$1,0)
  ),
"")</f>
        <v>1</v>
      </c>
    </row>
    <row r="642" spans="1:17" x14ac:dyDescent="0.25">
      <c r="A642" s="20" t="s">
        <v>126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57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Log'!$E$2:$V$70,
    MATCH(1,
      ('Golf Log'!$A$2:$A$70=$A642)*
      ('Golf Log'!$B$2:$B$70=$B642)*
      ('Golf Log'!$C$2:$C$70=$C642),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Log'!$E$2:$V$70,
    MATCH(1,
      ('Putt Log'!$A$2:$A$70=$A642)*
      ('Putt Log'!$B$2:$B$70=$B642)*
      ('Putt Log'!$C$2:$C$70=$C642),
    0),
    MATCH($G642,'Putt Log'!$E$1:$V$1,0)
  ),
"")</f>
        <v>2</v>
      </c>
      <c r="P642" t="str" cm="1">
        <f t="array" ref="P642">IF(K642=3,"",
  IFERROR(
    INDEX('Fairway Log'!$E$2:$V$70,
      MATCH(1,
        ('Fairway Log'!$A$2:$A$70=$A642)*
        ('Fairway Log'!$B$2:$B$70=$B642)*
        ('Fairway Log'!$C$2:$C713=$C642),
      0),
      MATCH($G642,'Fairway Log'!$E$1:$V$1,0)
    ),
  "")
)</f>
        <v/>
      </c>
      <c r="Q642" cm="1">
        <f t="array" ref="Q642">IFERROR(
  INDEX('GIR Log'!$E$2:$V$70,
    MATCH(1,
      ('GIR Log'!$A$2:$A$70=$A642)*
      ('GIR Log'!$B$2:$B$70=$B642)*
      ('GIR Log'!$C$2:$C$70=$C642),
    0),
    MATCH($G642,'GIR Log'!$E$1:$V$1,0)
  ),
"")</f>
        <v>1</v>
      </c>
    </row>
    <row r="643" spans="1:17" x14ac:dyDescent="0.25">
      <c r="A643" s="20" t="s">
        <v>126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58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Log'!$E$2:$V$70,
    MATCH(1,
      ('Golf Log'!$A$2:$A$70=$A643)*
      ('Golf Log'!$B$2:$B$70=$B643)*
      ('Golf Log'!$C$2:$C$70=$C643),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Log'!$E$2:$V$70,
    MATCH(1,
      ('Putt Log'!$A$2:$A$70=$A643)*
      ('Putt Log'!$B$2:$B$70=$B643)*
      ('Putt Log'!$C$2:$C$70=$C643),
    0),
    MATCH($G643,'Putt Log'!$E$1:$V$1,0)
  ),
"")</f>
        <v>1</v>
      </c>
      <c r="P643" cm="1">
        <f t="array" ref="P643">IF(K643=3,"",
  IFERROR(
    INDEX('Fairway Log'!$E$2:$V$70,
      MATCH(1,
        ('Fairway Log'!$A$2:$A$70=$A643)*
        ('Fairway Log'!$B$2:$B$70=$B643)*
        ('Fairway Log'!$C$2:$C714=$C643),
      0),
      MATCH($G643,'Fairway Log'!$E$1:$V$1,0)
    ),
  "")
)</f>
        <v>1</v>
      </c>
      <c r="Q643" cm="1">
        <f t="array" ref="Q643">IFERROR(
  INDEX('GIR Log'!$E$2:$V$70,
    MATCH(1,
      ('GIR Log'!$A$2:$A$70=$A643)*
      ('GIR Log'!$B$2:$B$70=$B643)*
      ('GIR Log'!$C$2:$C$70=$C643),
    0),
    MATCH($G643,'GIR Log'!$E$1:$V$1,0)
  ),
"")</f>
        <v>1</v>
      </c>
    </row>
    <row r="644" spans="1:17" x14ac:dyDescent="0.25">
      <c r="A644" s="20" t="s">
        <v>126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59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Log'!$E$2:$V$70,
    MATCH(1,
      ('Golf Log'!$A$2:$A$70=$A644)*
      ('Golf Log'!$B$2:$B$70=$B644)*
      ('Golf Log'!$C$2:$C$70=$C644),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Log'!$E$2:$V$70,
    MATCH(1,
      ('Putt Log'!$A$2:$A$70=$A644)*
      ('Putt Log'!$B$2:$B$70=$B644)*
      ('Putt Log'!$C$2:$C$70=$C644),
    0),
    MATCH($G644,'Putt Log'!$E$1:$V$1,0)
  ),
"")</f>
        <v>2</v>
      </c>
      <c r="P644" t="str" cm="1">
        <f t="array" ref="P644">IF(K644=3,"",
  IFERROR(
    INDEX('Fairway Log'!$E$2:$V$70,
      MATCH(1,
        ('Fairway Log'!$A$2:$A$70=$A644)*
        ('Fairway Log'!$B$2:$B$70=$B644)*
        ('Fairway Log'!$C$2:$C715=$C644),
      0),
      MATCH($G644,'Fairway Log'!$E$1:$V$1,0)
    ),
  "")
)</f>
        <v>→</v>
      </c>
      <c r="Q644" t="str" cm="1">
        <f t="array" ref="Q644">IFERROR(
  INDEX('GIR Log'!$E$2:$V$70,
    MATCH(1,
      ('GIR Log'!$A$2:$A$70=$A644)*
      ('GIR Log'!$B$2:$B$70=$B644)*
      ('GIR Log'!$C$2:$C$70=$C644),
    0),
    MATCH($G644,'GIR Log'!$E$1:$V$1,0)
  ),
"")</f>
        <v>↓</v>
      </c>
    </row>
    <row r="645" spans="1:17" x14ac:dyDescent="0.25">
      <c r="A645" s="20" t="s">
        <v>126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60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Log'!$E$2:$V$70,
    MATCH(1,
      ('Golf Log'!$A$2:$A$70=$A645)*
      ('Golf Log'!$B$2:$B$70=$B645)*
      ('Golf Log'!$C$2:$C$70=$C645),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Log'!$E$2:$V$70,
    MATCH(1,
      ('Putt Log'!$A$2:$A$70=$A645)*
      ('Putt Log'!$B$2:$B$70=$B645)*
      ('Putt Log'!$C$2:$C$70=$C645),
    0),
    MATCH($G645,'Putt Log'!$E$1:$V$1,0)
  ),
"")</f>
        <v>1</v>
      </c>
      <c r="P645" cm="1">
        <f t="array" ref="P645">IF(K645=3,"",
  IFERROR(
    INDEX('Fairway Log'!$E$2:$V$70,
      MATCH(1,
        ('Fairway Log'!$A$2:$A$70=$A645)*
        ('Fairway Log'!$B$2:$B$70=$B645)*
        ('Fairway Log'!$C$2:$C716=$C645),
      0),
      MATCH($G645,'Fairway Log'!$E$1:$V$1,0)
    ),
  "")
)</f>
        <v>1</v>
      </c>
      <c r="Q645" t="str" cm="1">
        <f t="array" ref="Q645">IFERROR(
  INDEX('GIR Log'!$E$2:$V$70,
    MATCH(1,
      ('GIR Log'!$A$2:$A$70=$A645)*
      ('GIR Log'!$B$2:$B$70=$B645)*
      ('GIR Log'!$C$2:$C$70=$C645),
    0),
    MATCH($G645,'GIR Log'!$E$1:$V$1,0)
  ),
"")</f>
        <v>↓</v>
      </c>
    </row>
    <row r="646" spans="1:17" x14ac:dyDescent="0.25">
      <c r="A646" s="20" t="s">
        <v>126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61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Log'!$E$2:$V$70,
    MATCH(1,
      ('Golf Log'!$A$2:$A$70=$A646)*
      ('Golf Log'!$B$2:$B$70=$B646)*
      ('Golf Log'!$C$2:$C$70=$C646),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Log'!$E$2:$V$70,
    MATCH(1,
      ('Putt Log'!$A$2:$A$70=$A646)*
      ('Putt Log'!$B$2:$B$70=$B646)*
      ('Putt Log'!$C$2:$C$70=$C646),
    0),
    MATCH($G646,'Putt Log'!$E$1:$V$1,0)
  ),
"")</f>
        <v>2</v>
      </c>
      <c r="P646" t="str" cm="1">
        <f t="array" ref="P646">IF(K646=3,"",
  IFERROR(
    INDEX('Fairway Log'!$E$2:$V$70,
      MATCH(1,
        ('Fairway Log'!$A$2:$A$70=$A646)*
        ('Fairway Log'!$B$2:$B$70=$B646)*
        ('Fairway Log'!$C$2:$C717=$C646),
      0),
      MATCH($G646,'Fairway Log'!$E$1:$V$1,0)
    ),
  "")
)</f>
        <v/>
      </c>
      <c r="Q646" t="str" cm="1">
        <f t="array" ref="Q646">IFERROR(
  INDEX('GIR Log'!$E$2:$V$70,
    MATCH(1,
      ('GIR Log'!$A$2:$A$70=$A646)*
      ('GIR Log'!$B$2:$B$70=$B646)*
      ('GIR Log'!$C$2:$C$70=$C646),
    0),
    MATCH($G646,'GIR Log'!$E$1:$V$1,0)
  ),
"")</f>
        <v>→</v>
      </c>
    </row>
    <row r="647" spans="1:17" x14ac:dyDescent="0.25">
      <c r="A647" s="20" t="s">
        <v>126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62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Log'!$E$2:$V$70,
    MATCH(1,
      ('Golf Log'!$A$2:$A$70=$A647)*
      ('Golf Log'!$B$2:$B$70=$B647)*
      ('Golf Log'!$C$2:$C$70=$C647),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Log'!$E$2:$V$70,
    MATCH(1,
      ('Putt Log'!$A$2:$A$70=$A647)*
      ('Putt Log'!$B$2:$B$70=$B647)*
      ('Putt Log'!$C$2:$C$70=$C647),
    0),
    MATCH($G647,'Putt Log'!$E$1:$V$1,0)
  ),
"")</f>
        <v>2</v>
      </c>
      <c r="P647" t="str" cm="1">
        <f t="array" ref="P647">IF(K647=3,"",
  IFERROR(
    INDEX('Fairway Log'!$E$2:$V$70,
      MATCH(1,
        ('Fairway Log'!$A$2:$A$70=$A647)*
        ('Fairway Log'!$B$2:$B$70=$B647)*
        ('Fairway Log'!$C$2:$C718=$C647),
      0),
      MATCH($G647,'Fairway Log'!$E$1:$V$1,0)
    ),
  "")
)</f>
        <v>→</v>
      </c>
      <c r="Q647" t="str" cm="1">
        <f t="array" ref="Q647">IFERROR(
  INDEX('GIR Log'!$E$2:$V$70,
    MATCH(1,
      ('GIR Log'!$A$2:$A$70=$A647)*
      ('GIR Log'!$B$2:$B$70=$B647)*
      ('GIR Log'!$C$2:$C$70=$C647),
    0),
    MATCH($G647,'GIR Log'!$E$1:$V$1,0)
  ),
"")</f>
        <v>→</v>
      </c>
    </row>
    <row r="648" spans="1:17" x14ac:dyDescent="0.25">
      <c r="A648" s="20" t="s">
        <v>126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63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Log'!$E$2:$V$70,
    MATCH(1,
      ('Golf Log'!$A$2:$A$70=$A648)*
      ('Golf Log'!$B$2:$B$70=$B648)*
      ('Golf Log'!$C$2:$C$70=$C648),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Log'!$E$2:$V$70,
    MATCH(1,
      ('Putt Log'!$A$2:$A$70=$A648)*
      ('Putt Log'!$B$2:$B$70=$B648)*
      ('Putt Log'!$C$2:$C$70=$C648),
    0),
    MATCH($G648,'Putt Log'!$E$1:$V$1,0)
  ),
"")</f>
        <v>1</v>
      </c>
      <c r="P648" cm="1">
        <f t="array" ref="P648">IF(K648=3,"",
  IFERROR(
    INDEX('Fairway Log'!$E$2:$V$70,
      MATCH(1,
        ('Fairway Log'!$A$2:$A$70=$A648)*
        ('Fairway Log'!$B$2:$B$70=$B648)*
        ('Fairway Log'!$C$2:$C719=$C648),
      0),
      MATCH($G648,'Fairway Log'!$E$1:$V$1,0)
    ),
  "")
)</f>
        <v>1</v>
      </c>
      <c r="Q648" t="str" cm="1">
        <f t="array" ref="Q648">IFERROR(
  INDEX('GIR Log'!$E$2:$V$70,
    MATCH(1,
      ('GIR Log'!$A$2:$A$70=$A648)*
      ('GIR Log'!$B$2:$B$70=$B648)*
      ('GIR Log'!$C$2:$C$70=$C648),
    0),
    MATCH($G648,'GIR Log'!$E$1:$V$1,0)
  ),
"")</f>
        <v>→</v>
      </c>
    </row>
    <row r="649" spans="1:17" x14ac:dyDescent="0.25">
      <c r="A649" s="20" t="s">
        <v>126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64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Log'!$E$2:$V$70,
    MATCH(1,
      ('Golf Log'!$A$2:$A$70=$A649)*
      ('Golf Log'!$B$2:$B$70=$B649)*
      ('Golf Log'!$C$2:$C$70=$C649),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Log'!$E$2:$V$70,
    MATCH(1,
      ('Putt Log'!$A$2:$A$70=$A649)*
      ('Putt Log'!$B$2:$B$70=$B649)*
      ('Putt Log'!$C$2:$C$70=$C649),
    0),
    MATCH($G649,'Putt Log'!$E$1:$V$1,0)
  ),
"")</f>
        <v>2</v>
      </c>
      <c r="P649" cm="1">
        <f t="array" ref="P649">IF(K649=3,"",
  IFERROR(
    INDEX('Fairway Log'!$E$2:$V$70,
      MATCH(1,
        ('Fairway Log'!$A$2:$A$70=$A649)*
        ('Fairway Log'!$B$2:$B$70=$B649)*
        ('Fairway Log'!$C$2:$C720=$C649),
      0),
      MATCH($G649,'Fairway Log'!$E$1:$V$1,0)
    ),
  "")
)</f>
        <v>1</v>
      </c>
      <c r="Q649" cm="1">
        <f t="array" ref="Q649">IFERROR(
  INDEX('GIR Log'!$E$2:$V$70,
    MATCH(1,
      ('GIR Log'!$A$2:$A$70=$A649)*
      ('GIR Log'!$B$2:$B$70=$B649)*
      ('GIR Log'!$C$2:$C$70=$C649),
    0),
    MATCH($G649,'GIR Log'!$E$1:$V$1,0)
  ),
"")</f>
        <v>1</v>
      </c>
    </row>
    <row r="650" spans="1:17" x14ac:dyDescent="0.25">
      <c r="A650" s="20" t="s">
        <v>126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47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Log'!$E$2:$V$70,
    MATCH(1,
      ('Golf Log'!$A$2:$A$70=$A650)*
      ('Golf Log'!$B$2:$B$70=$B650)*
      ('Golf Log'!$C$2:$C$70=$C650),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Log'!$E$2:$V$70,
    MATCH(1,
      ('Putt Log'!$A$2:$A$70=$A650)*
      ('Putt Log'!$B$2:$B$70=$B650)*
      ('Putt Log'!$C$2:$C$70=$C650),
    0),
    MATCH($G650,'Putt Log'!$E$1:$V$1,0)
  ),
"")</f>
        <v>2</v>
      </c>
      <c r="P650" cm="1">
        <f t="array" ref="P650">IF(K650=3,"",
  IFERROR(
    INDEX('Fairway Log'!$E$2:$V$70,
      MATCH(1,
        ('Fairway Log'!$A$2:$A$70=$A650)*
        ('Fairway Log'!$B$2:$B$70=$B650)*
        ('Fairway Log'!$C$2:$C721=$C650),
      0),
      MATCH($G650,'Fairway Log'!$E$1:$V$1,0)
    ),
  "")
)</f>
        <v>1</v>
      </c>
      <c r="Q650" cm="1">
        <f t="array" ref="Q650">IFERROR(
  INDEX('GIR Log'!$E$2:$V$70,
    MATCH(1,
      ('GIR Log'!$A$2:$A$70=$A650)*
      ('GIR Log'!$B$2:$B$70=$B650)*
      ('GIR Log'!$C$2:$C$70=$C650),
    0),
    MATCH($G650,'GIR Log'!$E$1:$V$1,0)
  ),
"")</f>
        <v>1</v>
      </c>
    </row>
    <row r="651" spans="1:17" x14ac:dyDescent="0.25">
      <c r="A651" s="20" t="s">
        <v>126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48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Log'!$E$2:$V$70,
    MATCH(1,
      ('Golf Log'!$A$2:$A$70=$A651)*
      ('Golf Log'!$B$2:$B$70=$B651)*
      ('Golf Log'!$C$2:$C$70=$C651),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Log'!$E$2:$V$70,
    MATCH(1,
      ('Putt Log'!$A$2:$A$70=$A651)*
      ('Putt Log'!$B$2:$B$70=$B651)*
      ('Putt Log'!$C$2:$C$70=$C651),
    0),
    MATCH($G651,'Putt Log'!$E$1:$V$1,0)
  ),
"")</f>
        <v>2</v>
      </c>
      <c r="P651" t="str" cm="1">
        <f t="array" ref="P651">IF(K651=3,"",
  IFERROR(
    INDEX('Fairway Log'!$E$2:$V$70,
      MATCH(1,
        ('Fairway Log'!$A$2:$A$70=$A651)*
        ('Fairway Log'!$B$2:$B$70=$B651)*
        ('Fairway Log'!$C$2:$C722=$C651),
      0),
      MATCH($G651,'Fairway Log'!$E$1:$V$1,0)
    ),
  "")
)</f>
        <v>→</v>
      </c>
      <c r="Q651" t="str" cm="1">
        <f t="array" ref="Q651">IFERROR(
  INDEX('GIR Log'!$E$2:$V$70,
    MATCH(1,
      ('GIR Log'!$A$2:$A$70=$A651)*
      ('GIR Log'!$B$2:$B$70=$B651)*
      ('GIR Log'!$C$2:$C$70=$C651),
    0),
    MATCH($G651,'GIR Log'!$E$1:$V$1,0)
  ),
"")</f>
        <v>↓</v>
      </c>
    </row>
    <row r="652" spans="1:17" x14ac:dyDescent="0.25">
      <c r="A652" s="20" t="s">
        <v>126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49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Log'!$E$2:$V$70,
    MATCH(1,
      ('Golf Log'!$A$2:$A$70=$A652)*
      ('Golf Log'!$B$2:$B$70=$B652)*
      ('Golf Log'!$C$2:$C$70=$C652),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Log'!$E$2:$V$70,
    MATCH(1,
      ('Putt Log'!$A$2:$A$70=$A652)*
      ('Putt Log'!$B$2:$B$70=$B652)*
      ('Putt Log'!$C$2:$C$70=$C652),
    0),
    MATCH($G652,'Putt Log'!$E$1:$V$1,0)
  ),
"")</f>
        <v>1</v>
      </c>
      <c r="P652" cm="1">
        <f t="array" ref="P652">IF(K652=3,"",
  IFERROR(
    INDEX('Fairway Log'!$E$2:$V$70,
      MATCH(1,
        ('Fairway Log'!$A$2:$A$70=$A652)*
        ('Fairway Log'!$B$2:$B$70=$B652)*
        ('Fairway Log'!$C$2:$C723=$C652),
      0),
      MATCH($G652,'Fairway Log'!$E$1:$V$1,0)
    ),
  "")
)</f>
        <v>1</v>
      </c>
      <c r="Q652" t="str" cm="1">
        <f t="array" ref="Q652">IFERROR(
  INDEX('GIR Log'!$E$2:$V$70,
    MATCH(1,
      ('GIR Log'!$A$2:$A$70=$A652)*
      ('GIR Log'!$B$2:$B$70=$B652)*
      ('GIR Log'!$C$2:$C$70=$C652),
    0),
    MATCH($G652,'GIR Log'!$E$1:$V$1,0)
  ),
"")</f>
        <v>↓</v>
      </c>
    </row>
    <row r="653" spans="1:17" x14ac:dyDescent="0.25">
      <c r="A653" s="20" t="s">
        <v>126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50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Log'!$E$2:$V$70,
    MATCH(1,
      ('Golf Log'!$A$2:$A$70=$A653)*
      ('Golf Log'!$B$2:$B$70=$B653)*
      ('Golf Log'!$C$2:$C$70=$C653),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Log'!$E$2:$V$70,
    MATCH(1,
      ('Putt Log'!$A$2:$A$70=$A653)*
      ('Putt Log'!$B$2:$B$70=$B653)*
      ('Putt Log'!$C$2:$C$70=$C653),
    0),
    MATCH($G653,'Putt Log'!$E$1:$V$1,0)
  ),
"")</f>
        <v>2</v>
      </c>
      <c r="P653" t="str" cm="1">
        <f t="array" ref="P653">IF(K653=3,"",
  IFERROR(
    INDEX('Fairway Log'!$E$2:$V$70,
      MATCH(1,
        ('Fairway Log'!$A$2:$A$70=$A653)*
        ('Fairway Log'!$B$2:$B$70=$B653)*
        ('Fairway Log'!$C$2:$C724=$C653),
      0),
      MATCH($G653,'Fairway Log'!$E$1:$V$1,0)
    ),
  "")
)</f>
        <v/>
      </c>
      <c r="Q653" t="str" cm="1">
        <f t="array" ref="Q653">IFERROR(
  INDEX('GIR Log'!$E$2:$V$70,
    MATCH(1,
      ('GIR Log'!$A$2:$A$70=$A653)*
      ('GIR Log'!$B$2:$B$70=$B653)*
      ('GIR Log'!$C$2:$C$70=$C653),
    0),
    MATCH($G653,'GIR Log'!$E$1:$V$1,0)
  ),
"")</f>
        <v>→</v>
      </c>
    </row>
    <row r="654" spans="1:17" x14ac:dyDescent="0.25">
      <c r="A654" s="20" t="s">
        <v>126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51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Log'!$E$2:$V$70,
    MATCH(1,
      ('Golf Log'!$A$2:$A$70=$A654)*
      ('Golf Log'!$B$2:$B$70=$B654)*
      ('Golf Log'!$C$2:$C$70=$C654),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Log'!$E$2:$V$70,
    MATCH(1,
      ('Putt Log'!$A$2:$A$70=$A654)*
      ('Putt Log'!$B$2:$B$70=$B654)*
      ('Putt Log'!$C$2:$C$70=$C654),
    0),
    MATCH($G654,'Putt Log'!$E$1:$V$1,0)
  ),
"")</f>
        <v>2</v>
      </c>
      <c r="P654" cm="1">
        <f t="array" ref="P654">IF(K654=3,"",
  IFERROR(
    INDEX('Fairway Log'!$E$2:$V$70,
      MATCH(1,
        ('Fairway Log'!$A$2:$A$70=$A654)*
        ('Fairway Log'!$B$2:$B$70=$B654)*
        ('Fairway Log'!$C$2:$C725=$C654),
      0),
      MATCH($G654,'Fairway Log'!$E$1:$V$1,0)
    ),
  "")
)</f>
        <v>1</v>
      </c>
      <c r="Q654" cm="1">
        <f t="array" ref="Q654">IFERROR(
  INDEX('GIR Log'!$E$2:$V$70,
    MATCH(1,
      ('GIR Log'!$A$2:$A$70=$A654)*
      ('GIR Log'!$B$2:$B$70=$B654)*
      ('GIR Log'!$C$2:$C$70=$C654),
    0),
    MATCH($G654,'GIR Log'!$E$1:$V$1,0)
  ),
"")</f>
        <v>1</v>
      </c>
    </row>
    <row r="655" spans="1:17" x14ac:dyDescent="0.25">
      <c r="A655" s="20" t="s">
        <v>126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52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Log'!$E$2:$V$70,
    MATCH(1,
      ('Golf Log'!$A$2:$A$70=$A655)*
      ('Golf Log'!$B$2:$B$70=$B655)*
      ('Golf Log'!$C$2:$C$70=$C655),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Log'!$E$2:$V$70,
    MATCH(1,
      ('Putt Log'!$A$2:$A$70=$A655)*
      ('Putt Log'!$B$2:$B$70=$B655)*
      ('Putt Log'!$C$2:$C$70=$C655),
    0),
    MATCH($G655,'Putt Log'!$E$1:$V$1,0)
  ),
"")</f>
        <v>2</v>
      </c>
      <c r="P655" t="str" cm="1">
        <f t="array" ref="P655">IF(K655=3,"",
  IFERROR(
    INDEX('Fairway Log'!$E$2:$V$70,
      MATCH(1,
        ('Fairway Log'!$A$2:$A$70=$A655)*
        ('Fairway Log'!$B$2:$B$70=$B655)*
        ('Fairway Log'!$C$2:$C726=$C655),
      0),
      MATCH($G655,'Fairway Log'!$E$1:$V$1,0)
    ),
  "")
)</f>
        <v>→</v>
      </c>
      <c r="Q655" t="str" cm="1">
        <f t="array" ref="Q655">IFERROR(
  INDEX('GIR Log'!$E$2:$V$70,
    MATCH(1,
      ('GIR Log'!$A$2:$A$70=$A655)*
      ('GIR Log'!$B$2:$B$70=$B655)*
      ('GIR Log'!$C$2:$C$70=$C655),
    0),
    MATCH($G655,'GIR Log'!$E$1:$V$1,0)
  ),
"")</f>
        <v>→</v>
      </c>
    </row>
    <row r="656" spans="1:17" x14ac:dyDescent="0.25">
      <c r="A656" s="20" t="s">
        <v>126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53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Log'!$E$2:$V$70,
    MATCH(1,
      ('Golf Log'!$A$2:$A$70=$A656)*
      ('Golf Log'!$B$2:$B$70=$B656)*
      ('Golf Log'!$C$2:$C$70=$C656),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Log'!$E$2:$V$70,
    MATCH(1,
      ('Putt Log'!$A$2:$A$70=$A656)*
      ('Putt Log'!$B$2:$B$70=$B656)*
      ('Putt Log'!$C$2:$C$70=$C656),
    0),
    MATCH($G656,'Putt Log'!$E$1:$V$1,0)
  ),
"")</f>
        <v>1</v>
      </c>
      <c r="P656" t="str" cm="1">
        <f t="array" ref="P656">IF(K656=3,"",
  IFERROR(
    INDEX('Fairway Log'!$E$2:$V$70,
      MATCH(1,
        ('Fairway Log'!$A$2:$A$70=$A656)*
        ('Fairway Log'!$B$2:$B$70=$B656)*
        ('Fairway Log'!$C$2:$C727=$C656),
      0),
      MATCH($G656,'Fairway Log'!$E$1:$V$1,0)
    ),
  "")
)</f>
        <v/>
      </c>
      <c r="Q656" t="str" cm="1">
        <f t="array" ref="Q656">IFERROR(
  INDEX('GIR Log'!$E$2:$V$70,
    MATCH(1,
      ('GIR Log'!$A$2:$A$70=$A656)*
      ('GIR Log'!$B$2:$B$70=$B656)*
      ('GIR Log'!$C$2:$C$70=$C656),
    0),
    MATCH($G656,'GIR Log'!$E$1:$V$1,0)
  ),
"")</f>
        <v>→</v>
      </c>
    </row>
    <row r="657" spans="1:17" x14ac:dyDescent="0.25">
      <c r="A657" s="20" t="s">
        <v>126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54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Log'!$E$2:$V$70,
    MATCH(1,
      ('Golf Log'!$A$2:$A$70=$A657)*
      ('Golf Log'!$B$2:$B$70=$B657)*
      ('Golf Log'!$C$2:$C$70=$C657),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Log'!$E$2:$V$70,
    MATCH(1,
      ('Putt Log'!$A$2:$A$70=$A657)*
      ('Putt Log'!$B$2:$B$70=$B657)*
      ('Putt Log'!$C$2:$C$70=$C657),
    0),
    MATCH($G657,'Putt Log'!$E$1:$V$1,0)
  ),
"")</f>
        <v>1</v>
      </c>
      <c r="P657" cm="1">
        <f t="array" ref="P657">IF(K657=3,"",
  IFERROR(
    INDEX('Fairway Log'!$E$2:$V$70,
      MATCH(1,
        ('Fairway Log'!$A$2:$A$70=$A657)*
        ('Fairway Log'!$B$2:$B$70=$B657)*
        ('Fairway Log'!$C$2:$C728=$C657),
      0),
      MATCH($G657,'Fairway Log'!$E$1:$V$1,0)
    ),
  "")
)</f>
        <v>1</v>
      </c>
      <c r="Q657" t="str" cm="1">
        <f t="array" ref="Q657">IFERROR(
  INDEX('GIR Log'!$E$2:$V$70,
    MATCH(1,
      ('GIR Log'!$A$2:$A$70=$A657)*
      ('GIR Log'!$B$2:$B$70=$B657)*
      ('GIR Log'!$C$2:$C$70=$C657),
    0),
    MATCH($G657,'GIR Log'!$E$1:$V$1,0)
  ),
"")</f>
        <v>→</v>
      </c>
    </row>
    <row r="658" spans="1:17" x14ac:dyDescent="0.25">
      <c r="A658" s="20" t="s">
        <v>126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55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Log'!$E$2:$V$70,
    MATCH(1,
      ('Golf Log'!$A$2:$A$70=$A658)*
      ('Golf Log'!$B$2:$B$70=$B658)*
      ('Golf Log'!$C$2:$C$70=$C658),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Log'!$E$2:$V$70,
    MATCH(1,
      ('Putt Log'!$A$2:$A$70=$A658)*
      ('Putt Log'!$B$2:$B$70=$B658)*
      ('Putt Log'!$C$2:$C$70=$C658),
    0),
    MATCH($G658,'Putt Log'!$E$1:$V$1,0)
  ),
"")</f>
        <v>2</v>
      </c>
      <c r="P658" cm="1">
        <f t="array" ref="P658">IF(K658=3,"",
  IFERROR(
    INDEX('Fairway Log'!$E$2:$V$70,
      MATCH(1,
        ('Fairway Log'!$A$2:$A$70=$A658)*
        ('Fairway Log'!$B$2:$B$70=$B658)*
        ('Fairway Log'!$C$2:$C729=$C658),
      0),
      MATCH($G658,'Fairway Log'!$E$1:$V$1,0)
    ),
  "")
)</f>
        <v>1</v>
      </c>
      <c r="Q658" t="str" cm="1">
        <f t="array" ref="Q658">IFERROR(
  INDEX('GIR Log'!$E$2:$V$70,
    MATCH(1,
      ('GIR Log'!$A$2:$A$70=$A658)*
      ('GIR Log'!$B$2:$B$70=$B658)*
      ('GIR Log'!$C$2:$C$70=$C658),
    0),
    MATCH($G658,'GIR Log'!$E$1:$V$1,0)
  ),
"")</f>
        <v>↓</v>
      </c>
    </row>
    <row r="659" spans="1:17" x14ac:dyDescent="0.25">
      <c r="A659" s="20" t="s">
        <v>126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56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Log'!$E$2:$V$70,
    MATCH(1,
      ('Golf Log'!$A$2:$A$70=$A659)*
      ('Golf Log'!$B$2:$B$70=$B659)*
      ('Golf Log'!$C$2:$C$70=$C659),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Log'!$E$2:$V$70,
    MATCH(1,
      ('Putt Log'!$A$2:$A$70=$A659)*
      ('Putt Log'!$B$2:$B$70=$B659)*
      ('Putt Log'!$C$2:$C$70=$C659),
    0),
    MATCH($G659,'Putt Log'!$E$1:$V$1,0)
  ),
"")</f>
        <v>1</v>
      </c>
      <c r="P659" t="str" cm="1">
        <f t="array" ref="P659">IF(K659=3,"",
  IFERROR(
    INDEX('Fairway Log'!$E$2:$V$70,
      MATCH(1,
        ('Fairway Log'!$A$2:$A$70=$A659)*
        ('Fairway Log'!$B$2:$B$70=$B659)*
        ('Fairway Log'!$C$2:$C730=$C659),
      0),
      MATCH($G659,'Fairway Log'!$E$1:$V$1,0)
    ),
  "")
)</f>
        <v>→</v>
      </c>
      <c r="Q659" t="str" cm="1">
        <f t="array" ref="Q659">IFERROR(
  INDEX('GIR Log'!$E$2:$V$70,
    MATCH(1,
      ('GIR Log'!$A$2:$A$70=$A659)*
      ('GIR Log'!$B$2:$B$70=$B659)*
      ('GIR Log'!$C$2:$C$70=$C659),
    0),
    MATCH($G659,'GIR Log'!$E$1:$V$1,0)
  ),
"")</f>
        <v>↓</v>
      </c>
    </row>
    <row r="660" spans="1:17" x14ac:dyDescent="0.25">
      <c r="A660" s="20" t="s">
        <v>126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57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Log'!$E$2:$V$70,
    MATCH(1,
      ('Golf Log'!$A$2:$A$70=$A660)*
      ('Golf Log'!$B$2:$B$70=$B660)*
      ('Golf Log'!$C$2:$C$70=$C660),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Log'!$E$2:$V$70,
    MATCH(1,
      ('Putt Log'!$A$2:$A$70=$A660)*
      ('Putt Log'!$B$2:$B$70=$B660)*
      ('Putt Log'!$C$2:$C$70=$C660),
    0),
    MATCH($G660,'Putt Log'!$E$1:$V$1,0)
  ),
"")</f>
        <v>1</v>
      </c>
      <c r="P660" t="str" cm="1">
        <f t="array" ref="P660">IF(K660=3,"",
  IFERROR(
    INDEX('Fairway Log'!$E$2:$V$70,
      MATCH(1,
        ('Fairway Log'!$A$2:$A$70=$A660)*
        ('Fairway Log'!$B$2:$B$70=$B660)*
        ('Fairway Log'!$C$2:$C731=$C660),
      0),
      MATCH($G660,'Fairway Log'!$E$1:$V$1,0)
    ),
  "")
)</f>
        <v>→</v>
      </c>
      <c r="Q660" t="str" cm="1">
        <f t="array" ref="Q660">IFERROR(
  INDEX('GIR Log'!$E$2:$V$70,
    MATCH(1,
      ('GIR Log'!$A$2:$A$70=$A660)*
      ('GIR Log'!$B$2:$B$70=$B660)*
      ('GIR Log'!$C$2:$C$70=$C660),
    0),
    MATCH($G660,'GIR Log'!$E$1:$V$1,0)
  ),
"")</f>
        <v>↑</v>
      </c>
    </row>
    <row r="661" spans="1:17" x14ac:dyDescent="0.25">
      <c r="A661" s="20" t="s">
        <v>126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58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Log'!$E$2:$V$70,
    MATCH(1,
      ('Golf Log'!$A$2:$A$70=$A661)*
      ('Golf Log'!$B$2:$B$70=$B661)*
      ('Golf Log'!$C$2:$C$70=$C661),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Log'!$E$2:$V$70,
    MATCH(1,
      ('Putt Log'!$A$2:$A$70=$A661)*
      ('Putt Log'!$B$2:$B$70=$B661)*
      ('Putt Log'!$C$2:$C$70=$C661),
    0),
    MATCH($G661,'Putt Log'!$E$1:$V$1,0)
  ),
"")</f>
        <v>1</v>
      </c>
      <c r="P661" t="str" cm="1">
        <f t="array" ref="P661">IF(K661=3,"",
  IFERROR(
    INDEX('Fairway Log'!$E$2:$V$70,
      MATCH(1,
        ('Fairway Log'!$A$2:$A$70=$A661)*
        ('Fairway Log'!$B$2:$B$70=$B661)*
        ('Fairway Log'!$C$2:$C732=$C661),
      0),
      MATCH($G661,'Fairway Log'!$E$1:$V$1,0)
    ),
  "")
)</f>
        <v/>
      </c>
      <c r="Q661" t="str" cm="1">
        <f t="array" ref="Q661">IFERROR(
  INDEX('GIR Log'!$E$2:$V$70,
    MATCH(1,
      ('GIR Log'!$A$2:$A$70=$A661)*
      ('GIR Log'!$B$2:$B$70=$B661)*
      ('GIR Log'!$C$2:$C$70=$C661),
    0),
    MATCH($G661,'GIR Log'!$E$1:$V$1,0)
  ),
"")</f>
        <v>↓</v>
      </c>
    </row>
    <row r="662" spans="1:17" x14ac:dyDescent="0.25">
      <c r="A662" s="20" t="s">
        <v>126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59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Log'!$E$2:$V$70,
    MATCH(1,
      ('Golf Log'!$A$2:$A$70=$A662)*
      ('Golf Log'!$B$2:$B$70=$B662)*
      ('Golf Log'!$C$2:$C$70=$C662),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Log'!$E$2:$V$70,
    MATCH(1,
      ('Putt Log'!$A$2:$A$70=$A662)*
      ('Putt Log'!$B$2:$B$70=$B662)*
      ('Putt Log'!$C$2:$C$70=$C662),
    0),
    MATCH($G662,'Putt Log'!$E$1:$V$1,0)
  ),
"")</f>
        <v>1</v>
      </c>
      <c r="P662" t="str" cm="1">
        <f t="array" ref="P662">IF(K662=3,"",
  IFERROR(
    INDEX('Fairway Log'!$E$2:$V$70,
      MATCH(1,
        ('Fairway Log'!$A$2:$A$70=$A662)*
        ('Fairway Log'!$B$2:$B$70=$B662)*
        ('Fairway Log'!$C$2:$C733=$C662),
      0),
      MATCH($G662,'Fairway Log'!$E$1:$V$1,0)
    ),
  "")
)</f>
        <v>→</v>
      </c>
      <c r="Q662" t="str" cm="1">
        <f t="array" ref="Q662">IFERROR(
  INDEX('GIR Log'!$E$2:$V$70,
    MATCH(1,
      ('GIR Log'!$A$2:$A$70=$A662)*
      ('GIR Log'!$B$2:$B$70=$B662)*
      ('GIR Log'!$C$2:$C$70=$C662),
    0),
    MATCH($G662,'GIR Log'!$E$1:$V$1,0)
  ),
"")</f>
        <v>↓</v>
      </c>
    </row>
    <row r="663" spans="1:17" x14ac:dyDescent="0.25">
      <c r="A663" s="20" t="s">
        <v>126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60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Log'!$E$2:$V$70,
    MATCH(1,
      ('Golf Log'!$A$2:$A$70=$A663)*
      ('Golf Log'!$B$2:$B$70=$B663)*
      ('Golf Log'!$C$2:$C$70=$C663),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Log'!$E$2:$V$70,
    MATCH(1,
      ('Putt Log'!$A$2:$A$70=$A663)*
      ('Putt Log'!$B$2:$B$70=$B663)*
      ('Putt Log'!$C$2:$C$70=$C663),
    0),
    MATCH($G663,'Putt Log'!$E$1:$V$1,0)
  ),
"")</f>
        <v>2</v>
      </c>
      <c r="P663" cm="1">
        <f t="array" ref="P663">IF(K663=3,"",
  IFERROR(
    INDEX('Fairway Log'!$E$2:$V$70,
      MATCH(1,
        ('Fairway Log'!$A$2:$A$70=$A663)*
        ('Fairway Log'!$B$2:$B$70=$B663)*
        ('Fairway Log'!$C$2:$C734=$C663),
      0),
      MATCH($G663,'Fairway Log'!$E$1:$V$1,0)
    ),
  "")
)</f>
        <v>1</v>
      </c>
      <c r="Q663" t="str" cm="1">
        <f t="array" ref="Q663">IFERROR(
  INDEX('GIR Log'!$E$2:$V$70,
    MATCH(1,
      ('GIR Log'!$A$2:$A$70=$A663)*
      ('GIR Log'!$B$2:$B$70=$B663)*
      ('GIR Log'!$C$2:$C$70=$C663),
    0),
    MATCH($G663,'GIR Log'!$E$1:$V$1,0)
  ),
"")</f>
        <v>↓</v>
      </c>
    </row>
    <row r="664" spans="1:17" x14ac:dyDescent="0.25">
      <c r="A664" s="20" t="s">
        <v>126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61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Log'!$E$2:$V$70,
    MATCH(1,
      ('Golf Log'!$A$2:$A$70=$A664)*
      ('Golf Log'!$B$2:$B$70=$B664)*
      ('Golf Log'!$C$2:$C$70=$C664),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Log'!$E$2:$V$70,
    MATCH(1,
      ('Putt Log'!$A$2:$A$70=$A664)*
      ('Putt Log'!$B$2:$B$70=$B664)*
      ('Putt Log'!$C$2:$C$70=$C664),
    0),
    MATCH($G664,'Putt Log'!$E$1:$V$1,0)
  ),
"")</f>
        <v>2</v>
      </c>
      <c r="P664" t="str" cm="1">
        <f t="array" ref="P664">IF(K664=3,"",
  IFERROR(
    INDEX('Fairway Log'!$E$2:$V$70,
      MATCH(1,
        ('Fairway Log'!$A$2:$A$70=$A664)*
        ('Fairway Log'!$B$2:$B$70=$B664)*
        ('Fairway Log'!$C$2:$C735=$C664),
      0),
      MATCH($G664,'Fairway Log'!$E$1:$V$1,0)
    ),
  "")
)</f>
        <v>→</v>
      </c>
      <c r="Q664" t="str" cm="1">
        <f t="array" ref="Q664">IFERROR(
  INDEX('GIR Log'!$E$2:$V$70,
    MATCH(1,
      ('GIR Log'!$A$2:$A$70=$A664)*
      ('GIR Log'!$B$2:$B$70=$B664)*
      ('GIR Log'!$C$2:$C$70=$C664),
    0),
    MATCH($G664,'GIR Log'!$E$1:$V$1,0)
  ),
"")</f>
        <v>↓</v>
      </c>
    </row>
    <row r="665" spans="1:17" x14ac:dyDescent="0.25">
      <c r="A665" s="20" t="s">
        <v>126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62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Log'!$E$2:$V$70,
    MATCH(1,
      ('Golf Log'!$A$2:$A$70=$A665)*
      ('Golf Log'!$B$2:$B$70=$B665)*
      ('Golf Log'!$C$2:$C$70=$C665),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Log'!$E$2:$V$70,
    MATCH(1,
      ('Putt Log'!$A$2:$A$70=$A665)*
      ('Putt Log'!$B$2:$B$70=$B665)*
      ('Putt Log'!$C$2:$C$70=$C665),
    0),
    MATCH($G665,'Putt Log'!$E$1:$V$1,0)
  ),
"")</f>
        <v>2</v>
      </c>
      <c r="P665" cm="1">
        <f t="array" ref="P665">IF(K665=3,"",
  IFERROR(
    INDEX('Fairway Log'!$E$2:$V$70,
      MATCH(1,
        ('Fairway Log'!$A$2:$A$70=$A665)*
        ('Fairway Log'!$B$2:$B$70=$B665)*
        ('Fairway Log'!$C$2:$C736=$C665),
      0),
      MATCH($G665,'Fairway Log'!$E$1:$V$1,0)
    ),
  "")
)</f>
        <v>1</v>
      </c>
      <c r="Q665" cm="1">
        <f t="array" ref="Q665">IFERROR(
  INDEX('GIR Log'!$E$2:$V$70,
    MATCH(1,
      ('GIR Log'!$A$2:$A$70=$A665)*
      ('GIR Log'!$B$2:$B$70=$B665)*
      ('GIR Log'!$C$2:$C$70=$C665),
    0),
    MATCH($G665,'GIR Log'!$E$1:$V$1,0)
  ),
"")</f>
        <v>1</v>
      </c>
    </row>
    <row r="666" spans="1:17" x14ac:dyDescent="0.25">
      <c r="A666" s="20" t="s">
        <v>126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63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Log'!$E$2:$V$70,
    MATCH(1,
      ('Golf Log'!$A$2:$A$70=$A666)*
      ('Golf Log'!$B$2:$B$70=$B666)*
      ('Golf Log'!$C$2:$C$70=$C666),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Log'!$E$2:$V$70,
    MATCH(1,
      ('Putt Log'!$A$2:$A$70=$A666)*
      ('Putt Log'!$B$2:$B$70=$B666)*
      ('Putt Log'!$C$2:$C$70=$C666),
    0),
    MATCH($G666,'Putt Log'!$E$1:$V$1,0)
  ),
"")</f>
        <v>2</v>
      </c>
      <c r="P666" t="str" cm="1">
        <f t="array" ref="P666">IF(K666=3,"",
  IFERROR(
    INDEX('Fairway Log'!$E$2:$V$70,
      MATCH(1,
        ('Fairway Log'!$A$2:$A$70=$A666)*
        ('Fairway Log'!$B$2:$B$70=$B666)*
        ('Fairway Log'!$C$2:$C737=$C666),
      0),
      MATCH($G666,'Fairway Log'!$E$1:$V$1,0)
    ),
  "")
)</f>
        <v/>
      </c>
      <c r="Q666" cm="1">
        <f t="array" ref="Q666">IFERROR(
  INDEX('GIR Log'!$E$2:$V$70,
    MATCH(1,
      ('GIR Log'!$A$2:$A$70=$A666)*
      ('GIR Log'!$B$2:$B$70=$B666)*
      ('GIR Log'!$C$2:$C$70=$C666),
    0),
    MATCH($G666,'GIR Log'!$E$1:$V$1,0)
  ),
"")</f>
        <v>1</v>
      </c>
    </row>
    <row r="667" spans="1:17" x14ac:dyDescent="0.25">
      <c r="A667" s="20" t="s">
        <v>126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64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Log'!$E$2:$V$70,
    MATCH(1,
      ('Golf Log'!$A$2:$A$70=$A667)*
      ('Golf Log'!$B$2:$B$70=$B667)*
      ('Golf Log'!$C$2:$C$70=$C667),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Log'!$E$2:$V$70,
    MATCH(1,
      ('Putt Log'!$A$2:$A$70=$A667)*
      ('Putt Log'!$B$2:$B$70=$B667)*
      ('Putt Log'!$C$2:$C$70=$C667),
    0),
    MATCH($G667,'Putt Log'!$E$1:$V$1,0)
  ),
"")</f>
        <v>2</v>
      </c>
      <c r="P667" t="str" cm="1">
        <f t="array" ref="P667">IF(K667=3,"",
  IFERROR(
    INDEX('Fairway Log'!$E$2:$V$70,
      MATCH(1,
        ('Fairway Log'!$A$2:$A$70=$A667)*
        ('Fairway Log'!$B$2:$B$70=$B667)*
        ('Fairway Log'!$C$2:$C738=$C667),
      0),
      MATCH($G667,'Fairway Log'!$E$1:$V$1,0)
    ),
  "")
)</f>
        <v>→</v>
      </c>
      <c r="Q667" t="str" cm="1">
        <f t="array" ref="Q667">IFERROR(
  INDEX('GIR Log'!$E$2:$V$70,
    MATCH(1,
      ('GIR Log'!$A$2:$A$70=$A667)*
      ('GIR Log'!$B$2:$B$70=$B667)*
      ('GIR Log'!$C$2:$C$70=$C667),
    0),
    MATCH($G667,'GIR Log'!$E$1:$V$1,0)
  ),
"")</f>
        <v>↓</v>
      </c>
    </row>
    <row r="668" spans="1:17" x14ac:dyDescent="0.25">
      <c r="A668" s="20" t="s">
        <v>126</v>
      </c>
      <c r="B668" s="2">
        <v>45886</v>
      </c>
      <c r="C668" s="12" t="s">
        <v>41</v>
      </c>
      <c r="D668" s="12" t="s">
        <v>79</v>
      </c>
      <c r="E668" s="12" t="s">
        <v>34</v>
      </c>
      <c r="F668">
        <v>83</v>
      </c>
      <c r="G668" t="s">
        <v>47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Log'!$E$2:$V$70,
    MATCH(1,
      ('Golf Log'!$A$2:$A$70=$A668)*
      ('Golf Log'!$B$2:$B$70=$B668)*
      ('Golf Log'!$C$2:$C$70=$C668),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Log'!$E$2:$V$70,
    MATCH(1,
      ('Putt Log'!$A$2:$A$70=$A668)*
      ('Putt Log'!$B$2:$B$70=$B668)*
      ('Putt Log'!$C$2:$C$70=$C668),
    0),
    MATCH($G668,'Putt Log'!$E$1:$V$1,0)
  ),
"")</f>
        <v>2</v>
      </c>
      <c r="P668" cm="1">
        <f t="array" ref="P668">IF(K668=3,"",
  IFERROR(
    INDEX('Fairway Log'!$E$2:$V$70,
      MATCH(1,
        ('Fairway Log'!$A$2:$A$70=$A668)*
        ('Fairway Log'!$B$2:$B$70=$B668)*
        ('Fairway Log'!$C$2:$C739=$C668),
      0),
      MATCH($G668,'Fairway Log'!$E$1:$V$1,0)
    ),
  "")
)</f>
        <v>1</v>
      </c>
      <c r="Q668" t="str" cm="1">
        <f t="array" ref="Q668">IFERROR(
  INDEX('GIR Log'!$E$2:$V$70,
    MATCH(1,
      ('GIR Log'!$A$2:$A$70=$A668)*
      ('GIR Log'!$B$2:$B$70=$B668)*
      ('GIR Log'!$C$2:$C$70=$C668),
    0),
    MATCH($G668,'GIR Log'!$E$1:$V$1,0)
  ),
"")</f>
        <v>→</v>
      </c>
    </row>
    <row r="669" spans="1:17" x14ac:dyDescent="0.25">
      <c r="A669" s="20" t="s">
        <v>126</v>
      </c>
      <c r="B669" s="2">
        <v>45886</v>
      </c>
      <c r="C669" s="12" t="s">
        <v>41</v>
      </c>
      <c r="D669" s="12" t="s">
        <v>79</v>
      </c>
      <c r="E669" s="12" t="s">
        <v>34</v>
      </c>
      <c r="F669">
        <v>83</v>
      </c>
      <c r="G669" t="s">
        <v>48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Log'!$E$2:$V$70,
    MATCH(1,
      ('Golf Log'!$A$2:$A$70=$A669)*
      ('Golf Log'!$B$2:$B$70=$B669)*
      ('Golf Log'!$C$2:$C$70=$C669),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Log'!$E$2:$V$70,
    MATCH(1,
      ('Putt Log'!$A$2:$A$70=$A669)*
      ('Putt Log'!$B$2:$B$70=$B669)*
      ('Putt Log'!$C$2:$C$70=$C669),
    0),
    MATCH($G669,'Putt Log'!$E$1:$V$1,0)
  ),
"")</f>
        <v>2</v>
      </c>
      <c r="P669" cm="1">
        <f t="array" ref="P669">IF(K669=3,"",
  IFERROR(
    INDEX('Fairway Log'!$E$2:$V$70,
      MATCH(1,
        ('Fairway Log'!$A$2:$A$70=$A669)*
        ('Fairway Log'!$B$2:$B$70=$B669)*
        ('Fairway Log'!$C$2:$C740=$C669),
      0),
      MATCH($G669,'Fairway Log'!$E$1:$V$1,0)
    ),
  "")
)</f>
        <v>1</v>
      </c>
      <c r="Q669" t="str" cm="1">
        <f t="array" ref="Q669">IFERROR(
  INDEX('GIR Log'!$E$2:$V$70,
    MATCH(1,
      ('GIR Log'!$A$2:$A$70=$A669)*
      ('GIR Log'!$B$2:$B$70=$B669)*
      ('GIR Log'!$C$2:$C$70=$C669),
    0),
    MATCH($G669,'GIR Log'!$E$1:$V$1,0)
  ),
"")</f>
        <v>↑</v>
      </c>
    </row>
    <row r="670" spans="1:17" x14ac:dyDescent="0.25">
      <c r="A670" s="20" t="s">
        <v>126</v>
      </c>
      <c r="B670" s="2">
        <v>45886</v>
      </c>
      <c r="C670" s="12" t="s">
        <v>41</v>
      </c>
      <c r="D670" s="12" t="s">
        <v>79</v>
      </c>
      <c r="E670" s="12" t="s">
        <v>34</v>
      </c>
      <c r="F670">
        <v>83</v>
      </c>
      <c r="G670" t="s">
        <v>49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Log'!$E$2:$V$70,
    MATCH(1,
      ('Golf Log'!$A$2:$A$70=$A670)*
      ('Golf Log'!$B$2:$B$70=$B670)*
      ('Golf Log'!$C$2:$C$70=$C670),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Log'!$E$2:$V$70,
    MATCH(1,
      ('Putt Log'!$A$2:$A$70=$A670)*
      ('Putt Log'!$B$2:$B$70=$B670)*
      ('Putt Log'!$C$2:$C$70=$C670),
    0),
    MATCH($G670,'Putt Log'!$E$1:$V$1,0)
  ),
"")</f>
        <v>2</v>
      </c>
      <c r="P670" t="str" cm="1">
        <f t="array" ref="P670">IF(K670=3,"",
  IFERROR(
    INDEX('Fairway Log'!$E$2:$V$70,
      MATCH(1,
        ('Fairway Log'!$A$2:$A$70=$A670)*
        ('Fairway Log'!$B$2:$B$70=$B670)*
        ('Fairway Log'!$C$2:$C741=$C670),
      0),
      MATCH($G670,'Fairway Log'!$E$1:$V$1,0)
    ),
  "")
)</f>
        <v/>
      </c>
      <c r="Q670" cm="1">
        <f t="array" ref="Q670">IFERROR(
  INDEX('GIR Log'!$E$2:$V$70,
    MATCH(1,
      ('GIR Log'!$A$2:$A$70=$A670)*
      ('GIR Log'!$B$2:$B$70=$B670)*
      ('GIR Log'!$C$2:$C$70=$C670),
    0),
    MATCH($G670,'GIR Log'!$E$1:$V$1,0)
  ),
"")</f>
        <v>1</v>
      </c>
    </row>
    <row r="671" spans="1:17" x14ac:dyDescent="0.25">
      <c r="A671" s="20" t="s">
        <v>126</v>
      </c>
      <c r="B671" s="2">
        <v>45886</v>
      </c>
      <c r="C671" s="12" t="s">
        <v>41</v>
      </c>
      <c r="D671" s="12" t="s">
        <v>79</v>
      </c>
      <c r="E671" s="12" t="s">
        <v>34</v>
      </c>
      <c r="F671">
        <v>83</v>
      </c>
      <c r="G671" t="s">
        <v>50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Log'!$E$2:$V$70,
    MATCH(1,
      ('Golf Log'!$A$2:$A$70=$A671)*
      ('Golf Log'!$B$2:$B$70=$B671)*
      ('Golf Log'!$C$2:$C$70=$C671),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Log'!$E$2:$V$70,
    MATCH(1,
      ('Putt Log'!$A$2:$A$70=$A671)*
      ('Putt Log'!$B$2:$B$70=$B671)*
      ('Putt Log'!$C$2:$C$70=$C671),
    0),
    MATCH($G671,'Putt Log'!$E$1:$V$1,0)
  ),
"")</f>
        <v>2</v>
      </c>
      <c r="P671" t="str" cm="1">
        <f t="array" ref="P671">IF(K671=3,"",
  IFERROR(
    INDEX('Fairway Log'!$E$2:$V$70,
      MATCH(1,
        ('Fairway Log'!$A$2:$A$70=$A671)*
        ('Fairway Log'!$B$2:$B$70=$B671)*
        ('Fairway Log'!$C$2:$C742=$C671),
      0),
      MATCH($G671,'Fairway Log'!$E$1:$V$1,0)
    ),
  "")
)</f>
        <v>→</v>
      </c>
      <c r="Q671" t="str" cm="1">
        <f t="array" ref="Q671">IFERROR(
  INDEX('GIR Log'!$E$2:$V$70,
    MATCH(1,
      ('GIR Log'!$A$2:$A$70=$A671)*
      ('GIR Log'!$B$2:$B$70=$B671)*
      ('GIR Log'!$C$2:$C$70=$C671),
    0),
    MATCH($G671,'GIR Log'!$E$1:$V$1,0)
  ),
"")</f>
        <v>→</v>
      </c>
    </row>
    <row r="672" spans="1:17" x14ac:dyDescent="0.25">
      <c r="A672" s="20" t="s">
        <v>126</v>
      </c>
      <c r="B672" s="2">
        <v>45886</v>
      </c>
      <c r="C672" s="12" t="s">
        <v>41</v>
      </c>
      <c r="D672" s="12" t="s">
        <v>79</v>
      </c>
      <c r="E672" s="12" t="s">
        <v>34</v>
      </c>
      <c r="F672">
        <v>83</v>
      </c>
      <c r="G672" t="s">
        <v>51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Log'!$E$2:$V$70,
    MATCH(1,
      ('Golf Log'!$A$2:$A$70=$A672)*
      ('Golf Log'!$B$2:$B$70=$B672)*
      ('Golf Log'!$C$2:$C$70=$C672),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Log'!$E$2:$V$70,
    MATCH(1,
      ('Putt Log'!$A$2:$A$70=$A672)*
      ('Putt Log'!$B$2:$B$70=$B672)*
      ('Putt Log'!$C$2:$C$70=$C672),
    0),
    MATCH($G672,'Putt Log'!$E$1:$V$1,0)
  ),
"")</f>
        <v>1</v>
      </c>
      <c r="P672" cm="1">
        <f t="array" ref="P672">IF(K672=3,"",
  IFERROR(
    INDEX('Fairway Log'!$E$2:$V$70,
      MATCH(1,
        ('Fairway Log'!$A$2:$A$70=$A672)*
        ('Fairway Log'!$B$2:$B$70=$B672)*
        ('Fairway Log'!$C$2:$C743=$C672),
      0),
      MATCH($G672,'Fairway Log'!$E$1:$V$1,0)
    ),
  "")
)</f>
        <v>1</v>
      </c>
      <c r="Q672" t="str" cm="1">
        <f t="array" ref="Q672">IFERROR(
  INDEX('GIR Log'!$E$2:$V$70,
    MATCH(1,
      ('GIR Log'!$A$2:$A$70=$A672)*
      ('GIR Log'!$B$2:$B$70=$B672)*
      ('GIR Log'!$C$2:$C$70=$C672),
    0),
    MATCH($G672,'GIR Log'!$E$1:$V$1,0)
  ),
"")</f>
        <v>↑</v>
      </c>
    </row>
    <row r="673" spans="1:17" x14ac:dyDescent="0.25">
      <c r="A673" s="20" t="s">
        <v>126</v>
      </c>
      <c r="B673" s="2">
        <v>45886</v>
      </c>
      <c r="C673" s="12" t="s">
        <v>41</v>
      </c>
      <c r="D673" s="12" t="s">
        <v>79</v>
      </c>
      <c r="E673" s="12" t="s">
        <v>34</v>
      </c>
      <c r="F673">
        <v>83</v>
      </c>
      <c r="G673" t="s">
        <v>52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Log'!$E$2:$V$70,
    MATCH(1,
      ('Golf Log'!$A$2:$A$70=$A673)*
      ('Golf Log'!$B$2:$B$70=$B673)*
      ('Golf Log'!$C$2:$C$70=$C673),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Log'!$E$2:$V$70,
    MATCH(1,
      ('Putt Log'!$A$2:$A$70=$A673)*
      ('Putt Log'!$B$2:$B$70=$B673)*
      ('Putt Log'!$C$2:$C$70=$C673),
    0),
    MATCH($G673,'Putt Log'!$E$1:$V$1,0)
  ),
"")</f>
        <v>2</v>
      </c>
      <c r="P673" t="str" cm="1">
        <f t="array" ref="P673">IF(K673=3,"",
  IFERROR(
    INDEX('Fairway Log'!$E$2:$V$70,
      MATCH(1,
        ('Fairway Log'!$A$2:$A$70=$A673)*
        ('Fairway Log'!$B$2:$B$70=$B673)*
        ('Fairway Log'!$C$2:$C744=$C673),
      0),
      MATCH($G673,'Fairway Log'!$E$1:$V$1,0)
    ),
  "")
)</f>
        <v/>
      </c>
      <c r="Q673" cm="1">
        <f t="array" ref="Q673">IFERROR(
  INDEX('GIR Log'!$E$2:$V$70,
    MATCH(1,
      ('GIR Log'!$A$2:$A$70=$A673)*
      ('GIR Log'!$B$2:$B$70=$B673)*
      ('GIR Log'!$C$2:$C$70=$C673),
    0),
    MATCH($G673,'GIR Log'!$E$1:$V$1,0)
  ),
"")</f>
        <v>1</v>
      </c>
    </row>
    <row r="674" spans="1:17" x14ac:dyDescent="0.25">
      <c r="A674" s="20" t="s">
        <v>126</v>
      </c>
      <c r="B674" s="2">
        <v>45886</v>
      </c>
      <c r="C674" s="12" t="s">
        <v>41</v>
      </c>
      <c r="D674" s="12" t="s">
        <v>79</v>
      </c>
      <c r="E674" s="12" t="s">
        <v>34</v>
      </c>
      <c r="F674">
        <v>83</v>
      </c>
      <c r="G674" t="s">
        <v>53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Log'!$E$2:$V$70,
    MATCH(1,
      ('Golf Log'!$A$2:$A$70=$A674)*
      ('Golf Log'!$B$2:$B$70=$B674)*
      ('Golf Log'!$C$2:$C$70=$C674),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Log'!$E$2:$V$70,
    MATCH(1,
      ('Putt Log'!$A$2:$A$70=$A674)*
      ('Putt Log'!$B$2:$B$70=$B674)*
      ('Putt Log'!$C$2:$C$70=$C674),
    0),
    MATCH($G674,'Putt Log'!$E$1:$V$1,0)
  ),
"")</f>
        <v>2</v>
      </c>
      <c r="P674" cm="1">
        <f t="array" ref="P674">IF(K674=3,"",
  IFERROR(
    INDEX('Fairway Log'!$E$2:$V$70,
      MATCH(1,
        ('Fairway Log'!$A$2:$A$70=$A674)*
        ('Fairway Log'!$B$2:$B$70=$B674)*
        ('Fairway Log'!$C$2:$C745=$C674),
      0),
      MATCH($G674,'Fairway Log'!$E$1:$V$1,0)
    ),
  "")
)</f>
        <v>1</v>
      </c>
      <c r="Q674" t="str" cm="1">
        <f t="array" ref="Q674">IFERROR(
  INDEX('GIR Log'!$E$2:$V$70,
    MATCH(1,
      ('GIR Log'!$A$2:$A$70=$A674)*
      ('GIR Log'!$B$2:$B$70=$B674)*
      ('GIR Log'!$C$2:$C$70=$C674),
    0),
    MATCH($G674,'GIR Log'!$E$1:$V$1,0)
  ),
"")</f>
        <v>↑</v>
      </c>
    </row>
    <row r="675" spans="1:17" x14ac:dyDescent="0.25">
      <c r="A675" s="20" t="s">
        <v>126</v>
      </c>
      <c r="B675" s="2">
        <v>45886</v>
      </c>
      <c r="C675" s="12" t="s">
        <v>41</v>
      </c>
      <c r="D675" s="12" t="s">
        <v>79</v>
      </c>
      <c r="E675" s="12" t="s">
        <v>34</v>
      </c>
      <c r="F675">
        <v>83</v>
      </c>
      <c r="G675" t="s">
        <v>54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Log'!$E$2:$V$70,
    MATCH(1,
      ('Golf Log'!$A$2:$A$70=$A675)*
      ('Golf Log'!$B$2:$B$70=$B675)*
      ('Golf Log'!$C$2:$C$70=$C675),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Log'!$E$2:$V$70,
    MATCH(1,
      ('Putt Log'!$A$2:$A$70=$A675)*
      ('Putt Log'!$B$2:$B$70=$B675)*
      ('Putt Log'!$C$2:$C$70=$C675),
    0),
    MATCH($G675,'Putt Log'!$E$1:$V$1,0)
  ),
"")</f>
        <v>2</v>
      </c>
      <c r="P675" t="str" cm="1">
        <f t="array" ref="P675">IF(K675=3,"",
  IFERROR(
    INDEX('Fairway Log'!$E$2:$V$70,
      MATCH(1,
        ('Fairway Log'!$A$2:$A$70=$A675)*
        ('Fairway Log'!$B$2:$B$70=$B675)*
        ('Fairway Log'!$C$2:$C746=$C675),
      0),
      MATCH($G675,'Fairway Log'!$E$1:$V$1,0)
    ),
  "")
)</f>
        <v>→</v>
      </c>
      <c r="Q675" t="str" cm="1">
        <f t="array" ref="Q675">IFERROR(
  INDEX('GIR Log'!$E$2:$V$70,
    MATCH(1,
      ('GIR Log'!$A$2:$A$70=$A675)*
      ('GIR Log'!$B$2:$B$70=$B675)*
      ('GIR Log'!$C$2:$C$70=$C675),
    0),
    MATCH($G675,'GIR Log'!$E$1:$V$1,0)
  ),
"")</f>
        <v>↓</v>
      </c>
    </row>
    <row r="676" spans="1:17" x14ac:dyDescent="0.25">
      <c r="A676" s="20" t="s">
        <v>126</v>
      </c>
      <c r="B676" s="2">
        <v>45886</v>
      </c>
      <c r="C676" s="12" t="s">
        <v>41</v>
      </c>
      <c r="D676" s="12" t="s">
        <v>79</v>
      </c>
      <c r="E676" s="12" t="s">
        <v>34</v>
      </c>
      <c r="F676">
        <v>83</v>
      </c>
      <c r="G676" t="s">
        <v>55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Log'!$E$2:$V$70,
    MATCH(1,
      ('Golf Log'!$A$2:$A$70=$A676)*
      ('Golf Log'!$B$2:$B$70=$B676)*
      ('Golf Log'!$C$2:$C$70=$C676),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Log'!$E$2:$V$70,
    MATCH(1,
      ('Putt Log'!$A$2:$A$70=$A676)*
      ('Putt Log'!$B$2:$B$70=$B676)*
      ('Putt Log'!$C$2:$C$70=$C676),
    0),
    MATCH($G676,'Putt Log'!$E$1:$V$1,0)
  ),
"")</f>
        <v>2</v>
      </c>
      <c r="P676" cm="1">
        <f t="array" ref="P676">IF(K676=3,"",
  IFERROR(
    INDEX('Fairway Log'!$E$2:$V$70,
      MATCH(1,
        ('Fairway Log'!$A$2:$A$70=$A676)*
        ('Fairway Log'!$B$2:$B$70=$B676)*
        ('Fairway Log'!$C$2:$C747=$C676),
      0),
      MATCH($G676,'Fairway Log'!$E$1:$V$1,0)
    ),
  "")
)</f>
        <v>1</v>
      </c>
      <c r="Q676" cm="1">
        <f t="array" ref="Q676">IFERROR(
  INDEX('GIR Log'!$E$2:$V$70,
    MATCH(1,
      ('GIR Log'!$A$2:$A$70=$A676)*
      ('GIR Log'!$B$2:$B$70=$B676)*
      ('GIR Log'!$C$2:$C$70=$C676),
    0),
    MATCH($G676,'GIR Log'!$E$1:$V$1,0)
  ),
"")</f>
        <v>1</v>
      </c>
    </row>
    <row r="677" spans="1:17" x14ac:dyDescent="0.25">
      <c r="A677" s="20" t="s">
        <v>126</v>
      </c>
      <c r="B677" s="2">
        <v>45886</v>
      </c>
      <c r="C677" s="12" t="s">
        <v>41</v>
      </c>
      <c r="D677" s="12" t="s">
        <v>79</v>
      </c>
      <c r="E677" s="12" t="s">
        <v>34</v>
      </c>
      <c r="F677">
        <v>83</v>
      </c>
      <c r="G677" t="s">
        <v>56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Log'!$E$2:$V$70,
    MATCH(1,
      ('Golf Log'!$A$2:$A$70=$A677)*
      ('Golf Log'!$B$2:$B$70=$B677)*
      ('Golf Log'!$C$2:$C$70=$C677),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Log'!$E$2:$V$70,
    MATCH(1,
      ('Putt Log'!$A$2:$A$70=$A677)*
      ('Putt Log'!$B$2:$B$70=$B677)*
      ('Putt Log'!$C$2:$C$70=$C677),
    0),
    MATCH($G677,'Putt Log'!$E$1:$V$1,0)
  ),
"")</f>
        <v>2</v>
      </c>
      <c r="P677" cm="1">
        <f t="array" ref="P677">IF(K677=3,"",
  IFERROR(
    INDEX('Fairway Log'!$E$2:$V$70,
      MATCH(1,
        ('Fairway Log'!$A$2:$A$70=$A677)*
        ('Fairway Log'!$B$2:$B$70=$B677)*
        ('Fairway Log'!$C$2:$C748=$C677),
      0),
      MATCH($G677,'Fairway Log'!$E$1:$V$1,0)
    ),
  "")
)</f>
        <v>1</v>
      </c>
      <c r="Q677" cm="1">
        <f t="array" ref="Q677">IFERROR(
  INDEX('GIR Log'!$E$2:$V$70,
    MATCH(1,
      ('GIR Log'!$A$2:$A$70=$A677)*
      ('GIR Log'!$B$2:$B$70=$B677)*
      ('GIR Log'!$C$2:$C$70=$C677),
    0),
    MATCH($G677,'GIR Log'!$E$1:$V$1,0)
  ),
"")</f>
        <v>1</v>
      </c>
    </row>
    <row r="678" spans="1:17" x14ac:dyDescent="0.25">
      <c r="A678" s="20" t="s">
        <v>126</v>
      </c>
      <c r="B678" s="2">
        <v>45886</v>
      </c>
      <c r="C678" s="12" t="s">
        <v>41</v>
      </c>
      <c r="D678" s="12" t="s">
        <v>79</v>
      </c>
      <c r="E678" s="12" t="s">
        <v>34</v>
      </c>
      <c r="F678">
        <v>83</v>
      </c>
      <c r="G678" t="s">
        <v>57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Log'!$E$2:$V$70,
    MATCH(1,
      ('Golf Log'!$A$2:$A$70=$A678)*
      ('Golf Log'!$B$2:$B$70=$B678)*
      ('Golf Log'!$C$2:$C$70=$C678),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Log'!$E$2:$V$70,
    MATCH(1,
      ('Putt Log'!$A$2:$A$70=$A678)*
      ('Putt Log'!$B$2:$B$70=$B678)*
      ('Putt Log'!$C$2:$C$70=$C678),
    0),
    MATCH($G678,'Putt Log'!$E$1:$V$1,0)
  ),
"")</f>
        <v>1</v>
      </c>
      <c r="P678" t="str" cm="1">
        <f t="array" ref="P678">IF(K678=3,"",
  IFERROR(
    INDEX('Fairway Log'!$E$2:$V$70,
      MATCH(1,
        ('Fairway Log'!$A$2:$A$70=$A678)*
        ('Fairway Log'!$B$2:$B$70=$B678)*
        ('Fairway Log'!$C$2:$C749=$C678),
      0),
      MATCH($G678,'Fairway Log'!$E$1:$V$1,0)
    ),
  "")
)</f>
        <v>→</v>
      </c>
      <c r="Q678" t="str" cm="1">
        <f t="array" ref="Q678">IFERROR(
  INDEX('GIR Log'!$E$2:$V$70,
    MATCH(1,
      ('GIR Log'!$A$2:$A$70=$A678)*
      ('GIR Log'!$B$2:$B$70=$B678)*
      ('GIR Log'!$C$2:$C$70=$C678),
    0),
    MATCH($G678,'GIR Log'!$E$1:$V$1,0)
  ),
"")</f>
        <v>←</v>
      </c>
    </row>
    <row r="679" spans="1:17" x14ac:dyDescent="0.25">
      <c r="A679" s="20" t="s">
        <v>126</v>
      </c>
      <c r="B679" s="2">
        <v>45886</v>
      </c>
      <c r="C679" s="12" t="s">
        <v>41</v>
      </c>
      <c r="D679" s="12" t="s">
        <v>79</v>
      </c>
      <c r="E679" s="12" t="s">
        <v>34</v>
      </c>
      <c r="F679">
        <v>83</v>
      </c>
      <c r="G679" t="s">
        <v>58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Log'!$E$2:$V$70,
    MATCH(1,
      ('Golf Log'!$A$2:$A$70=$A679)*
      ('Golf Log'!$B$2:$B$70=$B679)*
      ('Golf Log'!$C$2:$C$70=$C679),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Log'!$E$2:$V$70,
    MATCH(1,
      ('Putt Log'!$A$2:$A$70=$A679)*
      ('Putt Log'!$B$2:$B$70=$B679)*
      ('Putt Log'!$C$2:$C$70=$C679),
    0),
    MATCH($G679,'Putt Log'!$E$1:$V$1,0)
  ),
"")</f>
        <v>1</v>
      </c>
      <c r="P679" cm="1">
        <f t="array" ref="P679">IF(K679=3,"",
  IFERROR(
    INDEX('Fairway Log'!$E$2:$V$70,
      MATCH(1,
        ('Fairway Log'!$A$2:$A$70=$A679)*
        ('Fairway Log'!$B$2:$B$70=$B679)*
        ('Fairway Log'!$C$2:$C750=$C679),
      0),
      MATCH($G679,'Fairway Log'!$E$1:$V$1,0)
    ),
  "")
)</f>
        <v>1</v>
      </c>
      <c r="Q679" t="str" cm="1">
        <f t="array" ref="Q679">IFERROR(
  INDEX('GIR Log'!$E$2:$V$70,
    MATCH(1,
      ('GIR Log'!$A$2:$A$70=$A679)*
      ('GIR Log'!$B$2:$B$70=$B679)*
      ('GIR Log'!$C$2:$C$70=$C679),
    0),
    MATCH($G679,'GIR Log'!$E$1:$V$1,0)
  ),
"")</f>
        <v>↑</v>
      </c>
    </row>
    <row r="680" spans="1:17" x14ac:dyDescent="0.25">
      <c r="A680" s="20" t="s">
        <v>126</v>
      </c>
      <c r="B680" s="2">
        <v>45886</v>
      </c>
      <c r="C680" s="12" t="s">
        <v>41</v>
      </c>
      <c r="D680" s="12" t="s">
        <v>79</v>
      </c>
      <c r="E680" s="12" t="s">
        <v>34</v>
      </c>
      <c r="F680">
        <v>83</v>
      </c>
      <c r="G680" t="s">
        <v>59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Log'!$E$2:$V$70,
    MATCH(1,
      ('Golf Log'!$A$2:$A$70=$A680)*
      ('Golf Log'!$B$2:$B$70=$B680)*
      ('Golf Log'!$C$2:$C$70=$C680),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Log'!$E$2:$V$70,
    MATCH(1,
      ('Putt Log'!$A$2:$A$70=$A680)*
      ('Putt Log'!$B$2:$B$70=$B680)*
      ('Putt Log'!$C$2:$C$70=$C680),
    0),
    MATCH($G680,'Putt Log'!$E$1:$V$1,0)
  ),
"")</f>
        <v>2</v>
      </c>
      <c r="P680" t="str" cm="1">
        <f t="array" ref="P680">IF(K680=3,"",
  IFERROR(
    INDEX('Fairway Log'!$E$2:$V$70,
      MATCH(1,
        ('Fairway Log'!$A$2:$A$70=$A680)*
        ('Fairway Log'!$B$2:$B$70=$B680)*
        ('Fairway Log'!$C$2:$C751=$C680),
      0),
      MATCH($G680,'Fairway Log'!$E$1:$V$1,0)
    ),
  "")
)</f>
        <v/>
      </c>
      <c r="Q680" t="str" cm="1">
        <f t="array" ref="Q680">IFERROR(
  INDEX('GIR Log'!$E$2:$V$70,
    MATCH(1,
      ('GIR Log'!$A$2:$A$70=$A680)*
      ('GIR Log'!$B$2:$B$70=$B680)*
      ('GIR Log'!$C$2:$C$70=$C680),
    0),
    MATCH($G680,'GIR Log'!$E$1:$V$1,0)
  ),
"")</f>
        <v>↑</v>
      </c>
    </row>
    <row r="681" spans="1:17" x14ac:dyDescent="0.25">
      <c r="A681" s="20" t="s">
        <v>126</v>
      </c>
      <c r="B681" s="2">
        <v>45886</v>
      </c>
      <c r="C681" s="12" t="s">
        <v>41</v>
      </c>
      <c r="D681" s="12" t="s">
        <v>79</v>
      </c>
      <c r="E681" s="12" t="s">
        <v>34</v>
      </c>
      <c r="F681">
        <v>83</v>
      </c>
      <c r="G681" t="s">
        <v>60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Log'!$E$2:$V$70,
    MATCH(1,
      ('Golf Log'!$A$2:$A$70=$A681)*
      ('Golf Log'!$B$2:$B$70=$B681)*
      ('Golf Log'!$C$2:$C$70=$C681),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Log'!$E$2:$V$70,
    MATCH(1,
      ('Putt Log'!$A$2:$A$70=$A681)*
      ('Putt Log'!$B$2:$B$70=$B681)*
      ('Putt Log'!$C$2:$C$70=$C681),
    0),
    MATCH($G681,'Putt Log'!$E$1:$V$1,0)
  ),
"")</f>
        <v>1</v>
      </c>
      <c r="P681" cm="1">
        <f t="array" ref="P681">IF(K681=3,"",
  IFERROR(
    INDEX('Fairway Log'!$E$2:$V$70,
      MATCH(1,
        ('Fairway Log'!$A$2:$A$70=$A681)*
        ('Fairway Log'!$B$2:$B$70=$B681)*
        ('Fairway Log'!$C$2:$C752=$C681),
      0),
      MATCH($G681,'Fairway Log'!$E$1:$V$1,0)
    ),
  "")
)</f>
        <v>1</v>
      </c>
      <c r="Q681" t="str" cm="1">
        <f t="array" ref="Q681">IFERROR(
  INDEX('GIR Log'!$E$2:$V$70,
    MATCH(1,
      ('GIR Log'!$A$2:$A$70=$A681)*
      ('GIR Log'!$B$2:$B$70=$B681)*
      ('GIR Log'!$C$2:$C$70=$C681),
    0),
    MATCH($G681,'GIR Log'!$E$1:$V$1,0)
  ),
"")</f>
        <v>↑</v>
      </c>
    </row>
    <row r="682" spans="1:17" x14ac:dyDescent="0.25">
      <c r="A682" s="20" t="s">
        <v>126</v>
      </c>
      <c r="B682" s="2">
        <v>45886</v>
      </c>
      <c r="C682" s="12" t="s">
        <v>41</v>
      </c>
      <c r="D682" s="12" t="s">
        <v>79</v>
      </c>
      <c r="E682" s="12" t="s">
        <v>34</v>
      </c>
      <c r="F682">
        <v>83</v>
      </c>
      <c r="G682" t="s">
        <v>61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Log'!$E$2:$V$70,
    MATCH(1,
      ('Golf Log'!$A$2:$A$70=$A682)*
      ('Golf Log'!$B$2:$B$70=$B682)*
      ('Golf Log'!$C$2:$C$70=$C682),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Log'!$E$2:$V$70,
    MATCH(1,
      ('Putt Log'!$A$2:$A$70=$A682)*
      ('Putt Log'!$B$2:$B$70=$B682)*
      ('Putt Log'!$C$2:$C$70=$C682),
    0),
    MATCH($G682,'Putt Log'!$E$1:$V$1,0)
  ),
"")</f>
        <v>1</v>
      </c>
      <c r="P682" cm="1">
        <f t="array" ref="P682">IF(K682=3,"",
  IFERROR(
    INDEX('Fairway Log'!$E$2:$V$70,
      MATCH(1,
        ('Fairway Log'!$A$2:$A$70=$A682)*
        ('Fairway Log'!$B$2:$B$70=$B682)*
        ('Fairway Log'!$C$2:$C753=$C682),
      0),
      MATCH($G682,'Fairway Log'!$E$1:$V$1,0)
    ),
  "")
)</f>
        <v>1</v>
      </c>
      <c r="Q682" t="str" cm="1">
        <f t="array" ref="Q682">IFERROR(
  INDEX('GIR Log'!$E$2:$V$70,
    MATCH(1,
      ('GIR Log'!$A$2:$A$70=$A682)*
      ('GIR Log'!$B$2:$B$70=$B682)*
      ('GIR Log'!$C$2:$C$70=$C682),
    0),
    MATCH($G682,'GIR Log'!$E$1:$V$1,0)
  ),
"")</f>
        <v>↓</v>
      </c>
    </row>
    <row r="683" spans="1:17" x14ac:dyDescent="0.25">
      <c r="A683" s="20" t="s">
        <v>126</v>
      </c>
      <c r="B683" s="2">
        <v>45886</v>
      </c>
      <c r="C683" s="12" t="s">
        <v>41</v>
      </c>
      <c r="D683" s="12" t="s">
        <v>79</v>
      </c>
      <c r="E683" s="12" t="s">
        <v>34</v>
      </c>
      <c r="F683">
        <v>83</v>
      </c>
      <c r="G683" t="s">
        <v>62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Log'!$E$2:$V$70,
    MATCH(1,
      ('Golf Log'!$A$2:$A$70=$A683)*
      ('Golf Log'!$B$2:$B$70=$B683)*
      ('Golf Log'!$C$2:$C$70=$C683),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Log'!$E$2:$V$70,
    MATCH(1,
      ('Putt Log'!$A$2:$A$70=$A683)*
      ('Putt Log'!$B$2:$B$70=$B683)*
      ('Putt Log'!$C$2:$C$70=$C683),
    0),
    MATCH($G683,'Putt Log'!$E$1:$V$1,0)
  ),
"")</f>
        <v>1</v>
      </c>
      <c r="P683" t="str" cm="1">
        <f t="array" ref="P683">IF(K683=3,"",
  IFERROR(
    INDEX('Fairway Log'!$E$2:$V$70,
      MATCH(1,
        ('Fairway Log'!$A$2:$A$70=$A683)*
        ('Fairway Log'!$B$2:$B$70=$B683)*
        ('Fairway Log'!$C$2:$C754=$C683),
      0),
      MATCH($G683,'Fairway Log'!$E$1:$V$1,0)
    ),
  "")
)</f>
        <v/>
      </c>
      <c r="Q683" t="str" cm="1">
        <f t="array" ref="Q683">IFERROR(
  INDEX('GIR Log'!$E$2:$V$70,
    MATCH(1,
      ('GIR Log'!$A$2:$A$70=$A683)*
      ('GIR Log'!$B$2:$B$70=$B683)*
      ('GIR Log'!$C$2:$C$70=$C683),
    0),
    MATCH($G683,'GIR Log'!$E$1:$V$1,0)
  ),
"")</f>
        <v>↓</v>
      </c>
    </row>
    <row r="684" spans="1:17" x14ac:dyDescent="0.25">
      <c r="A684" s="20" t="s">
        <v>126</v>
      </c>
      <c r="B684" s="2">
        <v>45886</v>
      </c>
      <c r="C684" s="12" t="s">
        <v>41</v>
      </c>
      <c r="D684" s="12" t="s">
        <v>79</v>
      </c>
      <c r="E684" s="12" t="s">
        <v>34</v>
      </c>
      <c r="F684">
        <v>83</v>
      </c>
      <c r="G684" t="s">
        <v>63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Log'!$E$2:$V$70,
    MATCH(1,
      ('Golf Log'!$A$2:$A$70=$A684)*
      ('Golf Log'!$B$2:$B$70=$B684)*
      ('Golf Log'!$C$2:$C$70=$C684),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Log'!$E$2:$V$70,
    MATCH(1,
      ('Putt Log'!$A$2:$A$70=$A684)*
      ('Putt Log'!$B$2:$B$70=$B684)*
      ('Putt Log'!$C$2:$C$70=$C684),
    0),
    MATCH($G684,'Putt Log'!$E$1:$V$1,0)
  ),
"")</f>
        <v>3</v>
      </c>
      <c r="P684" cm="1">
        <f t="array" ref="P684">IF(K684=3,"",
  IFERROR(
    INDEX('Fairway Log'!$E$2:$V$70,
      MATCH(1,
        ('Fairway Log'!$A$2:$A$70=$A684)*
        ('Fairway Log'!$B$2:$B$70=$B684)*
        ('Fairway Log'!$C$2:$C755=$C684),
      0),
      MATCH($G684,'Fairway Log'!$E$1:$V$1,0)
    ),
  "")
)</f>
        <v>1</v>
      </c>
      <c r="Q684" t="str" cm="1">
        <f t="array" ref="Q684">IFERROR(
  INDEX('GIR Log'!$E$2:$V$70,
    MATCH(1,
      ('GIR Log'!$A$2:$A$70=$A684)*
      ('GIR Log'!$B$2:$B$70=$B684)*
      ('GIR Log'!$C$2:$C$70=$C684),
    0),
    MATCH($G684,'GIR Log'!$E$1:$V$1,0)
  ),
"")</f>
        <v>↓</v>
      </c>
    </row>
    <row r="685" spans="1:17" x14ac:dyDescent="0.25">
      <c r="A685" s="20" t="s">
        <v>126</v>
      </c>
      <c r="B685" s="2">
        <v>45886</v>
      </c>
      <c r="C685" s="12" t="s">
        <v>41</v>
      </c>
      <c r="D685" s="12" t="s">
        <v>79</v>
      </c>
      <c r="E685" s="12" t="s">
        <v>34</v>
      </c>
      <c r="F685">
        <v>83</v>
      </c>
      <c r="G685" t="s">
        <v>64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Log'!$E$2:$V$70,
    MATCH(1,
      ('Golf Log'!$A$2:$A$70=$A685)*
      ('Golf Log'!$B$2:$B$70=$B685)*
      ('Golf Log'!$C$2:$C$70=$C685),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Log'!$E$2:$V$70,
    MATCH(1,
      ('Putt Log'!$A$2:$A$70=$A685)*
      ('Putt Log'!$B$2:$B$70=$B685)*
      ('Putt Log'!$C$2:$C$70=$C685),
    0),
    MATCH($G685,'Putt Log'!$E$1:$V$1,0)
  ),
"")</f>
        <v>1</v>
      </c>
      <c r="P685" cm="1">
        <f t="array" ref="P685">IF(K685=3,"",
  IFERROR(
    INDEX('Fairway Log'!$E$2:$V$70,
      MATCH(1,
        ('Fairway Log'!$A$2:$A$70=$A685)*
        ('Fairway Log'!$B$2:$B$70=$B685)*
        ('Fairway Log'!$C$2:$C756=$C685),
      0),
      MATCH($G685,'Fairway Log'!$E$1:$V$1,0)
    ),
  "")
)</f>
        <v>1</v>
      </c>
      <c r="Q685" t="str" cm="1">
        <f t="array" ref="Q685">IFERROR(
  INDEX('GIR Log'!$E$2:$V$70,
    MATCH(1,
      ('GIR Log'!$A$2:$A$70=$A685)*
      ('GIR Log'!$B$2:$B$70=$B685)*
      ('GIR Log'!$C$2:$C$70=$C685),
    0),
    MATCH($G685,'GIR Log'!$E$1:$V$1,0)
  ),
"")</f>
        <v>↑</v>
      </c>
    </row>
    <row r="686" spans="1:17" x14ac:dyDescent="0.25">
      <c r="A686" s="20" t="s">
        <v>126</v>
      </c>
      <c r="B686" s="2">
        <v>45892</v>
      </c>
      <c r="C686" s="12" t="s">
        <v>41</v>
      </c>
      <c r="D686" s="12" t="s">
        <v>79</v>
      </c>
      <c r="E686" s="12" t="s">
        <v>34</v>
      </c>
      <c r="F686">
        <v>85</v>
      </c>
      <c r="G686" s="12" t="s">
        <v>47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Log'!$E$2:$V$70,
    MATCH(1,
      ('Golf Log'!$A$2:$A$70=$A686)*
      ('Golf Log'!$B$2:$B$70=$B686)*
      ('Golf Log'!$C$2:$C$70=$C686),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Log'!$E$2:$V$70,
    MATCH(1,
      ('Putt Log'!$A$2:$A$70=$A686)*
      ('Putt Log'!$B$2:$B$70=$B686)*
      ('Putt Log'!$C$2:$C$70=$C686),
    0),
    MATCH($G686,'Putt Log'!$E$1:$V$1,0)
  ),
"")</f>
        <v>2</v>
      </c>
      <c r="P686" cm="1">
        <f t="array" ref="P686">IF(K686=3,"",
  IFERROR(
    INDEX('Fairway Log'!$E$2:$V$70,
      MATCH(1,
        ('Fairway Log'!$A$2:$A$70=$A686)*
        ('Fairway Log'!$B$2:$B$70=$B686)*
        ('Fairway Log'!$C$2:$C757=$C686),
      0),
      MATCH($G686,'Fairway Log'!$E$1:$V$1,0)
    ),
  "")
)</f>
        <v>1</v>
      </c>
      <c r="Q686" cm="1">
        <f t="array" ref="Q686">IFERROR(
  INDEX('GIR Log'!$E$2:$V$70,
    MATCH(1,
      ('GIR Log'!$A$2:$A$70=$A686)*
      ('GIR Log'!$B$2:$B$70=$B686)*
      ('GIR Log'!$C$2:$C$70=$C686),
    0),
    MATCH($G686,'GIR Log'!$E$1:$V$1,0)
  ),
"")</f>
        <v>0</v>
      </c>
    </row>
    <row r="687" spans="1:17" x14ac:dyDescent="0.25">
      <c r="A687" s="20" t="s">
        <v>126</v>
      </c>
      <c r="B687" s="2">
        <v>45892</v>
      </c>
      <c r="C687" s="12" t="s">
        <v>41</v>
      </c>
      <c r="D687" s="12" t="s">
        <v>79</v>
      </c>
      <c r="E687" s="12" t="s">
        <v>34</v>
      </c>
      <c r="F687">
        <v>85</v>
      </c>
      <c r="G687" s="12" t="s">
        <v>48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Log'!$E$2:$V$70,
    MATCH(1,
      ('Golf Log'!$A$2:$A$70=$A687)*
      ('Golf Log'!$B$2:$B$70=$B687)*
      ('Golf Log'!$C$2:$C$70=$C687),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Log'!$E$2:$V$70,
    MATCH(1,
      ('Putt Log'!$A$2:$A$70=$A687)*
      ('Putt Log'!$B$2:$B$70=$B687)*
      ('Putt Log'!$C$2:$C$70=$C687),
    0),
    MATCH($G687,'Putt Log'!$E$1:$V$1,0)
  ),
"")</f>
        <v>2</v>
      </c>
      <c r="P687" t="str" cm="1">
        <f t="array" ref="P687">IF(K687=3,"",
  IFERROR(
    INDEX('Fairway Log'!$E$2:$V$70,
      MATCH(1,
        ('Fairway Log'!$A$2:$A$70=$A687)*
        ('Fairway Log'!$B$2:$B$70=$B687)*
        ('Fairway Log'!$C$2:$C758=$C687),
      0),
      MATCH($G687,'Fairway Log'!$E$1:$V$1,0)
    ),
  "")
)</f>
        <v>→</v>
      </c>
      <c r="Q687" cm="1">
        <f t="array" ref="Q687">IFERROR(
  INDEX('GIR Log'!$E$2:$V$70,
    MATCH(1,
      ('GIR Log'!$A$2:$A$70=$A687)*
      ('GIR Log'!$B$2:$B$70=$B687)*
      ('GIR Log'!$C$2:$C$70=$C687),
    0),
    MATCH($G687,'GIR Log'!$E$1:$V$1,0)
  ),
"")</f>
        <v>0</v>
      </c>
    </row>
    <row r="688" spans="1:17" x14ac:dyDescent="0.25">
      <c r="A688" s="20" t="s">
        <v>126</v>
      </c>
      <c r="B688" s="2">
        <v>45892</v>
      </c>
      <c r="C688" s="12" t="s">
        <v>41</v>
      </c>
      <c r="D688" s="12" t="s">
        <v>79</v>
      </c>
      <c r="E688" s="12" t="s">
        <v>34</v>
      </c>
      <c r="F688">
        <v>85</v>
      </c>
      <c r="G688" s="12" t="s">
        <v>49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Log'!$E$2:$V$70,
    MATCH(1,
      ('Golf Log'!$A$2:$A$70=$A688)*
      ('Golf Log'!$B$2:$B$70=$B688)*
      ('Golf Log'!$C$2:$C$70=$C688),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Log'!$E$2:$V$70,
    MATCH(1,
      ('Putt Log'!$A$2:$A$70=$A688)*
      ('Putt Log'!$B$2:$B$70=$B688)*
      ('Putt Log'!$C$2:$C$70=$C688),
    0),
    MATCH($G688,'Putt Log'!$E$1:$V$1,0)
  ),
"")</f>
        <v>1</v>
      </c>
      <c r="P688" t="str" cm="1">
        <f t="array" ref="P688">IF(K688=3,"",
  IFERROR(
    INDEX('Fairway Log'!$E$2:$V$70,
      MATCH(1,
        ('Fairway Log'!$A$2:$A$70=$A688)*
        ('Fairway Log'!$B$2:$B$70=$B688)*
        ('Fairway Log'!$C$2:$C759=$C688),
      0),
      MATCH($G688,'Fairway Log'!$E$1:$V$1,0)
    ),
  "")
)</f>
        <v/>
      </c>
      <c r="Q688" cm="1">
        <f t="array" ref="Q688">IFERROR(
  INDEX('GIR Log'!$E$2:$V$70,
    MATCH(1,
      ('GIR Log'!$A$2:$A$70=$A688)*
      ('GIR Log'!$B$2:$B$70=$B688)*
      ('GIR Log'!$C$2:$C$70=$C688),
    0),
    MATCH($G688,'GIR Log'!$E$1:$V$1,0)
  ),
"")</f>
        <v>0</v>
      </c>
    </row>
    <row r="689" spans="1:17" x14ac:dyDescent="0.25">
      <c r="A689" s="20" t="s">
        <v>126</v>
      </c>
      <c r="B689" s="2">
        <v>45892</v>
      </c>
      <c r="C689" s="12" t="s">
        <v>41</v>
      </c>
      <c r="D689" s="12" t="s">
        <v>79</v>
      </c>
      <c r="E689" s="12" t="s">
        <v>34</v>
      </c>
      <c r="F689">
        <v>85</v>
      </c>
      <c r="G689" s="12" t="s">
        <v>50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Log'!$E$2:$V$70,
    MATCH(1,
      ('Golf Log'!$A$2:$A$70=$A689)*
      ('Golf Log'!$B$2:$B$70=$B689)*
      ('Golf Log'!$C$2:$C$70=$C689),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Log'!$E$2:$V$70,
    MATCH(1,
      ('Putt Log'!$A$2:$A$70=$A689)*
      ('Putt Log'!$B$2:$B$70=$B689)*
      ('Putt Log'!$C$2:$C$70=$C689),
    0),
    MATCH($G689,'Putt Log'!$E$1:$V$1,0)
  ),
"")</f>
        <v>1</v>
      </c>
      <c r="P689" t="str" cm="1">
        <f t="array" ref="P689">IF(K689=3,"",
  IFERROR(
    INDEX('Fairway Log'!$E$2:$V$70,
      MATCH(1,
        ('Fairway Log'!$A$2:$A$70=$A689)*
        ('Fairway Log'!$B$2:$B$70=$B689)*
        ('Fairway Log'!$C$2:$C760=$C689),
      0),
      MATCH($G689,'Fairway Log'!$E$1:$V$1,0)
    ),
  "")
)</f>
        <v>→</v>
      </c>
      <c r="Q689" cm="1">
        <f t="array" ref="Q689">IFERROR(
  INDEX('GIR Log'!$E$2:$V$70,
    MATCH(1,
      ('GIR Log'!$A$2:$A$70=$A689)*
      ('GIR Log'!$B$2:$B$70=$B689)*
      ('GIR Log'!$C$2:$C$70=$C689),
    0),
    MATCH($G689,'GIR Log'!$E$1:$V$1,0)
  ),
"")</f>
        <v>0</v>
      </c>
    </row>
    <row r="690" spans="1:17" x14ac:dyDescent="0.25">
      <c r="A690" s="20" t="s">
        <v>126</v>
      </c>
      <c r="B690" s="2">
        <v>45892</v>
      </c>
      <c r="C690" s="12" t="s">
        <v>41</v>
      </c>
      <c r="D690" s="12" t="s">
        <v>79</v>
      </c>
      <c r="E690" s="12" t="s">
        <v>34</v>
      </c>
      <c r="F690">
        <v>85</v>
      </c>
      <c r="G690" s="12" t="s">
        <v>51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Log'!$E$2:$V$70,
    MATCH(1,
      ('Golf Log'!$A$2:$A$70=$A690)*
      ('Golf Log'!$B$2:$B$70=$B690)*
      ('Golf Log'!$C$2:$C$70=$C690),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Log'!$E$2:$V$70,
    MATCH(1,
      ('Putt Log'!$A$2:$A$70=$A690)*
      ('Putt Log'!$B$2:$B$70=$B690)*
      ('Putt Log'!$C$2:$C$70=$C690),
    0),
    MATCH($G690,'Putt Log'!$E$1:$V$1,0)
  ),
"")</f>
        <v>2</v>
      </c>
      <c r="P690" cm="1">
        <f t="array" ref="P690">IF(K690=3,"",
  IFERROR(
    INDEX('Fairway Log'!$E$2:$V$70,
      MATCH(1,
        ('Fairway Log'!$A$2:$A$70=$A690)*
        ('Fairway Log'!$B$2:$B$70=$B690)*
        ('Fairway Log'!$C$2:$C761=$C690),
      0),
      MATCH($G690,'Fairway Log'!$E$1:$V$1,0)
    ),
  "")
)</f>
        <v>1</v>
      </c>
      <c r="Q690" cm="1">
        <f t="array" ref="Q690">IFERROR(
  INDEX('GIR Log'!$E$2:$V$70,
    MATCH(1,
      ('GIR Log'!$A$2:$A$70=$A690)*
      ('GIR Log'!$B$2:$B$70=$B690)*
      ('GIR Log'!$C$2:$C$70=$C690),
    0),
    MATCH($G690,'GIR Log'!$E$1:$V$1,0)
  ),
"")</f>
        <v>0</v>
      </c>
    </row>
    <row r="691" spans="1:17" x14ac:dyDescent="0.25">
      <c r="A691" s="20" t="s">
        <v>126</v>
      </c>
      <c r="B691" s="2">
        <v>45892</v>
      </c>
      <c r="C691" s="12" t="s">
        <v>41</v>
      </c>
      <c r="D691" s="12" t="s">
        <v>79</v>
      </c>
      <c r="E691" s="12" t="s">
        <v>34</v>
      </c>
      <c r="F691">
        <v>85</v>
      </c>
      <c r="G691" s="12" t="s">
        <v>52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Log'!$E$2:$V$70,
    MATCH(1,
      ('Golf Log'!$A$2:$A$70=$A691)*
      ('Golf Log'!$B$2:$B$70=$B691)*
      ('Golf Log'!$C$2:$C$70=$C691),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Log'!$E$2:$V$70,
    MATCH(1,
      ('Putt Log'!$A$2:$A$70=$A691)*
      ('Putt Log'!$B$2:$B$70=$B691)*
      ('Putt Log'!$C$2:$C$70=$C691),
    0),
    MATCH($G691,'Putt Log'!$E$1:$V$1,0)
  ),
"")</f>
        <v>1</v>
      </c>
      <c r="P691" t="str" cm="1">
        <f t="array" ref="P691">IF(K691=3,"",
  IFERROR(
    INDEX('Fairway Log'!$E$2:$V$70,
      MATCH(1,
        ('Fairway Log'!$A$2:$A$70=$A691)*
        ('Fairway Log'!$B$2:$B$70=$B691)*
        ('Fairway Log'!$C$2:$C762=$C691),
      0),
      MATCH($G691,'Fairway Log'!$E$1:$V$1,0)
    ),
  "")
)</f>
        <v/>
      </c>
      <c r="Q691" cm="1">
        <f t="array" ref="Q691">IFERROR(
  INDEX('GIR Log'!$E$2:$V$70,
    MATCH(1,
      ('GIR Log'!$A$2:$A$70=$A691)*
      ('GIR Log'!$B$2:$B$70=$B691)*
      ('GIR Log'!$C$2:$C$70=$C691),
    0),
    MATCH($G691,'GIR Log'!$E$1:$V$1,0)
  ),
"")</f>
        <v>0</v>
      </c>
    </row>
    <row r="692" spans="1:17" x14ac:dyDescent="0.25">
      <c r="A692" s="20" t="s">
        <v>126</v>
      </c>
      <c r="B692" s="2">
        <v>45892</v>
      </c>
      <c r="C692" s="12" t="s">
        <v>41</v>
      </c>
      <c r="D692" s="12" t="s">
        <v>79</v>
      </c>
      <c r="E692" s="12" t="s">
        <v>34</v>
      </c>
      <c r="F692">
        <v>85</v>
      </c>
      <c r="G692" s="12" t="s">
        <v>53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Log'!$E$2:$V$70,
    MATCH(1,
      ('Golf Log'!$A$2:$A$70=$A692)*
      ('Golf Log'!$B$2:$B$70=$B692)*
      ('Golf Log'!$C$2:$C$70=$C692),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Log'!$E$2:$V$70,
    MATCH(1,
      ('Putt Log'!$A$2:$A$70=$A692)*
      ('Putt Log'!$B$2:$B$70=$B692)*
      ('Putt Log'!$C$2:$C$70=$C692),
    0),
    MATCH($G692,'Putt Log'!$E$1:$V$1,0)
  ),
"")</f>
        <v>2</v>
      </c>
      <c r="P692" t="str" cm="1">
        <f t="array" ref="P692">IF(K692=3,"",
  IFERROR(
    INDEX('Fairway Log'!$E$2:$V$70,
      MATCH(1,
        ('Fairway Log'!$A$2:$A$70=$A692)*
        ('Fairway Log'!$B$2:$B$70=$B692)*
        ('Fairway Log'!$C$2:$C763=$C692),
      0),
      MATCH($G692,'Fairway Log'!$E$1:$V$1,0)
    ),
  "")
)</f>
        <v>→</v>
      </c>
      <c r="Q692" cm="1">
        <f t="array" ref="Q692">IFERROR(
  INDEX('GIR Log'!$E$2:$V$70,
    MATCH(1,
      ('GIR Log'!$A$2:$A$70=$A692)*
      ('GIR Log'!$B$2:$B$70=$B692)*
      ('GIR Log'!$C$2:$C$70=$C692),
    0),
    MATCH($G692,'GIR Log'!$E$1:$V$1,0)
  ),
"")</f>
        <v>0</v>
      </c>
    </row>
    <row r="693" spans="1:17" x14ac:dyDescent="0.25">
      <c r="A693" s="20" t="s">
        <v>126</v>
      </c>
      <c r="B693" s="2">
        <v>45892</v>
      </c>
      <c r="C693" s="12" t="s">
        <v>41</v>
      </c>
      <c r="D693" s="12" t="s">
        <v>79</v>
      </c>
      <c r="E693" s="12" t="s">
        <v>34</v>
      </c>
      <c r="F693">
        <v>85</v>
      </c>
      <c r="G693" s="12" t="s">
        <v>54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Log'!$E$2:$V$70,
    MATCH(1,
      ('Golf Log'!$A$2:$A$70=$A693)*
      ('Golf Log'!$B$2:$B$70=$B693)*
      ('Golf Log'!$C$2:$C$70=$C693),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Log'!$E$2:$V$70,
    MATCH(1,
      ('Putt Log'!$A$2:$A$70=$A693)*
      ('Putt Log'!$B$2:$B$70=$B693)*
      ('Putt Log'!$C$2:$C$70=$C693),
    0),
    MATCH($G693,'Putt Log'!$E$1:$V$1,0)
  ),
"")</f>
        <v>1</v>
      </c>
      <c r="P693" cm="1">
        <f t="array" ref="P693">IF(K693=3,"",
  IFERROR(
    INDEX('Fairway Log'!$E$2:$V$70,
      MATCH(1,
        ('Fairway Log'!$A$2:$A$70=$A693)*
        ('Fairway Log'!$B$2:$B$70=$B693)*
        ('Fairway Log'!$C$2:$C764=$C693),
      0),
      MATCH($G693,'Fairway Log'!$E$1:$V$1,0)
    ),
  "")
)</f>
        <v>1</v>
      </c>
      <c r="Q693" cm="1">
        <f t="array" ref="Q693">IFERROR(
  INDEX('GIR Log'!$E$2:$V$70,
    MATCH(1,
      ('GIR Log'!$A$2:$A$70=$A693)*
      ('GIR Log'!$B$2:$B$70=$B693)*
      ('GIR Log'!$C$2:$C$70=$C693),
    0),
    MATCH($G693,'GIR Log'!$E$1:$V$1,0)
  ),
"")</f>
        <v>0</v>
      </c>
    </row>
    <row r="694" spans="1:17" x14ac:dyDescent="0.25">
      <c r="A694" s="20" t="s">
        <v>126</v>
      </c>
      <c r="B694" s="2">
        <v>45892</v>
      </c>
      <c r="C694" s="12" t="s">
        <v>41</v>
      </c>
      <c r="D694" s="12" t="s">
        <v>79</v>
      </c>
      <c r="E694" s="12" t="s">
        <v>34</v>
      </c>
      <c r="F694">
        <v>85</v>
      </c>
      <c r="G694" s="12" t="s">
        <v>55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Log'!$E$2:$V$70,
    MATCH(1,
      ('Golf Log'!$A$2:$A$70=$A694)*
      ('Golf Log'!$B$2:$B$70=$B694)*
      ('Golf Log'!$C$2:$C$70=$C694),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Log'!$E$2:$V$70,
    MATCH(1,
      ('Putt Log'!$A$2:$A$70=$A694)*
      ('Putt Log'!$B$2:$B$70=$B694)*
      ('Putt Log'!$C$2:$C$70=$C694),
    0),
    MATCH($G694,'Putt Log'!$E$1:$V$1,0)
  ),
"")</f>
        <v>2</v>
      </c>
      <c r="P694" t="str" cm="1">
        <f t="array" ref="P694">IF(K694=3,"",
  IFERROR(
    INDEX('Fairway Log'!$E$2:$V$70,
      MATCH(1,
        ('Fairway Log'!$A$2:$A$70=$A694)*
        ('Fairway Log'!$B$2:$B$70=$B694)*
        ('Fairway Log'!$C$2:$C765=$C694),
      0),
      MATCH($G694,'Fairway Log'!$E$1:$V$1,0)
    ),
  "")
)</f>
        <v>→</v>
      </c>
      <c r="Q694" cm="1">
        <f t="array" ref="Q694">IFERROR(
  INDEX('GIR Log'!$E$2:$V$70,
    MATCH(1,
      ('GIR Log'!$A$2:$A$70=$A694)*
      ('GIR Log'!$B$2:$B$70=$B694)*
      ('GIR Log'!$C$2:$C$70=$C694),
    0),
    MATCH($G694,'GIR Log'!$E$1:$V$1,0)
  ),
"")</f>
        <v>0</v>
      </c>
    </row>
    <row r="695" spans="1:17" x14ac:dyDescent="0.25">
      <c r="A695" s="20" t="s">
        <v>126</v>
      </c>
      <c r="B695" s="2">
        <v>45892</v>
      </c>
      <c r="C695" s="12" t="s">
        <v>41</v>
      </c>
      <c r="D695" s="12" t="s">
        <v>79</v>
      </c>
      <c r="E695" s="12" t="s">
        <v>34</v>
      </c>
      <c r="F695">
        <v>85</v>
      </c>
      <c r="G695" s="12" t="s">
        <v>56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Log'!$E$2:$V$70,
    MATCH(1,
      ('Golf Log'!$A$2:$A$70=$A695)*
      ('Golf Log'!$B$2:$B$70=$B695)*
      ('Golf Log'!$C$2:$C$70=$C695),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Log'!$E$2:$V$70,
    MATCH(1,
      ('Putt Log'!$A$2:$A$70=$A695)*
      ('Putt Log'!$B$2:$B$70=$B695)*
      ('Putt Log'!$C$2:$C$70=$C695),
    0),
    MATCH($G695,'Putt Log'!$E$1:$V$1,0)
  ),
"")</f>
        <v>2</v>
      </c>
      <c r="P695" t="str" cm="1">
        <f t="array" ref="P695">IF(K695=3,"",
  IFERROR(
    INDEX('Fairway Log'!$E$2:$V$70,
      MATCH(1,
        ('Fairway Log'!$A$2:$A$70=$A695)*
        ('Fairway Log'!$B$2:$B$70=$B695)*
        ('Fairway Log'!$C$2:$C766=$C695),
      0),
      MATCH($G695,'Fairway Log'!$E$1:$V$1,0)
    ),
  "")
)</f>
        <v>→</v>
      </c>
      <c r="Q695" cm="1">
        <f t="array" ref="Q695">IFERROR(
  INDEX('GIR Log'!$E$2:$V$70,
    MATCH(1,
      ('GIR Log'!$A$2:$A$70=$A695)*
      ('GIR Log'!$B$2:$B$70=$B695)*
      ('GIR Log'!$C$2:$C$70=$C695),
    0),
    MATCH($G695,'GIR Log'!$E$1:$V$1,0)
  ),
"")</f>
        <v>1</v>
      </c>
    </row>
    <row r="696" spans="1:17" x14ac:dyDescent="0.25">
      <c r="A696" s="20" t="s">
        <v>126</v>
      </c>
      <c r="B696" s="2">
        <v>45892</v>
      </c>
      <c r="C696" s="12" t="s">
        <v>41</v>
      </c>
      <c r="D696" s="12" t="s">
        <v>79</v>
      </c>
      <c r="E696" s="12" t="s">
        <v>34</v>
      </c>
      <c r="F696">
        <v>85</v>
      </c>
      <c r="G696" s="12" t="s">
        <v>57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Log'!$E$2:$V$70,
    MATCH(1,
      ('Golf Log'!$A$2:$A$70=$A696)*
      ('Golf Log'!$B$2:$B$70=$B696)*
      ('Golf Log'!$C$2:$C$70=$C696),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Log'!$E$2:$V$70,
    MATCH(1,
      ('Putt Log'!$A$2:$A$70=$A696)*
      ('Putt Log'!$B$2:$B$70=$B696)*
      ('Putt Log'!$C$2:$C$70=$C696),
    0),
    MATCH($G696,'Putt Log'!$E$1:$V$1,0)
  ),
"")</f>
        <v>2</v>
      </c>
      <c r="P696" cm="1">
        <f t="array" ref="P696">IF(K696=3,"",
  IFERROR(
    INDEX('Fairway Log'!$E$2:$V$70,
      MATCH(1,
        ('Fairway Log'!$A$2:$A$70=$A696)*
        ('Fairway Log'!$B$2:$B$70=$B696)*
        ('Fairway Log'!$C$2:$C767=$C696),
      0),
      MATCH($G696,'Fairway Log'!$E$1:$V$1,0)
    ),
  "")
)</f>
        <v>1</v>
      </c>
      <c r="Q696" cm="1">
        <f t="array" ref="Q696">IFERROR(
  INDEX('GIR Log'!$E$2:$V$70,
    MATCH(1,
      ('GIR Log'!$A$2:$A$70=$A696)*
      ('GIR Log'!$B$2:$B$70=$B696)*
      ('GIR Log'!$C$2:$C$70=$C696),
    0),
    MATCH($G696,'GIR Log'!$E$1:$V$1,0)
  ),
"")</f>
        <v>1</v>
      </c>
    </row>
    <row r="697" spans="1:17" x14ac:dyDescent="0.25">
      <c r="A697" s="20" t="s">
        <v>126</v>
      </c>
      <c r="B697" s="2">
        <v>45892</v>
      </c>
      <c r="C697" s="12" t="s">
        <v>41</v>
      </c>
      <c r="D697" s="12" t="s">
        <v>79</v>
      </c>
      <c r="E697" s="12" t="s">
        <v>34</v>
      </c>
      <c r="F697">
        <v>85</v>
      </c>
      <c r="G697" s="12" t="s">
        <v>58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Log'!$E$2:$V$70,
    MATCH(1,
      ('Golf Log'!$A$2:$A$70=$A697)*
      ('Golf Log'!$B$2:$B$70=$B697)*
      ('Golf Log'!$C$2:$C$70=$C697),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Log'!$E$2:$V$70,
    MATCH(1,
      ('Putt Log'!$A$2:$A$70=$A697)*
      ('Putt Log'!$B$2:$B$70=$B697)*
      ('Putt Log'!$C$2:$C$70=$C697),
    0),
    MATCH($G697,'Putt Log'!$E$1:$V$1,0)
  ),
"")</f>
        <v>2</v>
      </c>
      <c r="P697" t="str" cm="1">
        <f t="array" ref="P697">IF(K697=3,"",
  IFERROR(
    INDEX('Fairway Log'!$E$2:$V$70,
      MATCH(1,
        ('Fairway Log'!$A$2:$A$70=$A697)*
        ('Fairway Log'!$B$2:$B$70=$B697)*
        ('Fairway Log'!$C$2:$C768=$C697),
      0),
      MATCH($G697,'Fairway Log'!$E$1:$V$1,0)
    ),
  "")
)</f>
        <v>↓</v>
      </c>
      <c r="Q697" cm="1">
        <f t="array" ref="Q697">IFERROR(
  INDEX('GIR Log'!$E$2:$V$70,
    MATCH(1,
      ('GIR Log'!$A$2:$A$70=$A697)*
      ('GIR Log'!$B$2:$B$70=$B697)*
      ('GIR Log'!$C$2:$C$70=$C697),
    0),
    MATCH($G697,'GIR Log'!$E$1:$V$1,0)
  ),
"")</f>
        <v>0</v>
      </c>
    </row>
    <row r="698" spans="1:17" x14ac:dyDescent="0.25">
      <c r="A698" s="20" t="s">
        <v>126</v>
      </c>
      <c r="B698" s="2">
        <v>45892</v>
      </c>
      <c r="C698" s="12" t="s">
        <v>41</v>
      </c>
      <c r="D698" s="12" t="s">
        <v>79</v>
      </c>
      <c r="E698" s="12" t="s">
        <v>34</v>
      </c>
      <c r="F698">
        <v>85</v>
      </c>
      <c r="G698" s="12" t="s">
        <v>59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Log'!$E$2:$V$70,
    MATCH(1,
      ('Golf Log'!$A$2:$A$70=$A698)*
      ('Golf Log'!$B$2:$B$70=$B698)*
      ('Golf Log'!$C$2:$C$70=$C698),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Log'!$E$2:$V$70,
    MATCH(1,
      ('Putt Log'!$A$2:$A$70=$A698)*
      ('Putt Log'!$B$2:$B$70=$B698)*
      ('Putt Log'!$C$2:$C$70=$C698),
    0),
    MATCH($G698,'Putt Log'!$E$1:$V$1,0)
  ),
"")</f>
        <v>2</v>
      </c>
      <c r="P698" t="str" cm="1">
        <f t="array" ref="P698">IF(K698=3,"",
  IFERROR(
    INDEX('Fairway Log'!$E$2:$V$70,
      MATCH(1,
        ('Fairway Log'!$A$2:$A$70=$A698)*
        ('Fairway Log'!$B$2:$B$70=$B698)*
        ('Fairway Log'!$C$2:$C769=$C698),
      0),
      MATCH($G698,'Fairway Log'!$E$1:$V$1,0)
    ),
  "")
)</f>
        <v/>
      </c>
      <c r="Q698" cm="1">
        <f t="array" ref="Q698">IFERROR(
  INDEX('GIR Log'!$E$2:$V$70,
    MATCH(1,
      ('GIR Log'!$A$2:$A$70=$A698)*
      ('GIR Log'!$B$2:$B$70=$B698)*
      ('GIR Log'!$C$2:$C$70=$C698),
    0),
    MATCH($G698,'GIR Log'!$E$1:$V$1,0)
  ),
"")</f>
        <v>1</v>
      </c>
    </row>
    <row r="699" spans="1:17" x14ac:dyDescent="0.25">
      <c r="A699" s="20" t="s">
        <v>126</v>
      </c>
      <c r="B699" s="2">
        <v>45892</v>
      </c>
      <c r="C699" s="12" t="s">
        <v>41</v>
      </c>
      <c r="D699" s="12" t="s">
        <v>79</v>
      </c>
      <c r="E699" s="12" t="s">
        <v>34</v>
      </c>
      <c r="F699">
        <v>85</v>
      </c>
      <c r="G699" s="12" t="s">
        <v>60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Log'!$E$2:$V$70,
    MATCH(1,
      ('Golf Log'!$A$2:$A$70=$A699)*
      ('Golf Log'!$B$2:$B$70=$B699)*
      ('Golf Log'!$C$2:$C$70=$C699),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Log'!$E$2:$V$70,
    MATCH(1,
      ('Putt Log'!$A$2:$A$70=$A699)*
      ('Putt Log'!$B$2:$B$70=$B699)*
      ('Putt Log'!$C$2:$C$70=$C699),
    0),
    MATCH($G699,'Putt Log'!$E$1:$V$1,0)
  ),
"")</f>
        <v>2</v>
      </c>
      <c r="P699" t="str" cm="1">
        <f t="array" ref="P699">IF(K699=3,"",
  IFERROR(
    INDEX('Fairway Log'!$E$2:$V$70,
      MATCH(1,
        ('Fairway Log'!$A$2:$A$70=$A699)*
        ('Fairway Log'!$B$2:$B$70=$B699)*
        ('Fairway Log'!$C$2:$C770=$C699),
      0),
      MATCH($G699,'Fairway Log'!$E$1:$V$1,0)
    ),
  "")
)</f>
        <v>↓</v>
      </c>
      <c r="Q699" cm="1">
        <f t="array" ref="Q699">IFERROR(
  INDEX('GIR Log'!$E$2:$V$70,
    MATCH(1,
      ('GIR Log'!$A$2:$A$70=$A699)*
      ('GIR Log'!$B$2:$B$70=$B699)*
      ('GIR Log'!$C$2:$C$70=$C699),
    0),
    MATCH($G699,'GIR Log'!$E$1:$V$1,0)
  ),
"")</f>
        <v>0</v>
      </c>
    </row>
    <row r="700" spans="1:17" x14ac:dyDescent="0.25">
      <c r="A700" s="20" t="s">
        <v>126</v>
      </c>
      <c r="B700" s="2">
        <v>45892</v>
      </c>
      <c r="C700" s="12" t="s">
        <v>41</v>
      </c>
      <c r="D700" s="12" t="s">
        <v>79</v>
      </c>
      <c r="E700" s="12" t="s">
        <v>34</v>
      </c>
      <c r="F700">
        <v>85</v>
      </c>
      <c r="G700" s="12" t="s">
        <v>61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Log'!$E$2:$V$70,
    MATCH(1,
      ('Golf Log'!$A$2:$A$70=$A700)*
      ('Golf Log'!$B$2:$B$70=$B700)*
      ('Golf Log'!$C$2:$C$70=$C700),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Log'!$E$2:$V$70,
    MATCH(1,
      ('Putt Log'!$A$2:$A$70=$A700)*
      ('Putt Log'!$B$2:$B$70=$B700)*
      ('Putt Log'!$C$2:$C$70=$C700),
    0),
    MATCH($G700,'Putt Log'!$E$1:$V$1,0)
  ),
"")</f>
        <v>2</v>
      </c>
      <c r="P700" cm="1">
        <f t="array" ref="P700">IF(K700=3,"",
  IFERROR(
    INDEX('Fairway Log'!$E$2:$V$70,
      MATCH(1,
        ('Fairway Log'!$A$2:$A$70=$A700)*
        ('Fairway Log'!$B$2:$B$70=$B700)*
        ('Fairway Log'!$C$2:$C771=$C700),
      0),
      MATCH($G700,'Fairway Log'!$E$1:$V$1,0)
    ),
  "")
)</f>
        <v>1</v>
      </c>
      <c r="Q700" cm="1">
        <f t="array" ref="Q700">IFERROR(
  INDEX('GIR Log'!$E$2:$V$70,
    MATCH(1,
      ('GIR Log'!$A$2:$A$70=$A700)*
      ('GIR Log'!$B$2:$B$70=$B700)*
      ('GIR Log'!$C$2:$C$70=$C700),
    0),
    MATCH($G700,'GIR Log'!$E$1:$V$1,0)
  ),
"")</f>
        <v>1</v>
      </c>
    </row>
    <row r="701" spans="1:17" x14ac:dyDescent="0.25">
      <c r="A701" s="20" t="s">
        <v>126</v>
      </c>
      <c r="B701" s="2">
        <v>45892</v>
      </c>
      <c r="C701" s="12" t="s">
        <v>41</v>
      </c>
      <c r="D701" s="12" t="s">
        <v>79</v>
      </c>
      <c r="E701" s="12" t="s">
        <v>34</v>
      </c>
      <c r="F701">
        <v>85</v>
      </c>
      <c r="G701" s="12" t="s">
        <v>62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Log'!$E$2:$V$70,
    MATCH(1,
      ('Golf Log'!$A$2:$A$70=$A701)*
      ('Golf Log'!$B$2:$B$70=$B701)*
      ('Golf Log'!$C$2:$C$70=$C701),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Log'!$E$2:$V$70,
    MATCH(1,
      ('Putt Log'!$A$2:$A$70=$A701)*
      ('Putt Log'!$B$2:$B$70=$B701)*
      ('Putt Log'!$C$2:$C$70=$C701),
    0),
    MATCH($G701,'Putt Log'!$E$1:$V$1,0)
  ),
"")</f>
        <v>2</v>
      </c>
      <c r="P701" t="str" cm="1">
        <f t="array" ref="P701">IF(K701=3,"",
  IFERROR(
    INDEX('Fairway Log'!$E$2:$V$70,
      MATCH(1,
        ('Fairway Log'!$A$2:$A$70=$A701)*
        ('Fairway Log'!$B$2:$B$70=$B701)*
        ('Fairway Log'!$C$2:$C772=$C701),
      0),
      MATCH($G701,'Fairway Log'!$E$1:$V$1,0)
    ),
  "")
)</f>
        <v/>
      </c>
      <c r="Q701" cm="1">
        <f t="array" ref="Q701">IFERROR(
  INDEX('GIR Log'!$E$2:$V$70,
    MATCH(1,
      ('GIR Log'!$A$2:$A$70=$A701)*
      ('GIR Log'!$B$2:$B$70=$B701)*
      ('GIR Log'!$C$2:$C$70=$C701),
    0),
    MATCH($G701,'GIR Log'!$E$1:$V$1,0)
  ),
"")</f>
        <v>0</v>
      </c>
    </row>
    <row r="702" spans="1:17" x14ac:dyDescent="0.25">
      <c r="A702" s="20" t="s">
        <v>126</v>
      </c>
      <c r="B702" s="2">
        <v>45892</v>
      </c>
      <c r="C702" s="12" t="s">
        <v>41</v>
      </c>
      <c r="D702" s="12" t="s">
        <v>79</v>
      </c>
      <c r="E702" s="12" t="s">
        <v>34</v>
      </c>
      <c r="F702">
        <v>85</v>
      </c>
      <c r="G702" s="12" t="s">
        <v>63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Log'!$E$2:$V$70,
    MATCH(1,
      ('Golf Log'!$A$2:$A$70=$A702)*
      ('Golf Log'!$B$2:$B$70=$B702)*
      ('Golf Log'!$C$2:$C$70=$C702),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Log'!$E$2:$V$70,
    MATCH(1,
      ('Putt Log'!$A$2:$A$70=$A702)*
      ('Putt Log'!$B$2:$B$70=$B702)*
      ('Putt Log'!$C$2:$C$70=$C702),
    0),
    MATCH($G702,'Putt Log'!$E$1:$V$1,0)
  ),
"")</f>
        <v>2</v>
      </c>
      <c r="P702" t="str" cm="1">
        <f t="array" ref="P702">IF(K702=3,"",
  IFERROR(
    INDEX('Fairway Log'!$E$2:$V$70,
      MATCH(1,
        ('Fairway Log'!$A$2:$A$70=$A702)*
        ('Fairway Log'!$B$2:$B$70=$B702)*
        ('Fairway Log'!$C$2:$C773=$C702),
      0),
      MATCH($G702,'Fairway Log'!$E$1:$V$1,0)
    ),
  "")
)</f>
        <v>→</v>
      </c>
      <c r="Q702" cm="1">
        <f t="array" ref="Q702">IFERROR(
  INDEX('GIR Log'!$E$2:$V$70,
    MATCH(1,
      ('GIR Log'!$A$2:$A$70=$A702)*
      ('GIR Log'!$B$2:$B$70=$B702)*
      ('GIR Log'!$C$2:$C$70=$C702),
    0),
    MATCH($G702,'GIR Log'!$E$1:$V$1,0)
  ),
"")</f>
        <v>0</v>
      </c>
    </row>
    <row r="703" spans="1:17" x14ac:dyDescent="0.25">
      <c r="A703" s="20" t="s">
        <v>126</v>
      </c>
      <c r="B703" s="2">
        <v>45892</v>
      </c>
      <c r="C703" s="12" t="s">
        <v>41</v>
      </c>
      <c r="D703" s="12" t="s">
        <v>79</v>
      </c>
      <c r="E703" s="12" t="s">
        <v>34</v>
      </c>
      <c r="F703">
        <v>85</v>
      </c>
      <c r="G703" s="12" t="s">
        <v>64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Log'!$E$2:$V$70,
    MATCH(1,
      ('Golf Log'!$A$2:$A$70=$A703)*
      ('Golf Log'!$B$2:$B$70=$B703)*
      ('Golf Log'!$C$2:$C$70=$C703),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Log'!$E$2:$V$70,
    MATCH(1,
      ('Putt Log'!$A$2:$A$70=$A703)*
      ('Putt Log'!$B$2:$B$70=$B703)*
      ('Putt Log'!$C$2:$C$70=$C703),
    0),
    MATCH($G703,'Putt Log'!$E$1:$V$1,0)
  ),
"")</f>
        <v>2</v>
      </c>
      <c r="P703" cm="1">
        <f t="array" ref="P703">IF(K703=3,"",
  IFERROR(
    INDEX('Fairway Log'!$E$2:$V$70,
      MATCH(1,
        ('Fairway Log'!$A$2:$A$70=$A703)*
        ('Fairway Log'!$B$2:$B$70=$B703)*
        ('Fairway Log'!$C$2:$C774=$C703),
      0),
      MATCH($G703,'Fairway Log'!$E$1:$V$1,0)
    ),
  "")
)</f>
        <v>1</v>
      </c>
      <c r="Q703" cm="1">
        <f t="array" ref="Q703">IFERROR(
  INDEX('GIR Log'!$E$2:$V$70,
    MATCH(1,
      ('GIR Log'!$A$2:$A$70=$A703)*
      ('GIR Log'!$B$2:$B$70=$B703)*
      ('GIR Log'!$C$2:$C$70=$C703),
    0),
    MATCH($G703,'GIR Log'!$E$1:$V$1,0)
  ),
"")</f>
        <v>1</v>
      </c>
    </row>
    <row r="704" spans="1:17" x14ac:dyDescent="0.25">
      <c r="A704" s="20" t="s">
        <v>126</v>
      </c>
      <c r="B704" s="2">
        <v>45894</v>
      </c>
      <c r="C704" s="12" t="s">
        <v>11</v>
      </c>
      <c r="D704" s="12" t="s">
        <v>77</v>
      </c>
      <c r="E704" s="12" t="s">
        <v>34</v>
      </c>
      <c r="F704">
        <v>95</v>
      </c>
      <c r="G704" t="s">
        <v>47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Log'!$E$2:$V$70,
    MATCH(1,
      ('Golf Log'!$A$2:$A$70=$A704)*
      ('Golf Log'!$B$2:$B$70=$B704)*
      ('Golf Log'!$C$2:$C$70=$C704),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Log'!$E$2:$V$70,
    MATCH(1,
      ('Putt Log'!$A$2:$A$70=$A704)*
      ('Putt Log'!$B$2:$B$70=$B704)*
      ('Putt Log'!$C$2:$C$70=$C704),
    0),
    MATCH($G704,'Putt Log'!$E$1:$V$1,0)
  ),
"")</f>
        <v>2</v>
      </c>
      <c r="P704" cm="1">
        <f t="array" ref="P704">IF(K704=3,"",
  IFERROR(
    INDEX('Fairway Log'!$E$2:$V$70,
      MATCH(1,
        ('Fairway Log'!$A$2:$A$70=$A704)*
        ('Fairway Log'!$B$2:$B$70=$B704)*
        ('Fairway Log'!$C$2:$C775=$C704),
      0),
      MATCH($G704,'Fairway Log'!$E$1:$V$1,0)
    ),
  "")
)</f>
        <v>1</v>
      </c>
      <c r="Q704" t="str" cm="1">
        <f t="array" ref="Q704">IFERROR(
  INDEX('GIR Log'!$E$2:$V$70,
    MATCH(1,
      ('GIR Log'!$A$2:$A$70=$A704)*
      ('GIR Log'!$B$2:$B$70=$B704)*
      ('GIR Log'!$C$2:$C$70=$C704),
    0),
    MATCH($G704,'GIR Log'!$E$1:$V$1,0)
  ),
"")</f>
        <v>←</v>
      </c>
    </row>
    <row r="705" spans="1:17" x14ac:dyDescent="0.25">
      <c r="A705" s="20" t="s">
        <v>126</v>
      </c>
      <c r="B705" s="2">
        <v>45894</v>
      </c>
      <c r="C705" s="12" t="s">
        <v>11</v>
      </c>
      <c r="D705" s="12" t="s">
        <v>77</v>
      </c>
      <c r="E705" s="12" t="s">
        <v>34</v>
      </c>
      <c r="F705">
        <v>95</v>
      </c>
      <c r="G705" t="s">
        <v>48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Log'!$E$2:$V$70,
    MATCH(1,
      ('Golf Log'!$A$2:$A$70=$A705)*
      ('Golf Log'!$B$2:$B$70=$B705)*
      ('Golf Log'!$C$2:$C$70=$C705),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Log'!$E$2:$V$70,
    MATCH(1,
      ('Putt Log'!$A$2:$A$70=$A705)*
      ('Putt Log'!$B$2:$B$70=$B705)*
      ('Putt Log'!$C$2:$C$70=$C705),
    0),
    MATCH($G705,'Putt Log'!$E$1:$V$1,0)
  ),
"")</f>
        <v>1</v>
      </c>
      <c r="P705" t="str" cm="1">
        <f t="array" ref="P705">IF(K705=3,"",
  IFERROR(
    INDEX('Fairway Log'!$E$2:$V$70,
      MATCH(1,
        ('Fairway Log'!$A$2:$A$70=$A705)*
        ('Fairway Log'!$B$2:$B$70=$B705)*
        ('Fairway Log'!$C$2:$C776=$C705),
      0),
      MATCH($G705,'Fairway Log'!$E$1:$V$1,0)
    ),
  "")
)</f>
        <v/>
      </c>
      <c r="Q705" t="str" cm="1">
        <f t="array" ref="Q705">IFERROR(
  INDEX('GIR Log'!$E$2:$V$70,
    MATCH(1,
      ('GIR Log'!$A$2:$A$70=$A705)*
      ('GIR Log'!$B$2:$B$70=$B705)*
      ('GIR Log'!$C$2:$C$70=$C705),
    0),
    MATCH($G705,'GIR Log'!$E$1:$V$1,0)
  ),
"")</f>
        <v>←</v>
      </c>
    </row>
    <row r="706" spans="1:17" x14ac:dyDescent="0.25">
      <c r="A706" s="20" t="s">
        <v>126</v>
      </c>
      <c r="B706" s="2">
        <v>45894</v>
      </c>
      <c r="C706" s="12" t="s">
        <v>11</v>
      </c>
      <c r="D706" s="12" t="s">
        <v>77</v>
      </c>
      <c r="E706" s="12" t="s">
        <v>34</v>
      </c>
      <c r="F706">
        <v>95</v>
      </c>
      <c r="G706" t="s">
        <v>49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Log'!$E$2:$V$70,
    MATCH(1,
      ('Golf Log'!$A$2:$A$70=$A706)*
      ('Golf Log'!$B$2:$B$70=$B706)*
      ('Golf Log'!$C$2:$C$70=$C706),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Log'!$E$2:$V$70,
    MATCH(1,
      ('Putt Log'!$A$2:$A$70=$A706)*
      ('Putt Log'!$B$2:$B$70=$B706)*
      ('Putt Log'!$C$2:$C$70=$C706),
    0),
    MATCH($G706,'Putt Log'!$E$1:$V$1,0)
  ),
"")</f>
        <v>2</v>
      </c>
      <c r="P706" t="str" cm="1">
        <f t="array" ref="P706">IF(K706=3,"",
  IFERROR(
    INDEX('Fairway Log'!$E$2:$V$70,
      MATCH(1,
        ('Fairway Log'!$A$2:$A$70=$A706)*
        ('Fairway Log'!$B$2:$B$70=$B706)*
        ('Fairway Log'!$C$2:$C777=$C706),
      0),
      MATCH($G706,'Fairway Log'!$E$1:$V$1,0)
    ),
  "")
)</f>
        <v>↓</v>
      </c>
      <c r="Q706" t="str" cm="1">
        <f t="array" ref="Q706">IFERROR(
  INDEX('GIR Log'!$E$2:$V$70,
    MATCH(1,
      ('GIR Log'!$A$2:$A$70=$A706)*
      ('GIR Log'!$B$2:$B$70=$B706)*
      ('GIR Log'!$C$2:$C$70=$C706),
    0),
    MATCH($G706,'GIR Log'!$E$1:$V$1,0)
  ),
"")</f>
        <v>↓</v>
      </c>
    </row>
    <row r="707" spans="1:17" x14ac:dyDescent="0.25">
      <c r="A707" s="20" t="s">
        <v>126</v>
      </c>
      <c r="B707" s="2">
        <v>45894</v>
      </c>
      <c r="C707" s="12" t="s">
        <v>11</v>
      </c>
      <c r="D707" s="12" t="s">
        <v>77</v>
      </c>
      <c r="E707" s="12" t="s">
        <v>34</v>
      </c>
      <c r="F707">
        <v>95</v>
      </c>
      <c r="G707" t="s">
        <v>50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Log'!$E$2:$V$70,
    MATCH(1,
      ('Golf Log'!$A$2:$A$70=$A707)*
      ('Golf Log'!$B$2:$B$70=$B707)*
      ('Golf Log'!$C$2:$C$70=$C707),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Log'!$E$2:$V$70,
    MATCH(1,
      ('Putt Log'!$A$2:$A$70=$A707)*
      ('Putt Log'!$B$2:$B$70=$B707)*
      ('Putt Log'!$C$2:$C$70=$C707),
    0),
    MATCH($G707,'Putt Log'!$E$1:$V$1,0)
  ),
"")</f>
        <v>2</v>
      </c>
      <c r="P707" t="str" cm="1">
        <f t="array" ref="P707">IF(K707=3,"",
  IFERROR(
    INDEX('Fairway Log'!$E$2:$V$70,
      MATCH(1,
        ('Fairway Log'!$A$2:$A$70=$A707)*
        ('Fairway Log'!$B$2:$B$70=$B707)*
        ('Fairway Log'!$C$2:$C778=$C707),
      0),
      MATCH($G707,'Fairway Log'!$E$1:$V$1,0)
    ),
  "")
)</f>
        <v/>
      </c>
      <c r="Q707" t="str" cm="1">
        <f t="array" ref="Q707">IFERROR(
  INDEX('GIR Log'!$E$2:$V$70,
    MATCH(1,
      ('GIR Log'!$A$2:$A$70=$A707)*
      ('GIR Log'!$B$2:$B$70=$B707)*
      ('GIR Log'!$C$2:$C$70=$C707),
    0),
    MATCH($G707,'GIR Log'!$E$1:$V$1,0)
  ),
"")</f>
        <v>↓</v>
      </c>
    </row>
    <row r="708" spans="1:17" x14ac:dyDescent="0.25">
      <c r="A708" s="20" t="s">
        <v>126</v>
      </c>
      <c r="B708" s="2">
        <v>45894</v>
      </c>
      <c r="C708" s="12" t="s">
        <v>11</v>
      </c>
      <c r="D708" s="12" t="s">
        <v>77</v>
      </c>
      <c r="E708" s="12" t="s">
        <v>34</v>
      </c>
      <c r="F708">
        <v>95</v>
      </c>
      <c r="G708" t="s">
        <v>51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Log'!$E$2:$V$70,
    MATCH(1,
      ('Golf Log'!$A$2:$A$70=$A708)*
      ('Golf Log'!$B$2:$B$70=$B708)*
      ('Golf Log'!$C$2:$C$70=$C708),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Log'!$E$2:$V$70,
    MATCH(1,
      ('Putt Log'!$A$2:$A$70=$A708)*
      ('Putt Log'!$B$2:$B$70=$B708)*
      ('Putt Log'!$C$2:$C$70=$C708),
    0),
    MATCH($G708,'Putt Log'!$E$1:$V$1,0)
  ),
"")</f>
        <v>2</v>
      </c>
      <c r="P708" cm="1">
        <f t="array" ref="P708">IF(K708=3,"",
  IFERROR(
    INDEX('Fairway Log'!$E$2:$V$70,
      MATCH(1,
        ('Fairway Log'!$A$2:$A$70=$A708)*
        ('Fairway Log'!$B$2:$B$70=$B708)*
        ('Fairway Log'!$C$2:$C779=$C708),
      0),
      MATCH($G708,'Fairway Log'!$E$1:$V$1,0)
    ),
  "")
)</f>
        <v>1</v>
      </c>
      <c r="Q708" t="str" cm="1">
        <f t="array" ref="Q708">IFERROR(
  INDEX('GIR Log'!$E$2:$V$70,
    MATCH(1,
      ('GIR Log'!$A$2:$A$70=$A708)*
      ('GIR Log'!$B$2:$B$70=$B708)*
      ('GIR Log'!$C$2:$C$70=$C708),
    0),
    MATCH($G708,'GIR Log'!$E$1:$V$1,0)
  ),
"")</f>
        <v>↓</v>
      </c>
    </row>
    <row r="709" spans="1:17" x14ac:dyDescent="0.25">
      <c r="A709" s="20" t="s">
        <v>126</v>
      </c>
      <c r="B709" s="2">
        <v>45894</v>
      </c>
      <c r="C709" s="12" t="s">
        <v>11</v>
      </c>
      <c r="D709" s="12" t="s">
        <v>77</v>
      </c>
      <c r="E709" s="12" t="s">
        <v>34</v>
      </c>
      <c r="F709">
        <v>95</v>
      </c>
      <c r="G709" t="s">
        <v>52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Log'!$E$2:$V$70,
    MATCH(1,
      ('Golf Log'!$A$2:$A$70=$A709)*
      ('Golf Log'!$B$2:$B$70=$B709)*
      ('Golf Log'!$C$2:$C$70=$C709),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Log'!$E$2:$V$70,
    MATCH(1,
      ('Putt Log'!$A$2:$A$70=$A709)*
      ('Putt Log'!$B$2:$B$70=$B709)*
      ('Putt Log'!$C$2:$C$70=$C709),
    0),
    MATCH($G709,'Putt Log'!$E$1:$V$1,0)
  ),
"")</f>
        <v>2</v>
      </c>
      <c r="P709" cm="1">
        <f t="array" ref="P709">IF(K709=3,"",
  IFERROR(
    INDEX('Fairway Log'!$E$2:$V$70,
      MATCH(1,
        ('Fairway Log'!$A$2:$A$70=$A709)*
        ('Fairway Log'!$B$2:$B$70=$B709)*
        ('Fairway Log'!$C$2:$C780=$C709),
      0),
      MATCH($G709,'Fairway Log'!$E$1:$V$1,0)
    ),
  "")
)</f>
        <v>1</v>
      </c>
      <c r="Q709" t="str" cm="1">
        <f t="array" ref="Q709">IFERROR(
  INDEX('GIR Log'!$E$2:$V$70,
    MATCH(1,
      ('GIR Log'!$A$2:$A$70=$A709)*
      ('GIR Log'!$B$2:$B$70=$B709)*
      ('GIR Log'!$C$2:$C$70=$C709),
    0),
    MATCH($G709,'GIR Log'!$E$1:$V$1,0)
  ),
"")</f>
        <v>↓</v>
      </c>
    </row>
    <row r="710" spans="1:17" x14ac:dyDescent="0.25">
      <c r="A710" s="20" t="s">
        <v>126</v>
      </c>
      <c r="B710" s="2">
        <v>45894</v>
      </c>
      <c r="C710" s="12" t="s">
        <v>11</v>
      </c>
      <c r="D710" s="12" t="s">
        <v>77</v>
      </c>
      <c r="E710" s="12" t="s">
        <v>34</v>
      </c>
      <c r="F710">
        <v>95</v>
      </c>
      <c r="G710" t="s">
        <v>53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Log'!$E$2:$V$70,
    MATCH(1,
      ('Golf Log'!$A$2:$A$70=$A710)*
      ('Golf Log'!$B$2:$B$70=$B710)*
      ('Golf Log'!$C$2:$C$70=$C710),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Log'!$E$2:$V$70,
    MATCH(1,
      ('Putt Log'!$A$2:$A$70=$A710)*
      ('Putt Log'!$B$2:$B$70=$B710)*
      ('Putt Log'!$C$2:$C$70=$C710),
    0),
    MATCH($G710,'Putt Log'!$E$1:$V$1,0)
  ),
"")</f>
        <v>2</v>
      </c>
      <c r="P710" cm="1">
        <f t="array" ref="P710">IF(K710=3,"",
  IFERROR(
    INDEX('Fairway Log'!$E$2:$V$70,
      MATCH(1,
        ('Fairway Log'!$A$2:$A$70=$A710)*
        ('Fairway Log'!$B$2:$B$70=$B710)*
        ('Fairway Log'!$C$2:$C781=$C710),
      0),
      MATCH($G710,'Fairway Log'!$E$1:$V$1,0)
    ),
  "")
)</f>
        <v>1</v>
      </c>
      <c r="Q710" cm="1">
        <f t="array" ref="Q710">IFERROR(
  INDEX('GIR Log'!$E$2:$V$70,
    MATCH(1,
      ('GIR Log'!$A$2:$A$70=$A710)*
      ('GIR Log'!$B$2:$B$70=$B710)*
      ('GIR Log'!$C$2:$C$70=$C710),
    0),
    MATCH($G710,'GIR Log'!$E$1:$V$1,0)
  ),
"")</f>
        <v>1</v>
      </c>
    </row>
    <row r="711" spans="1:17" x14ac:dyDescent="0.25">
      <c r="A711" s="20" t="s">
        <v>126</v>
      </c>
      <c r="B711" s="2">
        <v>45894</v>
      </c>
      <c r="C711" s="12" t="s">
        <v>11</v>
      </c>
      <c r="D711" s="12" t="s">
        <v>77</v>
      </c>
      <c r="E711" s="12" t="s">
        <v>34</v>
      </c>
      <c r="F711">
        <v>95</v>
      </c>
      <c r="G711" t="s">
        <v>54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Log'!$E$2:$V$70,
    MATCH(1,
      ('Golf Log'!$A$2:$A$70=$A711)*
      ('Golf Log'!$B$2:$B$70=$B711)*
      ('Golf Log'!$C$2:$C$70=$C711),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Log'!$E$2:$V$70,
    MATCH(1,
      ('Putt Log'!$A$2:$A$70=$A711)*
      ('Putt Log'!$B$2:$B$70=$B711)*
      ('Putt Log'!$C$2:$C$70=$C711),
    0),
    MATCH($G711,'Putt Log'!$E$1:$V$1,0)
  ),
"")</f>
        <v>2</v>
      </c>
      <c r="P711" t="str" cm="1">
        <f t="array" ref="P711">IF(K711=3,"",
  IFERROR(
    INDEX('Fairway Log'!$E$2:$V$70,
      MATCH(1,
        ('Fairway Log'!$A$2:$A$70=$A711)*
        ('Fairway Log'!$B$2:$B$70=$B711)*
        ('Fairway Log'!$C$2:$C782=$C711),
      0),
      MATCH($G711,'Fairway Log'!$E$1:$V$1,0)
    ),
  "")
)</f>
        <v>→</v>
      </c>
      <c r="Q711" t="str" cm="1">
        <f t="array" ref="Q711">IFERROR(
  INDEX('GIR Log'!$E$2:$V$70,
    MATCH(1,
      ('GIR Log'!$A$2:$A$70=$A711)*
      ('GIR Log'!$B$2:$B$70=$B711)*
      ('GIR Log'!$C$2:$C$70=$C711),
    0),
    MATCH($G711,'GIR Log'!$E$1:$V$1,0)
  ),
"")</f>
        <v>↓</v>
      </c>
    </row>
    <row r="712" spans="1:17" x14ac:dyDescent="0.25">
      <c r="A712" s="20" t="s">
        <v>126</v>
      </c>
      <c r="B712" s="2">
        <v>45894</v>
      </c>
      <c r="C712" s="12" t="s">
        <v>11</v>
      </c>
      <c r="D712" s="12" t="s">
        <v>77</v>
      </c>
      <c r="E712" s="12" t="s">
        <v>34</v>
      </c>
      <c r="F712">
        <v>95</v>
      </c>
      <c r="G712" t="s">
        <v>55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Log'!$E$2:$V$70,
    MATCH(1,
      ('Golf Log'!$A$2:$A$70=$A712)*
      ('Golf Log'!$B$2:$B$70=$B712)*
      ('Golf Log'!$C$2:$C$70=$C712),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Log'!$E$2:$V$70,
    MATCH(1,
      ('Putt Log'!$A$2:$A$70=$A712)*
      ('Putt Log'!$B$2:$B$70=$B712)*
      ('Putt Log'!$C$2:$C$70=$C712),
    0),
    MATCH($G712,'Putt Log'!$E$1:$V$1,0)
  ),
"")</f>
        <v>2</v>
      </c>
      <c r="P712" t="str" cm="1">
        <f t="array" ref="P712">IF(K712=3,"",
  IFERROR(
    INDEX('Fairway Log'!$E$2:$V$70,
      MATCH(1,
        ('Fairway Log'!$A$2:$A$70=$A712)*
        ('Fairway Log'!$B$2:$B$70=$B712)*
        ('Fairway Log'!$C$2:$C783=$C712),
      0),
      MATCH($G712,'Fairway Log'!$E$1:$V$1,0)
    ),
  "")
)</f>
        <v>↓</v>
      </c>
      <c r="Q712" t="str" cm="1">
        <f t="array" ref="Q712">IFERROR(
  INDEX('GIR Log'!$E$2:$V$70,
    MATCH(1,
      ('GIR Log'!$A$2:$A$70=$A712)*
      ('GIR Log'!$B$2:$B$70=$B712)*
      ('GIR Log'!$C$2:$C$70=$C712),
    0),
    MATCH($G712,'GIR Log'!$E$1:$V$1,0)
  ),
"")</f>
        <v>↓</v>
      </c>
    </row>
    <row r="713" spans="1:17" x14ac:dyDescent="0.25">
      <c r="A713" s="20" t="s">
        <v>126</v>
      </c>
      <c r="B713" s="2">
        <v>45894</v>
      </c>
      <c r="C713" s="12" t="s">
        <v>11</v>
      </c>
      <c r="D713" s="12" t="s">
        <v>77</v>
      </c>
      <c r="E713" s="12" t="s">
        <v>34</v>
      </c>
      <c r="F713">
        <v>95</v>
      </c>
      <c r="G713" t="s">
        <v>56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Log'!$E$2:$V$70,
    MATCH(1,
      ('Golf Log'!$A$2:$A$70=$A713)*
      ('Golf Log'!$B$2:$B$70=$B713)*
      ('Golf Log'!$C$2:$C$70=$C713),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Log'!$E$2:$V$70,
    MATCH(1,
      ('Putt Log'!$A$2:$A$70=$A713)*
      ('Putt Log'!$B$2:$B$70=$B713)*
      ('Putt Log'!$C$2:$C$70=$C713),
    0),
    MATCH($G713,'Putt Log'!$E$1:$V$1,0)
  ),
"")</f>
        <v>2</v>
      </c>
      <c r="P713" t="str" cm="1">
        <f t="array" ref="P713">IF(K713=3,"",
  IFERROR(
    INDEX('Fairway Log'!$E$2:$V$70,
      MATCH(1,
        ('Fairway Log'!$A$2:$A$70=$A713)*
        ('Fairway Log'!$B$2:$B$70=$B713)*
        ('Fairway Log'!$C$2:$C784=$C713),
      0),
      MATCH($G713,'Fairway Log'!$E$1:$V$1,0)
    ),
  "")
)</f>
        <v>→</v>
      </c>
      <c r="Q713" t="str" cm="1">
        <f t="array" ref="Q713">IFERROR(
  INDEX('GIR Log'!$E$2:$V$70,
    MATCH(1,
      ('GIR Log'!$A$2:$A$70=$A713)*
      ('GIR Log'!$B$2:$B$70=$B713)*
      ('GIR Log'!$C$2:$C$70=$C713),
    0),
    MATCH($G713,'GIR Log'!$E$1:$V$1,0)
  ),
"")</f>
        <v>↓</v>
      </c>
    </row>
    <row r="714" spans="1:17" x14ac:dyDescent="0.25">
      <c r="A714" s="20" t="s">
        <v>126</v>
      </c>
      <c r="B714" s="2">
        <v>45894</v>
      </c>
      <c r="C714" s="12" t="s">
        <v>11</v>
      </c>
      <c r="D714" s="12" t="s">
        <v>77</v>
      </c>
      <c r="E714" s="12" t="s">
        <v>34</v>
      </c>
      <c r="F714">
        <v>95</v>
      </c>
      <c r="G714" t="s">
        <v>57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Log'!$E$2:$V$70,
    MATCH(1,
      ('Golf Log'!$A$2:$A$70=$A714)*
      ('Golf Log'!$B$2:$B$70=$B714)*
      ('Golf Log'!$C$2:$C$70=$C714),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Log'!$E$2:$V$70,
    MATCH(1,
      ('Putt Log'!$A$2:$A$70=$A714)*
      ('Putt Log'!$B$2:$B$70=$B714)*
      ('Putt Log'!$C$2:$C$70=$C714),
    0),
    MATCH($G714,'Putt Log'!$E$1:$V$1,0)
  ),
"")</f>
        <v>3</v>
      </c>
      <c r="P714" t="str" cm="1">
        <f t="array" ref="P714">IF(K714=3,"",
  IFERROR(
    INDEX('Fairway Log'!$E$2:$V$70,
      MATCH(1,
        ('Fairway Log'!$A$2:$A$70=$A714)*
        ('Fairway Log'!$B$2:$B$70=$B714)*
        ('Fairway Log'!$C$2:$C785=$C714),
      0),
      MATCH($G714,'Fairway Log'!$E$1:$V$1,0)
    ),
  "")
)</f>
        <v/>
      </c>
      <c r="Q714" t="str" cm="1">
        <f t="array" ref="Q714">IFERROR(
  INDEX('GIR Log'!$E$2:$V$70,
    MATCH(1,
      ('GIR Log'!$A$2:$A$70=$A714)*
      ('GIR Log'!$B$2:$B$70=$B714)*
      ('GIR Log'!$C$2:$C$70=$C714),
    0),
    MATCH($G714,'GIR Log'!$E$1:$V$1,0)
  ),
"")</f>
        <v>↓</v>
      </c>
    </row>
    <row r="715" spans="1:17" x14ac:dyDescent="0.25">
      <c r="A715" s="20" t="s">
        <v>126</v>
      </c>
      <c r="B715" s="2">
        <v>45894</v>
      </c>
      <c r="C715" s="12" t="s">
        <v>11</v>
      </c>
      <c r="D715" s="12" t="s">
        <v>77</v>
      </c>
      <c r="E715" s="12" t="s">
        <v>34</v>
      </c>
      <c r="F715">
        <v>95</v>
      </c>
      <c r="G715" t="s">
        <v>58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Log'!$E$2:$V$70,
    MATCH(1,
      ('Golf Log'!$A$2:$A$70=$A715)*
      ('Golf Log'!$B$2:$B$70=$B715)*
      ('Golf Log'!$C$2:$C$70=$C715),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Log'!$E$2:$V$70,
    MATCH(1,
      ('Putt Log'!$A$2:$A$70=$A715)*
      ('Putt Log'!$B$2:$B$70=$B715)*
      ('Putt Log'!$C$2:$C$70=$C715),
    0),
    MATCH($G715,'Putt Log'!$E$1:$V$1,0)
  ),
"")</f>
        <v>2</v>
      </c>
      <c r="P715" t="str" cm="1">
        <f t="array" ref="P715">IF(K715=3,"",
  IFERROR(
    INDEX('Fairway Log'!$E$2:$V$70,
      MATCH(1,
        ('Fairway Log'!$A$2:$A$70=$A715)*
        ('Fairway Log'!$B$2:$B$70=$B715)*
        ('Fairway Log'!$C$2:$C786=$C715),
      0),
      MATCH($G715,'Fairway Log'!$E$1:$V$1,0)
    ),
  "")
)</f>
        <v>→</v>
      </c>
      <c r="Q715" t="str" cm="1">
        <f t="array" ref="Q715">IFERROR(
  INDEX('GIR Log'!$E$2:$V$70,
    MATCH(1,
      ('GIR Log'!$A$2:$A$70=$A715)*
      ('GIR Log'!$B$2:$B$70=$B715)*
      ('GIR Log'!$C$2:$C$70=$C715),
    0),
    MATCH($G715,'GIR Log'!$E$1:$V$1,0)
  ),
"")</f>
        <v>↓</v>
      </c>
    </row>
    <row r="716" spans="1:17" x14ac:dyDescent="0.25">
      <c r="A716" s="20" t="s">
        <v>126</v>
      </c>
      <c r="B716" s="2">
        <v>45894</v>
      </c>
      <c r="C716" s="12" t="s">
        <v>11</v>
      </c>
      <c r="D716" s="12" t="s">
        <v>77</v>
      </c>
      <c r="E716" s="12" t="s">
        <v>34</v>
      </c>
      <c r="F716">
        <v>95</v>
      </c>
      <c r="G716" t="s">
        <v>59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Log'!$E$2:$V$70,
    MATCH(1,
      ('Golf Log'!$A$2:$A$70=$A716)*
      ('Golf Log'!$B$2:$B$70=$B716)*
      ('Golf Log'!$C$2:$C$70=$C716),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Log'!$E$2:$V$70,
    MATCH(1,
      ('Putt Log'!$A$2:$A$70=$A716)*
      ('Putt Log'!$B$2:$B$70=$B716)*
      ('Putt Log'!$C$2:$C$70=$C716),
    0),
    MATCH($G716,'Putt Log'!$E$1:$V$1,0)
  ),
"")</f>
        <v>2</v>
      </c>
      <c r="P716" cm="1">
        <f t="array" ref="P716">IF(K716=3,"",
  IFERROR(
    INDEX('Fairway Log'!$E$2:$V$70,
      MATCH(1,
        ('Fairway Log'!$A$2:$A$70=$A716)*
        ('Fairway Log'!$B$2:$B$70=$B716)*
        ('Fairway Log'!$C$2:$C787=$C716),
      0),
      MATCH($G716,'Fairway Log'!$E$1:$V$1,0)
    ),
  "")
)</f>
        <v>1</v>
      </c>
      <c r="Q716" t="str" cm="1">
        <f t="array" ref="Q716">IFERROR(
  INDEX('GIR Log'!$E$2:$V$70,
    MATCH(1,
      ('GIR Log'!$A$2:$A$70=$A716)*
      ('GIR Log'!$B$2:$B$70=$B716)*
      ('GIR Log'!$C$2:$C$70=$C716),
    0),
    MATCH($G716,'GIR Log'!$E$1:$V$1,0)
  ),
"")</f>
        <v>↓</v>
      </c>
    </row>
    <row r="717" spans="1:17" x14ac:dyDescent="0.25">
      <c r="A717" s="20" t="s">
        <v>126</v>
      </c>
      <c r="B717" s="2">
        <v>45894</v>
      </c>
      <c r="C717" s="12" t="s">
        <v>11</v>
      </c>
      <c r="D717" s="12" t="s">
        <v>77</v>
      </c>
      <c r="E717" s="12" t="s">
        <v>34</v>
      </c>
      <c r="F717">
        <v>95</v>
      </c>
      <c r="G717" t="s">
        <v>60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Log'!$E$2:$V$70,
    MATCH(1,
      ('Golf Log'!$A$2:$A$70=$A717)*
      ('Golf Log'!$B$2:$B$70=$B717)*
      ('Golf Log'!$C$2:$C$70=$C717),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Log'!$E$2:$V$70,
    MATCH(1,
      ('Putt Log'!$A$2:$A$70=$A717)*
      ('Putt Log'!$B$2:$B$70=$B717)*
      ('Putt Log'!$C$2:$C$70=$C717),
    0),
    MATCH($G717,'Putt Log'!$E$1:$V$1,0)
  ),
"")</f>
        <v>3</v>
      </c>
      <c r="P717" t="str" cm="1">
        <f t="array" ref="P717">IF(K717=3,"",
  IFERROR(
    INDEX('Fairway Log'!$E$2:$V$70,
      MATCH(1,
        ('Fairway Log'!$A$2:$A$70=$A717)*
        ('Fairway Log'!$B$2:$B$70=$B717)*
        ('Fairway Log'!$C$2:$C788=$C717),
      0),
      MATCH($G717,'Fairway Log'!$E$1:$V$1,0)
    ),
  "")
)</f>
        <v/>
      </c>
      <c r="Q717" t="str" cm="1">
        <f t="array" ref="Q717">IFERROR(
  INDEX('GIR Log'!$E$2:$V$70,
    MATCH(1,
      ('GIR Log'!$A$2:$A$70=$A717)*
      ('GIR Log'!$B$2:$B$70=$B717)*
      ('GIR Log'!$C$2:$C$70=$C717),
    0),
    MATCH($G717,'GIR Log'!$E$1:$V$1,0)
  ),
"")</f>
        <v>↓</v>
      </c>
    </row>
    <row r="718" spans="1:17" x14ac:dyDescent="0.25">
      <c r="A718" s="20" t="s">
        <v>126</v>
      </c>
      <c r="B718" s="2">
        <v>45894</v>
      </c>
      <c r="C718" s="12" t="s">
        <v>11</v>
      </c>
      <c r="D718" s="12" t="s">
        <v>77</v>
      </c>
      <c r="E718" s="12" t="s">
        <v>34</v>
      </c>
      <c r="F718">
        <v>95</v>
      </c>
      <c r="G718" t="s">
        <v>61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Log'!$E$2:$V$70,
    MATCH(1,
      ('Golf Log'!$A$2:$A$70=$A718)*
      ('Golf Log'!$B$2:$B$70=$B718)*
      ('Golf Log'!$C$2:$C$70=$C718),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Log'!$E$2:$V$70,
    MATCH(1,
      ('Putt Log'!$A$2:$A$70=$A718)*
      ('Putt Log'!$B$2:$B$70=$B718)*
      ('Putt Log'!$C$2:$C$70=$C718),
    0),
    MATCH($G718,'Putt Log'!$E$1:$V$1,0)
  ),
"")</f>
        <v>2</v>
      </c>
      <c r="P718" t="str" cm="1">
        <f t="array" ref="P718">IF(K718=3,"",
  IFERROR(
    INDEX('Fairway Log'!$E$2:$V$70,
      MATCH(1,
        ('Fairway Log'!$A$2:$A$70=$A718)*
        ('Fairway Log'!$B$2:$B$70=$B718)*
        ('Fairway Log'!$C$2:$C789=$C718),
      0),
      MATCH($G718,'Fairway Log'!$E$1:$V$1,0)
    ),
  "")
)</f>
        <v>→</v>
      </c>
      <c r="Q718" t="str" cm="1">
        <f t="array" ref="Q718">IFERROR(
  INDEX('GIR Log'!$E$2:$V$70,
    MATCH(1,
      ('GIR Log'!$A$2:$A$70=$A718)*
      ('GIR Log'!$B$2:$B$70=$B718)*
      ('GIR Log'!$C$2:$C$70=$C718),
    0),
    MATCH($G718,'GIR Log'!$E$1:$V$1,0)
  ),
"")</f>
        <v>↓</v>
      </c>
    </row>
    <row r="719" spans="1:17" x14ac:dyDescent="0.25">
      <c r="A719" s="20" t="s">
        <v>126</v>
      </c>
      <c r="B719" s="2">
        <v>45894</v>
      </c>
      <c r="C719" s="12" t="s">
        <v>11</v>
      </c>
      <c r="D719" s="12" t="s">
        <v>77</v>
      </c>
      <c r="E719" s="12" t="s">
        <v>34</v>
      </c>
      <c r="F719">
        <v>95</v>
      </c>
      <c r="G719" t="s">
        <v>62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Log'!$E$2:$V$70,
    MATCH(1,
      ('Golf Log'!$A$2:$A$70=$A719)*
      ('Golf Log'!$B$2:$B$70=$B719)*
      ('Golf Log'!$C$2:$C$70=$C719),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Log'!$E$2:$V$70,
    MATCH(1,
      ('Putt Log'!$A$2:$A$70=$A719)*
      ('Putt Log'!$B$2:$B$70=$B719)*
      ('Putt Log'!$C$2:$C$70=$C719),
    0),
    MATCH($G719,'Putt Log'!$E$1:$V$1,0)
  ),
"")</f>
        <v>2</v>
      </c>
      <c r="P719" t="str" cm="1">
        <f t="array" ref="P719">IF(K719=3,"",
  IFERROR(
    INDEX('Fairway Log'!$E$2:$V$70,
      MATCH(1,
        ('Fairway Log'!$A$2:$A$70=$A719)*
        ('Fairway Log'!$B$2:$B$70=$B719)*
        ('Fairway Log'!$C$2:$C790=$C719),
      0),
      MATCH($G719,'Fairway Log'!$E$1:$V$1,0)
    ),
  "")
)</f>
        <v/>
      </c>
      <c r="Q719" t="str" cm="1">
        <f t="array" ref="Q719">IFERROR(
  INDEX('GIR Log'!$E$2:$V$70,
    MATCH(1,
      ('GIR Log'!$A$2:$A$70=$A719)*
      ('GIR Log'!$B$2:$B$70=$B719)*
      ('GIR Log'!$C$2:$C$70=$C719),
    0),
    MATCH($G719,'GIR Log'!$E$1:$V$1,0)
  ),
"")</f>
        <v>↑</v>
      </c>
    </row>
    <row r="720" spans="1:17" x14ac:dyDescent="0.25">
      <c r="A720" s="20" t="s">
        <v>126</v>
      </c>
      <c r="B720" s="2">
        <v>45894</v>
      </c>
      <c r="C720" s="12" t="s">
        <v>11</v>
      </c>
      <c r="D720" s="12" t="s">
        <v>77</v>
      </c>
      <c r="E720" s="12" t="s">
        <v>34</v>
      </c>
      <c r="F720">
        <v>95</v>
      </c>
      <c r="G720" t="s">
        <v>63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Log'!$E$2:$V$70,
    MATCH(1,
      ('Golf Log'!$A$2:$A$70=$A720)*
      ('Golf Log'!$B$2:$B$70=$B720)*
      ('Golf Log'!$C$2:$C$70=$C720),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Log'!$E$2:$V$70,
    MATCH(1,
      ('Putt Log'!$A$2:$A$70=$A720)*
      ('Putt Log'!$B$2:$B$70=$B720)*
      ('Putt Log'!$C$2:$C$70=$C720),
    0),
    MATCH($G720,'Putt Log'!$E$1:$V$1,0)
  ),
"")</f>
        <v>3</v>
      </c>
      <c r="P720" cm="1">
        <f t="array" ref="P720">IF(K720=3,"",
  IFERROR(
    INDEX('Fairway Log'!$E$2:$V$70,
      MATCH(1,
        ('Fairway Log'!$A$2:$A$70=$A720)*
        ('Fairway Log'!$B$2:$B$70=$B720)*
        ('Fairway Log'!$C$2:$C791=$C720),
      0),
      MATCH($G720,'Fairway Log'!$E$1:$V$1,0)
    ),
  "")
)</f>
        <v>1</v>
      </c>
      <c r="Q720" t="str" cm="1">
        <f t="array" ref="Q720">IFERROR(
  INDEX('GIR Log'!$E$2:$V$70,
    MATCH(1,
      ('GIR Log'!$A$2:$A$70=$A720)*
      ('GIR Log'!$B$2:$B$70=$B720)*
      ('GIR Log'!$C$2:$C$70=$C720),
    0),
    MATCH($G720,'GIR Log'!$E$1:$V$1,0)
  ),
"")</f>
        <v>↓</v>
      </c>
    </row>
    <row r="721" spans="1:17" x14ac:dyDescent="0.25">
      <c r="A721" s="20" t="s">
        <v>126</v>
      </c>
      <c r="B721" s="2">
        <v>45894</v>
      </c>
      <c r="C721" s="12" t="s">
        <v>11</v>
      </c>
      <c r="D721" s="12" t="s">
        <v>77</v>
      </c>
      <c r="E721" s="12" t="s">
        <v>34</v>
      </c>
      <c r="F721">
        <v>95</v>
      </c>
      <c r="G721" t="s">
        <v>64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Log'!$E$2:$V$70,
    MATCH(1,
      ('Golf Log'!$A$2:$A$70=$A721)*
      ('Golf Log'!$B$2:$B$70=$B721)*
      ('Golf Log'!$C$2:$C$70=$C721),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Log'!$E$2:$V$70,
    MATCH(1,
      ('Putt Log'!$A$2:$A$70=$A721)*
      ('Putt Log'!$B$2:$B$70=$B721)*
      ('Putt Log'!$C$2:$C$70=$C721),
    0),
    MATCH($G721,'Putt Log'!$E$1:$V$1,0)
  ),
"")</f>
        <v>2</v>
      </c>
      <c r="P721" t="str" cm="1">
        <f t="array" ref="P721">IF(K721=3,"",
  IFERROR(
    INDEX('Fairway Log'!$E$2:$V$70,
      MATCH(1,
        ('Fairway Log'!$A$2:$A$70=$A721)*
        ('Fairway Log'!$B$2:$B$70=$B721)*
        ('Fairway Log'!$C$2:$C792=$C721),
      0),
      MATCH($G721,'Fairway Log'!$E$1:$V$1,0)
    ),
  "")
)</f>
        <v>→</v>
      </c>
      <c r="Q721" t="str" cm="1">
        <f t="array" ref="Q721">IFERROR(
  INDEX('GIR Log'!$E$2:$V$70,
    MATCH(1,
      ('GIR Log'!$A$2:$A$70=$A721)*
      ('GIR Log'!$B$2:$B$70=$B721)*
      ('GIR Log'!$C$2:$C$70=$C721),
    0),
    MATCH($G721,'GIR Log'!$E$1:$V$1,0)
  ),
"")</f>
        <v>↓</v>
      </c>
    </row>
    <row r="722" spans="1:17" x14ac:dyDescent="0.25">
      <c r="A722" s="20" t="s">
        <v>126</v>
      </c>
      <c r="B722" s="2">
        <v>45897</v>
      </c>
      <c r="C722" s="15" t="s">
        <v>41</v>
      </c>
      <c r="D722" s="15" t="s">
        <v>79</v>
      </c>
      <c r="E722" s="15" t="s">
        <v>34</v>
      </c>
      <c r="F722">
        <v>89</v>
      </c>
      <c r="G722" s="12" t="s">
        <v>47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Log'!$E$2:$V$70,
    MATCH(1,
      ('Golf Log'!$A$2:$A$70=$A722)*
      ('Golf Log'!$B$2:$B$70=$B722)*
      ('Golf Log'!$C$2:$C$70=$C722),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Log'!$E$2:$V$70,
    MATCH(1,
      ('Putt Log'!$A$2:$A$70=$A722)*
      ('Putt Log'!$B$2:$B$70=$B722)*
      ('Putt Log'!$C$2:$C$70=$C722),
    0),
    MATCH($G722,'Putt Log'!$E$1:$V$1,0)
  ),
"")</f>
        <v>2</v>
      </c>
      <c r="P722" cm="1">
        <f t="array" ref="P722">IF(K722=3,"",
  IFERROR(
    INDEX('Fairway Log'!$E$2:$V$70,
      MATCH(1,
        ('Fairway Log'!$A$2:$A$70=$A722)*
        ('Fairway Log'!$B$2:$B$70=$B722)*
        ('Fairway Log'!$C$2:$C793=$C722),
      0),
      MATCH($G722,'Fairway Log'!$E$1:$V$1,0)
    ),
  "")
)</f>
        <v>1</v>
      </c>
      <c r="Q722" t="str" cm="1">
        <f t="array" ref="Q722">IFERROR(
  INDEX('GIR Log'!$E$2:$V$70,
    MATCH(1,
      ('GIR Log'!$A$2:$A$70=$A722)*
      ('GIR Log'!$B$2:$B$70=$B722)*
      ('GIR Log'!$C$2:$C$70=$C722),
    0),
    MATCH($G722,'GIR Log'!$E$1:$V$1,0)
  ),
"")</f>
        <v>NC</v>
      </c>
    </row>
    <row r="723" spans="1:17" x14ac:dyDescent="0.25">
      <c r="A723" s="20" t="s">
        <v>126</v>
      </c>
      <c r="B723" s="2">
        <v>45897</v>
      </c>
      <c r="C723" s="15" t="s">
        <v>41</v>
      </c>
      <c r="D723" s="15" t="s">
        <v>79</v>
      </c>
      <c r="E723" s="15" t="s">
        <v>34</v>
      </c>
      <c r="F723">
        <v>89</v>
      </c>
      <c r="G723" s="12" t="s">
        <v>48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Log'!$E$2:$V$70,
    MATCH(1,
      ('Golf Log'!$A$2:$A$70=$A723)*
      ('Golf Log'!$B$2:$B$70=$B723)*
      ('Golf Log'!$C$2:$C$70=$C723),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Log'!$E$2:$V$70,
    MATCH(1,
      ('Putt Log'!$A$2:$A$70=$A723)*
      ('Putt Log'!$B$2:$B$70=$B723)*
      ('Putt Log'!$C$2:$C$70=$C723),
    0),
    MATCH($G723,'Putt Log'!$E$1:$V$1,0)
  ),
"")</f>
        <v>1</v>
      </c>
      <c r="P723" t="str" cm="1">
        <f t="array" ref="P723">IF(K723=3,"",
  IFERROR(
    INDEX('Fairway Log'!$E$2:$V$70,
      MATCH(1,
        ('Fairway Log'!$A$2:$A$70=$A723)*
        ('Fairway Log'!$B$2:$B$70=$B723)*
        ('Fairway Log'!$C$2:$C794=$C723),
      0),
      MATCH($G723,'Fairway Log'!$E$1:$V$1,0)
    ),
  "")
)</f>
        <v>↓</v>
      </c>
      <c r="Q723" t="str" cm="1">
        <f t="array" ref="Q723">IFERROR(
  INDEX('GIR Log'!$E$2:$V$70,
    MATCH(1,
      ('GIR Log'!$A$2:$A$70=$A723)*
      ('GIR Log'!$B$2:$B$70=$B723)*
      ('GIR Log'!$C$2:$C$70=$C723),
    0),
    MATCH($G723,'GIR Log'!$E$1:$V$1,0)
  ),
"")</f>
        <v>NC</v>
      </c>
    </row>
    <row r="724" spans="1:17" x14ac:dyDescent="0.25">
      <c r="A724" s="20" t="s">
        <v>126</v>
      </c>
      <c r="B724" s="2">
        <v>45897</v>
      </c>
      <c r="C724" s="15" t="s">
        <v>41</v>
      </c>
      <c r="D724" s="15" t="s">
        <v>79</v>
      </c>
      <c r="E724" s="15" t="s">
        <v>34</v>
      </c>
      <c r="F724">
        <v>89</v>
      </c>
      <c r="G724" s="12" t="s">
        <v>49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Log'!$E$2:$V$70,
    MATCH(1,
      ('Golf Log'!$A$2:$A$70=$A724)*
      ('Golf Log'!$B$2:$B$70=$B724)*
      ('Golf Log'!$C$2:$C$70=$C724),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Log'!$E$2:$V$70,
    MATCH(1,
      ('Putt Log'!$A$2:$A$70=$A724)*
      ('Putt Log'!$B$2:$B$70=$B724)*
      ('Putt Log'!$C$2:$C$70=$C724),
    0),
    MATCH($G724,'Putt Log'!$E$1:$V$1,0)
  ),
"")</f>
        <v>2</v>
      </c>
      <c r="P724" t="str" cm="1">
        <f t="array" ref="P724">IF(K724=3,"",
  IFERROR(
    INDEX('Fairway Log'!$E$2:$V$70,
      MATCH(1,
        ('Fairway Log'!$A$2:$A$70=$A724)*
        ('Fairway Log'!$B$2:$B$70=$B724)*
        ('Fairway Log'!$C$2:$C795=$C724),
      0),
      MATCH($G724,'Fairway Log'!$E$1:$V$1,0)
    ),
  "")
)</f>
        <v/>
      </c>
      <c r="Q724" t="str" cm="1">
        <f t="array" ref="Q724">IFERROR(
  INDEX('GIR Log'!$E$2:$V$70,
    MATCH(1,
      ('GIR Log'!$A$2:$A$70=$A724)*
      ('GIR Log'!$B$2:$B$70=$B724)*
      ('GIR Log'!$C$2:$C$70=$C724),
    0),
    MATCH($G724,'GIR Log'!$E$1:$V$1,0)
  ),
"")</f>
        <v>→</v>
      </c>
    </row>
    <row r="725" spans="1:17" x14ac:dyDescent="0.25">
      <c r="A725" s="20" t="s">
        <v>126</v>
      </c>
      <c r="B725" s="2">
        <v>45897</v>
      </c>
      <c r="C725" s="15" t="s">
        <v>41</v>
      </c>
      <c r="D725" s="15" t="s">
        <v>79</v>
      </c>
      <c r="E725" s="15" t="s">
        <v>34</v>
      </c>
      <c r="F725">
        <v>89</v>
      </c>
      <c r="G725" s="12" t="s">
        <v>50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Log'!$E$2:$V$70,
    MATCH(1,
      ('Golf Log'!$A$2:$A$70=$A725)*
      ('Golf Log'!$B$2:$B$70=$B725)*
      ('Golf Log'!$C$2:$C$70=$C725),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Log'!$E$2:$V$70,
    MATCH(1,
      ('Putt Log'!$A$2:$A$70=$A725)*
      ('Putt Log'!$B$2:$B$70=$B725)*
      ('Putt Log'!$C$2:$C$70=$C725),
    0),
    MATCH($G725,'Putt Log'!$E$1:$V$1,0)
  ),
"")</f>
        <v>2</v>
      </c>
      <c r="P725" t="str" cm="1">
        <f t="array" ref="P725">IF(K725=3,"",
  IFERROR(
    INDEX('Fairway Log'!$E$2:$V$70,
      MATCH(1,
        ('Fairway Log'!$A$2:$A$70=$A725)*
        ('Fairway Log'!$B$2:$B$70=$B725)*
        ('Fairway Log'!$C$2:$C796=$C725),
      0),
      MATCH($G725,'Fairway Log'!$E$1:$V$1,0)
    ),
  "")
)</f>
        <v>→</v>
      </c>
      <c r="Q725" t="str" cm="1">
        <f t="array" ref="Q725">IFERROR(
  INDEX('GIR Log'!$E$2:$V$70,
    MATCH(1,
      ('GIR Log'!$A$2:$A$70=$A725)*
      ('GIR Log'!$B$2:$B$70=$B725)*
      ('GIR Log'!$C$2:$C$70=$C725),
    0),
    MATCH($G725,'GIR Log'!$E$1:$V$1,0)
  ),
"")</f>
        <v>↓</v>
      </c>
    </row>
    <row r="726" spans="1:17" x14ac:dyDescent="0.25">
      <c r="A726" s="20" t="s">
        <v>126</v>
      </c>
      <c r="B726" s="2">
        <v>45897</v>
      </c>
      <c r="C726" s="15" t="s">
        <v>41</v>
      </c>
      <c r="D726" s="15" t="s">
        <v>79</v>
      </c>
      <c r="E726" s="15" t="s">
        <v>34</v>
      </c>
      <c r="F726">
        <v>89</v>
      </c>
      <c r="G726" s="12" t="s">
        <v>51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Log'!$E$2:$V$70,
    MATCH(1,
      ('Golf Log'!$A$2:$A$70=$A726)*
      ('Golf Log'!$B$2:$B$70=$B726)*
      ('Golf Log'!$C$2:$C$70=$C726),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Log'!$E$2:$V$70,
    MATCH(1,
      ('Putt Log'!$A$2:$A$70=$A726)*
      ('Putt Log'!$B$2:$B$70=$B726)*
      ('Putt Log'!$C$2:$C$70=$C726),
    0),
    MATCH($G726,'Putt Log'!$E$1:$V$1,0)
  ),
"")</f>
        <v>2</v>
      </c>
      <c r="P726" t="str" cm="1">
        <f t="array" ref="P726">IF(K726=3,"",
  IFERROR(
    INDEX('Fairway Log'!$E$2:$V$70,
      MATCH(1,
        ('Fairway Log'!$A$2:$A$70=$A726)*
        ('Fairway Log'!$B$2:$B$70=$B726)*
        ('Fairway Log'!$C$2:$C797=$C726),
      0),
      MATCH($G726,'Fairway Log'!$E$1:$V$1,0)
    ),
  "")
)</f>
        <v>↓</v>
      </c>
      <c r="Q726" t="str" cm="1">
        <f t="array" ref="Q726">IFERROR(
  INDEX('GIR Log'!$E$2:$V$70,
    MATCH(1,
      ('GIR Log'!$A$2:$A$70=$A726)*
      ('GIR Log'!$B$2:$B$70=$B726)*
      ('GIR Log'!$C$2:$C$70=$C726),
    0),
    MATCH($G726,'GIR Log'!$E$1:$V$1,0)
  ),
"")</f>
        <v>NC</v>
      </c>
    </row>
    <row r="727" spans="1:17" x14ac:dyDescent="0.25">
      <c r="A727" s="20" t="s">
        <v>126</v>
      </c>
      <c r="B727" s="2">
        <v>45897</v>
      </c>
      <c r="C727" s="15" t="s">
        <v>41</v>
      </c>
      <c r="D727" s="15" t="s">
        <v>79</v>
      </c>
      <c r="E727" s="15" t="s">
        <v>34</v>
      </c>
      <c r="F727">
        <v>89</v>
      </c>
      <c r="G727" s="12" t="s">
        <v>52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Log'!$E$2:$V$70,
    MATCH(1,
      ('Golf Log'!$A$2:$A$70=$A727)*
      ('Golf Log'!$B$2:$B$70=$B727)*
      ('Golf Log'!$C$2:$C$70=$C727),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Log'!$E$2:$V$70,
    MATCH(1,
      ('Putt Log'!$A$2:$A$70=$A727)*
      ('Putt Log'!$B$2:$B$70=$B727)*
      ('Putt Log'!$C$2:$C$70=$C727),
    0),
    MATCH($G727,'Putt Log'!$E$1:$V$1,0)
  ),
"")</f>
        <v>2</v>
      </c>
      <c r="P727" t="str" cm="1">
        <f t="array" ref="P727">IF(K727=3,"",
  IFERROR(
    INDEX('Fairway Log'!$E$2:$V$70,
      MATCH(1,
        ('Fairway Log'!$A$2:$A$70=$A727)*
        ('Fairway Log'!$B$2:$B$70=$B727)*
        ('Fairway Log'!$C$2:$C798=$C727),
      0),
      MATCH($G727,'Fairway Log'!$E$1:$V$1,0)
    ),
  "")
)</f>
        <v/>
      </c>
      <c r="Q727" cm="1">
        <f t="array" ref="Q727">IFERROR(
  INDEX('GIR Log'!$E$2:$V$70,
    MATCH(1,
      ('GIR Log'!$A$2:$A$70=$A727)*
      ('GIR Log'!$B$2:$B$70=$B727)*
      ('GIR Log'!$C$2:$C$70=$C727),
    0),
    MATCH($G727,'GIR Log'!$E$1:$V$1,0)
  ),
"")</f>
        <v>0</v>
      </c>
    </row>
    <row r="728" spans="1:17" x14ac:dyDescent="0.25">
      <c r="A728" s="20" t="s">
        <v>126</v>
      </c>
      <c r="B728" s="2">
        <v>45897</v>
      </c>
      <c r="C728" s="15" t="s">
        <v>41</v>
      </c>
      <c r="D728" s="15" t="s">
        <v>79</v>
      </c>
      <c r="E728" s="15" t="s">
        <v>34</v>
      </c>
      <c r="F728">
        <v>89</v>
      </c>
      <c r="G728" s="12" t="s">
        <v>53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Log'!$E$2:$V$70,
    MATCH(1,
      ('Golf Log'!$A$2:$A$70=$A728)*
      ('Golf Log'!$B$2:$B$70=$B728)*
      ('Golf Log'!$C$2:$C$70=$C728),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Log'!$E$2:$V$70,
    MATCH(1,
      ('Putt Log'!$A$2:$A$70=$A728)*
      ('Putt Log'!$B$2:$B$70=$B728)*
      ('Putt Log'!$C$2:$C$70=$C728),
    0),
    MATCH($G728,'Putt Log'!$E$1:$V$1,0)
  ),
"")</f>
        <v>2</v>
      </c>
      <c r="P728" t="str" cm="1">
        <f t="array" ref="P728">IF(K728=3,"",
  IFERROR(
    INDEX('Fairway Log'!$E$2:$V$70,
      MATCH(1,
        ('Fairway Log'!$A$2:$A$70=$A728)*
        ('Fairway Log'!$B$2:$B$70=$B728)*
        ('Fairway Log'!$C$2:$C799=$C728),
      0),
      MATCH($G728,'Fairway Log'!$E$1:$V$1,0)
    ),
  "")
)</f>
        <v>→</v>
      </c>
      <c r="Q728" cm="1">
        <f t="array" ref="Q728">IFERROR(
  INDEX('GIR Log'!$E$2:$V$70,
    MATCH(1,
      ('GIR Log'!$A$2:$A$70=$A728)*
      ('GIR Log'!$B$2:$B$70=$B728)*
      ('GIR Log'!$C$2:$C$70=$C728),
    0),
    MATCH($G728,'GIR Log'!$E$1:$V$1,0)
  ),
"")</f>
        <v>1</v>
      </c>
    </row>
    <row r="729" spans="1:17" x14ac:dyDescent="0.25">
      <c r="A729" s="20" t="s">
        <v>126</v>
      </c>
      <c r="B729" s="2">
        <v>45897</v>
      </c>
      <c r="C729" s="15" t="s">
        <v>41</v>
      </c>
      <c r="D729" s="15" t="s">
        <v>79</v>
      </c>
      <c r="E729" s="15" t="s">
        <v>34</v>
      </c>
      <c r="F729">
        <v>89</v>
      </c>
      <c r="G729" s="12" t="s">
        <v>54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Log'!$E$2:$V$70,
    MATCH(1,
      ('Golf Log'!$A$2:$A$70=$A729)*
      ('Golf Log'!$B$2:$B$70=$B729)*
      ('Golf Log'!$C$2:$C$70=$C729),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Log'!$E$2:$V$70,
    MATCH(1,
      ('Putt Log'!$A$2:$A$70=$A729)*
      ('Putt Log'!$B$2:$B$70=$B729)*
      ('Putt Log'!$C$2:$C$70=$C729),
    0),
    MATCH($G729,'Putt Log'!$E$1:$V$1,0)
  ),
"")</f>
        <v>1</v>
      </c>
      <c r="P729" t="str" cm="1">
        <f t="array" ref="P729">IF(K729=3,"",
  IFERROR(
    INDEX('Fairway Log'!$E$2:$V$70,
      MATCH(1,
        ('Fairway Log'!$A$2:$A$70=$A729)*
        ('Fairway Log'!$B$2:$B$70=$B729)*
        ('Fairway Log'!$C$2:$C800=$C729),
      0),
      MATCH($G729,'Fairway Log'!$E$1:$V$1,0)
    ),
  "")
)</f>
        <v>→</v>
      </c>
      <c r="Q729" t="str" cm="1">
        <f t="array" ref="Q729">IFERROR(
  INDEX('GIR Log'!$E$2:$V$70,
    MATCH(1,
      ('GIR Log'!$A$2:$A$70=$A729)*
      ('GIR Log'!$B$2:$B$70=$B729)*
      ('GIR Log'!$C$2:$C$70=$C729),
    0),
    MATCH($G729,'GIR Log'!$E$1:$V$1,0)
  ),
"")</f>
        <v>NC</v>
      </c>
    </row>
    <row r="730" spans="1:17" x14ac:dyDescent="0.25">
      <c r="A730" s="20" t="s">
        <v>126</v>
      </c>
      <c r="B730" s="2">
        <v>45897</v>
      </c>
      <c r="C730" s="15" t="s">
        <v>41</v>
      </c>
      <c r="D730" s="15" t="s">
        <v>79</v>
      </c>
      <c r="E730" s="15" t="s">
        <v>34</v>
      </c>
      <c r="F730">
        <v>89</v>
      </c>
      <c r="G730" s="12" t="s">
        <v>55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Log'!$E$2:$V$70,
    MATCH(1,
      ('Golf Log'!$A$2:$A$70=$A730)*
      ('Golf Log'!$B$2:$B$70=$B730)*
      ('Golf Log'!$C$2:$C$70=$C730),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Log'!$E$2:$V$70,
    MATCH(1,
      ('Putt Log'!$A$2:$A$70=$A730)*
      ('Putt Log'!$B$2:$B$70=$B730)*
      ('Putt Log'!$C$2:$C$70=$C730),
    0),
    MATCH($G730,'Putt Log'!$E$1:$V$1,0)
  ),
"")</f>
        <v>2</v>
      </c>
      <c r="P730" t="str" cm="1">
        <f t="array" ref="P730">IF(K730=3,"",
  IFERROR(
    INDEX('Fairway Log'!$E$2:$V$70,
      MATCH(1,
        ('Fairway Log'!$A$2:$A$70=$A730)*
        ('Fairway Log'!$B$2:$B$70=$B730)*
        ('Fairway Log'!$C$2:$C801=$C730),
      0),
      MATCH($G730,'Fairway Log'!$E$1:$V$1,0)
    ),
  "")
)</f>
        <v>→</v>
      </c>
      <c r="Q730" cm="1">
        <f t="array" ref="Q730">IFERROR(
  INDEX('GIR Log'!$E$2:$V$70,
    MATCH(1,
      ('GIR Log'!$A$2:$A$70=$A730)*
      ('GIR Log'!$B$2:$B$70=$B730)*
      ('GIR Log'!$C$2:$C$70=$C730),
    0),
    MATCH($G730,'GIR Log'!$E$1:$V$1,0)
  ),
"")</f>
        <v>1</v>
      </c>
    </row>
    <row r="731" spans="1:17" x14ac:dyDescent="0.25">
      <c r="A731" s="20" t="s">
        <v>126</v>
      </c>
      <c r="B731" s="2">
        <v>45897</v>
      </c>
      <c r="C731" s="15" t="s">
        <v>41</v>
      </c>
      <c r="D731" s="15" t="s">
        <v>79</v>
      </c>
      <c r="E731" s="15" t="s">
        <v>34</v>
      </c>
      <c r="F731">
        <v>89</v>
      </c>
      <c r="G731" s="12" t="s">
        <v>56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Log'!$E$2:$V$70,
    MATCH(1,
      ('Golf Log'!$A$2:$A$70=$A731)*
      ('Golf Log'!$B$2:$B$70=$B731)*
      ('Golf Log'!$C$2:$C$70=$C731),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Log'!$E$2:$V$70,
    MATCH(1,
      ('Putt Log'!$A$2:$A$70=$A731)*
      ('Putt Log'!$B$2:$B$70=$B731)*
      ('Putt Log'!$C$2:$C$70=$C731),
    0),
    MATCH($G731,'Putt Log'!$E$1:$V$1,0)
  ),
"")</f>
        <v>2</v>
      </c>
      <c r="P731" cm="1">
        <f t="array" ref="P731">IF(K731=3,"",
  IFERROR(
    INDEX('Fairway Log'!$E$2:$V$70,
      MATCH(1,
        ('Fairway Log'!$A$2:$A$70=$A731)*
        ('Fairway Log'!$B$2:$B$70=$B731)*
        ('Fairway Log'!$C$2:$C802=$C731),
      0),
      MATCH($G731,'Fairway Log'!$E$1:$V$1,0)
    ),
  "")
)</f>
        <v>1</v>
      </c>
      <c r="Q731" t="str" cm="1">
        <f t="array" ref="Q731">IFERROR(
  INDEX('GIR Log'!$E$2:$V$70,
    MATCH(1,
      ('GIR Log'!$A$2:$A$70=$A731)*
      ('GIR Log'!$B$2:$B$70=$B731)*
      ('GIR Log'!$C$2:$C$70=$C731),
    0),
    MATCH($G731,'GIR Log'!$E$1:$V$1,0)
  ),
"")</f>
        <v>↓</v>
      </c>
    </row>
    <row r="732" spans="1:17" x14ac:dyDescent="0.25">
      <c r="A732" s="20" t="s">
        <v>126</v>
      </c>
      <c r="B732" s="2">
        <v>45897</v>
      </c>
      <c r="C732" s="15" t="s">
        <v>41</v>
      </c>
      <c r="D732" s="15" t="s">
        <v>79</v>
      </c>
      <c r="E732" s="15" t="s">
        <v>34</v>
      </c>
      <c r="F732">
        <v>89</v>
      </c>
      <c r="G732" s="12" t="s">
        <v>57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Log'!$E$2:$V$70,
    MATCH(1,
      ('Golf Log'!$A$2:$A$70=$A732)*
      ('Golf Log'!$B$2:$B$70=$B732)*
      ('Golf Log'!$C$2:$C$70=$C732),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Log'!$E$2:$V$70,
    MATCH(1,
      ('Putt Log'!$A$2:$A$70=$A732)*
      ('Putt Log'!$B$2:$B$70=$B732)*
      ('Putt Log'!$C$2:$C$70=$C732),
    0),
    MATCH($G732,'Putt Log'!$E$1:$V$1,0)
  ),
"")</f>
        <v>1</v>
      </c>
      <c r="P732" t="str" cm="1">
        <f t="array" ref="P732">IF(K732=3,"",
  IFERROR(
    INDEX('Fairway Log'!$E$2:$V$70,
      MATCH(1,
        ('Fairway Log'!$A$2:$A$70=$A732)*
        ('Fairway Log'!$B$2:$B$70=$B732)*
        ('Fairway Log'!$C$2:$C803=$C732),
      0),
      MATCH($G732,'Fairway Log'!$E$1:$V$1,0)
    ),
  "")
)</f>
        <v>→</v>
      </c>
      <c r="Q732" t="str" cm="1">
        <f t="array" ref="Q732">IFERROR(
  INDEX('GIR Log'!$E$2:$V$70,
    MATCH(1,
      ('GIR Log'!$A$2:$A$70=$A732)*
      ('GIR Log'!$B$2:$B$70=$B732)*
      ('GIR Log'!$C$2:$C$70=$C732),
    0),
    MATCH($G732,'GIR Log'!$E$1:$V$1,0)
  ),
"")</f>
        <v>NC</v>
      </c>
    </row>
    <row r="733" spans="1:17" x14ac:dyDescent="0.25">
      <c r="A733" s="20" t="s">
        <v>126</v>
      </c>
      <c r="B733" s="2">
        <v>45897</v>
      </c>
      <c r="C733" s="15" t="s">
        <v>41</v>
      </c>
      <c r="D733" s="15" t="s">
        <v>79</v>
      </c>
      <c r="E733" s="15" t="s">
        <v>34</v>
      </c>
      <c r="F733">
        <v>89</v>
      </c>
      <c r="G733" s="12" t="s">
        <v>58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Log'!$E$2:$V$70,
    MATCH(1,
      ('Golf Log'!$A$2:$A$70=$A733)*
      ('Golf Log'!$B$2:$B$70=$B733)*
      ('Golf Log'!$C$2:$C$70=$C733),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Log'!$E$2:$V$70,
    MATCH(1,
      ('Putt Log'!$A$2:$A$70=$A733)*
      ('Putt Log'!$B$2:$B$70=$B733)*
      ('Putt Log'!$C$2:$C$70=$C733),
    0),
    MATCH($G733,'Putt Log'!$E$1:$V$1,0)
  ),
"")</f>
        <v>2</v>
      </c>
      <c r="P733" t="str" cm="1">
        <f t="array" ref="P733">IF(K733=3,"",
  IFERROR(
    INDEX('Fairway Log'!$E$2:$V$70,
      MATCH(1,
        ('Fairway Log'!$A$2:$A$70=$A733)*
        ('Fairway Log'!$B$2:$B$70=$B733)*
        ('Fairway Log'!$C$2:$C804=$C733),
      0),
      MATCH($G733,'Fairway Log'!$E$1:$V$1,0)
    ),
  "")
)</f>
        <v>→</v>
      </c>
      <c r="Q733" t="str" cm="1">
        <f t="array" ref="Q733">IFERROR(
  INDEX('GIR Log'!$E$2:$V$70,
    MATCH(1,
      ('GIR Log'!$A$2:$A$70=$A733)*
      ('GIR Log'!$B$2:$B$70=$B733)*
      ('GIR Log'!$C$2:$C$70=$C733),
    0),
    MATCH($G733,'GIR Log'!$E$1:$V$1,0)
  ),
"")</f>
        <v>NC</v>
      </c>
    </row>
    <row r="734" spans="1:17" x14ac:dyDescent="0.25">
      <c r="A734" s="20" t="s">
        <v>126</v>
      </c>
      <c r="B734" s="2">
        <v>45897</v>
      </c>
      <c r="C734" s="15" t="s">
        <v>41</v>
      </c>
      <c r="D734" s="15" t="s">
        <v>79</v>
      </c>
      <c r="E734" s="15" t="s">
        <v>34</v>
      </c>
      <c r="F734">
        <v>89</v>
      </c>
      <c r="G734" s="12" t="s">
        <v>59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Log'!$E$2:$V$70,
    MATCH(1,
      ('Golf Log'!$A$2:$A$70=$A734)*
      ('Golf Log'!$B$2:$B$70=$B734)*
      ('Golf Log'!$C$2:$C$70=$C734),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Log'!$E$2:$V$70,
    MATCH(1,
      ('Putt Log'!$A$2:$A$70=$A734)*
      ('Putt Log'!$B$2:$B$70=$B734)*
      ('Putt Log'!$C$2:$C$70=$C734),
    0),
    MATCH($G734,'Putt Log'!$E$1:$V$1,0)
  ),
"")</f>
        <v>2</v>
      </c>
      <c r="P734" t="str" cm="1">
        <f t="array" ref="P734">IF(K734=3,"",
  IFERROR(
    INDEX('Fairway Log'!$E$2:$V$70,
      MATCH(1,
        ('Fairway Log'!$A$2:$A$70=$A734)*
        ('Fairway Log'!$B$2:$B$70=$B734)*
        ('Fairway Log'!$C$2:$C805=$C734),
      0),
      MATCH($G734,'Fairway Log'!$E$1:$V$1,0)
    ),
  "")
)</f>
        <v/>
      </c>
      <c r="Q734" t="str" cm="1">
        <f t="array" ref="Q734">IFERROR(
  INDEX('GIR Log'!$E$2:$V$70,
    MATCH(1,
      ('GIR Log'!$A$2:$A$70=$A734)*
      ('GIR Log'!$B$2:$B$70=$B734)*
      ('GIR Log'!$C$2:$C$70=$C734),
    0),
    MATCH($G734,'GIR Log'!$E$1:$V$1,0)
  ),
"")</f>
        <v>↓</v>
      </c>
    </row>
    <row r="735" spans="1:17" x14ac:dyDescent="0.25">
      <c r="A735" s="20" t="s">
        <v>126</v>
      </c>
      <c r="B735" s="2">
        <v>45897</v>
      </c>
      <c r="C735" s="15" t="s">
        <v>41</v>
      </c>
      <c r="D735" s="15" t="s">
        <v>79</v>
      </c>
      <c r="E735" s="15" t="s">
        <v>34</v>
      </c>
      <c r="F735">
        <v>89</v>
      </c>
      <c r="G735" s="12" t="s">
        <v>60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Log'!$E$2:$V$70,
    MATCH(1,
      ('Golf Log'!$A$2:$A$70=$A735)*
      ('Golf Log'!$B$2:$B$70=$B735)*
      ('Golf Log'!$C$2:$C$70=$C735),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Log'!$E$2:$V$70,
    MATCH(1,
      ('Putt Log'!$A$2:$A$70=$A735)*
      ('Putt Log'!$B$2:$B$70=$B735)*
      ('Putt Log'!$C$2:$C$70=$C735),
    0),
    MATCH($G735,'Putt Log'!$E$1:$V$1,0)
  ),
"")</f>
        <v>1</v>
      </c>
      <c r="P735" t="str" cm="1">
        <f t="array" ref="P735">IF(K735=3,"",
  IFERROR(
    INDEX('Fairway Log'!$E$2:$V$70,
      MATCH(1,
        ('Fairway Log'!$A$2:$A$70=$A735)*
        ('Fairway Log'!$B$2:$B$70=$B735)*
        ('Fairway Log'!$C$2:$C806=$C735),
      0),
      MATCH($G735,'Fairway Log'!$E$1:$V$1,0)
    ),
  "")
)</f>
        <v>←</v>
      </c>
      <c r="Q735" t="str" cm="1">
        <f t="array" ref="Q735">IFERROR(
  INDEX('GIR Log'!$E$2:$V$70,
    MATCH(1,
      ('GIR Log'!$A$2:$A$70=$A735)*
      ('GIR Log'!$B$2:$B$70=$B735)*
      ('GIR Log'!$C$2:$C$70=$C735),
    0),
    MATCH($G735,'GIR Log'!$E$1:$V$1,0)
  ),
"")</f>
        <v>NC</v>
      </c>
    </row>
    <row r="736" spans="1:17" x14ac:dyDescent="0.25">
      <c r="A736" s="20" t="s">
        <v>126</v>
      </c>
      <c r="B736" s="2">
        <v>45897</v>
      </c>
      <c r="C736" s="15" t="s">
        <v>41</v>
      </c>
      <c r="D736" s="15" t="s">
        <v>79</v>
      </c>
      <c r="E736" s="15" t="s">
        <v>34</v>
      </c>
      <c r="F736">
        <v>89</v>
      </c>
      <c r="G736" s="12" t="s">
        <v>61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Log'!$E$2:$V$70,
    MATCH(1,
      ('Golf Log'!$A$2:$A$70=$A736)*
      ('Golf Log'!$B$2:$B$70=$B736)*
      ('Golf Log'!$C$2:$C$70=$C736),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Log'!$E$2:$V$70,
    MATCH(1,
      ('Putt Log'!$A$2:$A$70=$A736)*
      ('Putt Log'!$B$2:$B$70=$B736)*
      ('Putt Log'!$C$2:$C$70=$C736),
    0),
    MATCH($G736,'Putt Log'!$E$1:$V$1,0)
  ),
"")</f>
        <v>2</v>
      </c>
      <c r="P736" t="str" cm="1">
        <f t="array" ref="P736">IF(K736=3,"",
  IFERROR(
    INDEX('Fairway Log'!$E$2:$V$70,
      MATCH(1,
        ('Fairway Log'!$A$2:$A$70=$A736)*
        ('Fairway Log'!$B$2:$B$70=$B736)*
        ('Fairway Log'!$C$2:$C807=$C736),
      0),
      MATCH($G736,'Fairway Log'!$E$1:$V$1,0)
    ),
  "")
)</f>
        <v>→</v>
      </c>
      <c r="Q736" cm="1">
        <f t="array" ref="Q736">IFERROR(
  INDEX('GIR Log'!$E$2:$V$70,
    MATCH(1,
      ('GIR Log'!$A$2:$A$70=$A736)*
      ('GIR Log'!$B$2:$B$70=$B736)*
      ('GIR Log'!$C$2:$C$70=$C736),
    0),
    MATCH($G736,'GIR Log'!$E$1:$V$1,0)
  ),
"")</f>
        <v>1</v>
      </c>
    </row>
    <row r="737" spans="1:17" x14ac:dyDescent="0.25">
      <c r="A737" s="20" t="s">
        <v>126</v>
      </c>
      <c r="B737" s="2">
        <v>45897</v>
      </c>
      <c r="C737" s="15" t="s">
        <v>41</v>
      </c>
      <c r="D737" s="15" t="s">
        <v>79</v>
      </c>
      <c r="E737" s="15" t="s">
        <v>34</v>
      </c>
      <c r="F737">
        <v>89</v>
      </c>
      <c r="G737" s="12" t="s">
        <v>62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Log'!$E$2:$V$70,
    MATCH(1,
      ('Golf Log'!$A$2:$A$70=$A737)*
      ('Golf Log'!$B$2:$B$70=$B737)*
      ('Golf Log'!$C$2:$C$70=$C737),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Log'!$E$2:$V$70,
    MATCH(1,
      ('Putt Log'!$A$2:$A$70=$A737)*
      ('Putt Log'!$B$2:$B$70=$B737)*
      ('Putt Log'!$C$2:$C$70=$C737),
    0),
    MATCH($G737,'Putt Log'!$E$1:$V$1,0)
  ),
"")</f>
        <v>1</v>
      </c>
      <c r="P737" t="str" cm="1">
        <f t="array" ref="P737">IF(K737=3,"",
  IFERROR(
    INDEX('Fairway Log'!$E$2:$V$70,
      MATCH(1,
        ('Fairway Log'!$A$2:$A$70=$A737)*
        ('Fairway Log'!$B$2:$B$70=$B737)*
        ('Fairway Log'!$C$2:$C808=$C737),
      0),
      MATCH($G737,'Fairway Log'!$E$1:$V$1,0)
    ),
  "")
)</f>
        <v/>
      </c>
      <c r="Q737" t="str" cm="1">
        <f t="array" ref="Q737">IFERROR(
  INDEX('GIR Log'!$E$2:$V$70,
    MATCH(1,
      ('GIR Log'!$A$2:$A$70=$A737)*
      ('GIR Log'!$B$2:$B$70=$B737)*
      ('GIR Log'!$C$2:$C$70=$C737),
    0),
    MATCH($G737,'GIR Log'!$E$1:$V$1,0)
  ),
"")</f>
        <v>↓</v>
      </c>
    </row>
    <row r="738" spans="1:17" x14ac:dyDescent="0.25">
      <c r="A738" s="20" t="s">
        <v>126</v>
      </c>
      <c r="B738" s="2">
        <v>45897</v>
      </c>
      <c r="C738" s="15" t="s">
        <v>41</v>
      </c>
      <c r="D738" s="15" t="s">
        <v>79</v>
      </c>
      <c r="E738" s="15" t="s">
        <v>34</v>
      </c>
      <c r="F738">
        <v>89</v>
      </c>
      <c r="G738" s="12" t="s">
        <v>63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Log'!$E$2:$V$70,
    MATCH(1,
      ('Golf Log'!$A$2:$A$70=$A738)*
      ('Golf Log'!$B$2:$B$70=$B738)*
      ('Golf Log'!$C$2:$C$70=$C738),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Log'!$E$2:$V$70,
    MATCH(1,
      ('Putt Log'!$A$2:$A$70=$A738)*
      ('Putt Log'!$B$2:$B$70=$B738)*
      ('Putt Log'!$C$2:$C$70=$C738),
    0),
    MATCH($G738,'Putt Log'!$E$1:$V$1,0)
  ),
"")</f>
        <v>2</v>
      </c>
      <c r="P738" t="str" cm="1">
        <f t="array" ref="P738">IF(K738=3,"",
  IFERROR(
    INDEX('Fairway Log'!$E$2:$V$70,
      MATCH(1,
        ('Fairway Log'!$A$2:$A$70=$A738)*
        ('Fairway Log'!$B$2:$B$70=$B738)*
        ('Fairway Log'!$C$2:$C809=$C738),
      0),
      MATCH($G738,'Fairway Log'!$E$1:$V$1,0)
    ),
  "")
)</f>
        <v>→</v>
      </c>
      <c r="Q738" t="str" cm="1">
        <f t="array" ref="Q738">IFERROR(
  INDEX('GIR Log'!$E$2:$V$70,
    MATCH(1,
      ('GIR Log'!$A$2:$A$70=$A738)*
      ('GIR Log'!$B$2:$B$70=$B738)*
      ('GIR Log'!$C$2:$C$70=$C738),
    0),
    MATCH($G738,'GIR Log'!$E$1:$V$1,0)
  ),
"")</f>
        <v>NC</v>
      </c>
    </row>
    <row r="739" spans="1:17" x14ac:dyDescent="0.25">
      <c r="A739" s="20" t="s">
        <v>126</v>
      </c>
      <c r="B739" s="2">
        <v>45897</v>
      </c>
      <c r="C739" s="15" t="s">
        <v>41</v>
      </c>
      <c r="D739" s="15" t="s">
        <v>79</v>
      </c>
      <c r="E739" s="15" t="s">
        <v>34</v>
      </c>
      <c r="F739">
        <v>89</v>
      </c>
      <c r="G739" s="12" t="s">
        <v>64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Log'!$E$2:$V$70,
    MATCH(1,
      ('Golf Log'!$A$2:$A$70=$A739)*
      ('Golf Log'!$B$2:$B$70=$B739)*
      ('Golf Log'!$C$2:$C$70=$C739),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Log'!$E$2:$V$70,
    MATCH(1,
      ('Putt Log'!$A$2:$A$70=$A739)*
      ('Putt Log'!$B$2:$B$70=$B739)*
      ('Putt Log'!$C$2:$C$70=$C739),
    0),
    MATCH($G739,'Putt Log'!$E$1:$V$1,0)
  ),
"")</f>
        <v>2</v>
      </c>
      <c r="P739" cm="1">
        <f t="array" ref="P739">IF(K739=3,"",
  IFERROR(
    INDEX('Fairway Log'!$E$2:$V$70,
      MATCH(1,
        ('Fairway Log'!$A$2:$A$70=$A739)*
        ('Fairway Log'!$B$2:$B$70=$B739)*
        ('Fairway Log'!$C$2:$C810=$C739),
      0),
      MATCH($G739,'Fairway Log'!$E$1:$V$1,0)
    ),
  "")
)</f>
        <v>1</v>
      </c>
      <c r="Q739" cm="1">
        <f t="array" ref="Q739">IFERROR(
  INDEX('GIR Log'!$E$2:$V$70,
    MATCH(1,
      ('GIR Log'!$A$2:$A$70=$A739)*
      ('GIR Log'!$B$2:$B$70=$B739)*
      ('GIR Log'!$C$2:$C$70=$C739),
    0),
    MATCH($G739,'GIR Log'!$E$1:$V$1,0)
  ),
"")</f>
        <v>1</v>
      </c>
    </row>
    <row r="740" spans="1:17" x14ac:dyDescent="0.25">
      <c r="A740" s="20" t="s">
        <v>127</v>
      </c>
      <c r="B740" s="2">
        <v>45894</v>
      </c>
      <c r="C740" s="20" t="s">
        <v>11</v>
      </c>
      <c r="D740" s="20" t="s">
        <v>77</v>
      </c>
      <c r="E740" s="20" t="s">
        <v>34</v>
      </c>
      <c r="F740">
        <v>112</v>
      </c>
      <c r="G740" t="s">
        <v>47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Log'!$E$2:$V$70,
    MATCH(1,
      ('Golf Log'!$A$2:$A$70=$A740)*
      ('Golf Log'!$B$2:$B$70=$B740)*
      ('Golf Log'!$C$2:$C$70=$C740),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Log'!$E$2:$V$70,
    MATCH(1,
      ('Putt Log'!$A$2:$A$70=$A740)*
      ('Putt Log'!$B$2:$B$70=$B740)*
      ('Putt Log'!$C$2:$C$70=$C740),
    0),
    MATCH($G740,'Putt Log'!$E$1:$V$1,0)
  ),
"")</f>
        <v>2</v>
      </c>
      <c r="P740" cm="1">
        <f t="array" ref="P740">IF(K740=3,"",
  IFERROR(
    INDEX('Fairway Log'!$E$2:$V$70,
      MATCH(1,
        ('Fairway Log'!$A$2:$A$70=$A740)*
        ('Fairway Log'!$B$2:$B$70=$B740)*
        ('Fairway Log'!$C$2:$C811=$C740),
      0),
      MATCH($G740,'Fairway Log'!$E$1:$V$1,0)
    ),
  "")
)</f>
        <v>1</v>
      </c>
      <c r="Q740" t="str" cm="1">
        <f t="array" ref="Q740">IFERROR(
  INDEX('GIR Log'!$E$2:$V$70,
    MATCH(1,
      ('GIR Log'!$A$2:$A$70=$A740)*
      ('GIR Log'!$B$2:$B$70=$B740)*
      ('GIR Log'!$C$2:$C$70=$C740),
    0),
    MATCH($G740,'GIR Log'!$E$1:$V$1,0)
  ),
"")</f>
        <v>↓</v>
      </c>
    </row>
    <row r="741" spans="1:17" x14ac:dyDescent="0.25">
      <c r="A741" s="20" t="s">
        <v>127</v>
      </c>
      <c r="B741" s="2">
        <v>45894</v>
      </c>
      <c r="C741" s="20" t="s">
        <v>11</v>
      </c>
      <c r="D741" s="20" t="s">
        <v>77</v>
      </c>
      <c r="E741" s="20" t="s">
        <v>34</v>
      </c>
      <c r="F741">
        <v>112</v>
      </c>
      <c r="G741" t="s">
        <v>48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Log'!$E$2:$V$70,
    MATCH(1,
      ('Golf Log'!$A$2:$A$70=$A741)*
      ('Golf Log'!$B$2:$B$70=$B741)*
      ('Golf Log'!$C$2:$C$70=$C741),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Log'!$E$2:$V$70,
    MATCH(1,
      ('Putt Log'!$A$2:$A$70=$A741)*
      ('Putt Log'!$B$2:$B$70=$B741)*
      ('Putt Log'!$C$2:$C$70=$C741),
    0),
    MATCH($G741,'Putt Log'!$E$1:$V$1,0)
  ),
"")</f>
        <v>1</v>
      </c>
      <c r="P741" t="str" cm="1">
        <f t="array" ref="P741">IF(K741=3,"",
  IFERROR(
    INDEX('Fairway Log'!$E$2:$V$70,
      MATCH(1,
        ('Fairway Log'!$A$2:$A$70=$A741)*
        ('Fairway Log'!$B$2:$B$70=$B741)*
        ('Fairway Log'!$C$2:$C812=$C741),
      0),
      MATCH($G741,'Fairway Log'!$E$1:$V$1,0)
    ),
  "")
)</f>
        <v/>
      </c>
      <c r="Q741" t="str" cm="1">
        <f t="array" ref="Q741">IFERROR(
  INDEX('GIR Log'!$E$2:$V$70,
    MATCH(1,
      ('GIR Log'!$A$2:$A$70=$A741)*
      ('GIR Log'!$B$2:$B$70=$B741)*
      ('GIR Log'!$C$2:$C$70=$C741),
    0),
    MATCH($G741,'GIR Log'!$E$1:$V$1,0)
  ),
"")</f>
        <v>←</v>
      </c>
    </row>
    <row r="742" spans="1:17" x14ac:dyDescent="0.25">
      <c r="A742" s="20" t="s">
        <v>127</v>
      </c>
      <c r="B742" s="2">
        <v>45894</v>
      </c>
      <c r="C742" s="20" t="s">
        <v>11</v>
      </c>
      <c r="D742" s="20" t="s">
        <v>77</v>
      </c>
      <c r="E742" s="20" t="s">
        <v>34</v>
      </c>
      <c r="F742">
        <v>112</v>
      </c>
      <c r="G742" t="s">
        <v>49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Log'!$E$2:$V$70,
    MATCH(1,
      ('Golf Log'!$A$2:$A$70=$A742)*
      ('Golf Log'!$B$2:$B$70=$B742)*
      ('Golf Log'!$C$2:$C$70=$C742),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Log'!$E$2:$V$70,
    MATCH(1,
      ('Putt Log'!$A$2:$A$70=$A742)*
      ('Putt Log'!$B$2:$B$70=$B742)*
      ('Putt Log'!$C$2:$C$70=$C742),
    0),
    MATCH($G742,'Putt Log'!$E$1:$V$1,0)
  ),
"")</f>
        <v>3</v>
      </c>
      <c r="P742" t="str" cm="1">
        <f t="array" ref="P742">IF(K742=3,"",
  IFERROR(
    INDEX('Fairway Log'!$E$2:$V$70,
      MATCH(1,
        ('Fairway Log'!$A$2:$A$70=$A742)*
        ('Fairway Log'!$B$2:$B$70=$B742)*
        ('Fairway Log'!$C$2:$C813=$C742),
      0),
      MATCH($G742,'Fairway Log'!$E$1:$V$1,0)
    ),
  "")
)</f>
        <v>→</v>
      </c>
      <c r="Q742" t="str" cm="1">
        <f t="array" ref="Q742">IFERROR(
  INDEX('GIR Log'!$E$2:$V$70,
    MATCH(1,
      ('GIR Log'!$A$2:$A$70=$A742)*
      ('GIR Log'!$B$2:$B$70=$B742)*
      ('GIR Log'!$C$2:$C$70=$C742),
    0),
    MATCH($G742,'GIR Log'!$E$1:$V$1,0)
  ),
"")</f>
        <v>↓</v>
      </c>
    </row>
    <row r="743" spans="1:17" x14ac:dyDescent="0.25">
      <c r="A743" s="20" t="s">
        <v>127</v>
      </c>
      <c r="B743" s="2">
        <v>45894</v>
      </c>
      <c r="C743" s="20" t="s">
        <v>11</v>
      </c>
      <c r="D743" s="20" t="s">
        <v>77</v>
      </c>
      <c r="E743" s="20" t="s">
        <v>34</v>
      </c>
      <c r="F743">
        <v>112</v>
      </c>
      <c r="G743" t="s">
        <v>50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Log'!$E$2:$V$70,
    MATCH(1,
      ('Golf Log'!$A$2:$A$70=$A743)*
      ('Golf Log'!$B$2:$B$70=$B743)*
      ('Golf Log'!$C$2:$C$70=$C743),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Log'!$E$2:$V$70,
    MATCH(1,
      ('Putt Log'!$A$2:$A$70=$A743)*
      ('Putt Log'!$B$2:$B$70=$B743)*
      ('Putt Log'!$C$2:$C$70=$C743),
    0),
    MATCH($G743,'Putt Log'!$E$1:$V$1,0)
  ),
"")</f>
        <v>3</v>
      </c>
      <c r="P743" t="str" cm="1">
        <f t="array" ref="P743">IF(K743=3,"",
  IFERROR(
    INDEX('Fairway Log'!$E$2:$V$70,
      MATCH(1,
        ('Fairway Log'!$A$2:$A$70=$A743)*
        ('Fairway Log'!$B$2:$B$70=$B743)*
        ('Fairway Log'!$C$2:$C814=$C743),
      0),
      MATCH($G743,'Fairway Log'!$E$1:$V$1,0)
    ),
  "")
)</f>
        <v/>
      </c>
      <c r="Q743" t="str" cm="1">
        <f t="array" ref="Q743">IFERROR(
  INDEX('GIR Log'!$E$2:$V$70,
    MATCH(1,
      ('GIR Log'!$A$2:$A$70=$A743)*
      ('GIR Log'!$B$2:$B$70=$B743)*
      ('GIR Log'!$C$2:$C$70=$C743),
    0),
    MATCH($G743,'GIR Log'!$E$1:$V$1,0)
  ),
"")</f>
        <v>↓</v>
      </c>
    </row>
    <row r="744" spans="1:17" x14ac:dyDescent="0.25">
      <c r="A744" s="20" t="s">
        <v>127</v>
      </c>
      <c r="B744" s="2">
        <v>45894</v>
      </c>
      <c r="C744" s="20" t="s">
        <v>11</v>
      </c>
      <c r="D744" s="20" t="s">
        <v>77</v>
      </c>
      <c r="E744" s="20" t="s">
        <v>34</v>
      </c>
      <c r="F744">
        <v>112</v>
      </c>
      <c r="G744" t="s">
        <v>51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Log'!$E$2:$V$70,
    MATCH(1,
      ('Golf Log'!$A$2:$A$70=$A744)*
      ('Golf Log'!$B$2:$B$70=$B744)*
      ('Golf Log'!$C$2:$C$70=$C744),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Log'!$E$2:$V$70,
    MATCH(1,
      ('Putt Log'!$A$2:$A$70=$A744)*
      ('Putt Log'!$B$2:$B$70=$B744)*
      ('Putt Log'!$C$2:$C$70=$C744),
    0),
    MATCH($G744,'Putt Log'!$E$1:$V$1,0)
  ),
"")</f>
        <v>3</v>
      </c>
      <c r="P744" t="str" cm="1">
        <f t="array" ref="P744">IF(K744=3,"",
  IFERROR(
    INDEX('Fairway Log'!$E$2:$V$70,
      MATCH(1,
        ('Fairway Log'!$A$2:$A$70=$A744)*
        ('Fairway Log'!$B$2:$B$70=$B744)*
        ('Fairway Log'!$C$2:$C815=$C744),
      0),
      MATCH($G744,'Fairway Log'!$E$1:$V$1,0)
    ),
  "")
)</f>
        <v>→</v>
      </c>
      <c r="Q744" cm="1">
        <f t="array" ref="Q744">IFERROR(
  INDEX('GIR Log'!$E$2:$V$70,
    MATCH(1,
      ('GIR Log'!$A$2:$A$70=$A744)*
      ('GIR Log'!$B$2:$B$70=$B744)*
      ('GIR Log'!$C$2:$C$70=$C744),
    0),
    MATCH($G744,'GIR Log'!$E$1:$V$1,0)
  ),
"")</f>
        <v>1</v>
      </c>
    </row>
    <row r="745" spans="1:17" x14ac:dyDescent="0.25">
      <c r="A745" s="20" t="s">
        <v>127</v>
      </c>
      <c r="B745" s="2">
        <v>45894</v>
      </c>
      <c r="C745" s="20" t="s">
        <v>11</v>
      </c>
      <c r="D745" s="20" t="s">
        <v>77</v>
      </c>
      <c r="E745" s="20" t="s">
        <v>34</v>
      </c>
      <c r="F745">
        <v>112</v>
      </c>
      <c r="G745" t="s">
        <v>52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Log'!$E$2:$V$70,
    MATCH(1,
      ('Golf Log'!$A$2:$A$70=$A745)*
      ('Golf Log'!$B$2:$B$70=$B745)*
      ('Golf Log'!$C$2:$C$70=$C745),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Log'!$E$2:$V$70,
    MATCH(1,
      ('Putt Log'!$A$2:$A$70=$A745)*
      ('Putt Log'!$B$2:$B$70=$B745)*
      ('Putt Log'!$C$2:$C$70=$C745),
    0),
    MATCH($G745,'Putt Log'!$E$1:$V$1,0)
  ),
"")</f>
        <v>2</v>
      </c>
      <c r="P745" t="str" cm="1">
        <f t="array" ref="P745">IF(K745=3,"",
  IFERROR(
    INDEX('Fairway Log'!$E$2:$V$70,
      MATCH(1,
        ('Fairway Log'!$A$2:$A$70=$A745)*
        ('Fairway Log'!$B$2:$B$70=$B745)*
        ('Fairway Log'!$C$2:$C816=$C745),
      0),
      MATCH($G745,'Fairway Log'!$E$1:$V$1,0)
    ),
  "")
)</f>
        <v>→</v>
      </c>
      <c r="Q745" t="str" cm="1">
        <f t="array" ref="Q745">IFERROR(
  INDEX('GIR Log'!$E$2:$V$70,
    MATCH(1,
      ('GIR Log'!$A$2:$A$70=$A745)*
      ('GIR Log'!$B$2:$B$70=$B745)*
      ('GIR Log'!$C$2:$C$70=$C745),
    0),
    MATCH($G745,'GIR Log'!$E$1:$V$1,0)
  ),
"")</f>
        <v>↓</v>
      </c>
    </row>
    <row r="746" spans="1:17" x14ac:dyDescent="0.25">
      <c r="A746" s="20" t="s">
        <v>127</v>
      </c>
      <c r="B746" s="2">
        <v>45894</v>
      </c>
      <c r="C746" s="20" t="s">
        <v>11</v>
      </c>
      <c r="D746" s="20" t="s">
        <v>77</v>
      </c>
      <c r="E746" s="20" t="s">
        <v>34</v>
      </c>
      <c r="F746">
        <v>112</v>
      </c>
      <c r="G746" t="s">
        <v>53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Log'!$E$2:$V$70,
    MATCH(1,
      ('Golf Log'!$A$2:$A$70=$A746)*
      ('Golf Log'!$B$2:$B$70=$B746)*
      ('Golf Log'!$C$2:$C$70=$C746),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Log'!$E$2:$V$70,
    MATCH(1,
      ('Putt Log'!$A$2:$A$70=$A746)*
      ('Putt Log'!$B$2:$B$70=$B746)*
      ('Putt Log'!$C$2:$C$70=$C746),
    0),
    MATCH($G746,'Putt Log'!$E$1:$V$1,0)
  ),
"")</f>
        <v>2</v>
      </c>
      <c r="P746" cm="1">
        <f t="array" ref="P746">IF(K746=3,"",
  IFERROR(
    INDEX('Fairway Log'!$E$2:$V$70,
      MATCH(1,
        ('Fairway Log'!$A$2:$A$70=$A746)*
        ('Fairway Log'!$B$2:$B$70=$B746)*
        ('Fairway Log'!$C$2:$C817=$C746),
      0),
      MATCH($G746,'Fairway Log'!$E$1:$V$1,0)
    ),
  "")
)</f>
        <v>1</v>
      </c>
      <c r="Q746" t="str" cm="1">
        <f t="array" ref="Q746">IFERROR(
  INDEX('GIR Log'!$E$2:$V$70,
    MATCH(1,
      ('GIR Log'!$A$2:$A$70=$A746)*
      ('GIR Log'!$B$2:$B$70=$B746)*
      ('GIR Log'!$C$2:$C$70=$C746),
    0),
    MATCH($G746,'GIR Log'!$E$1:$V$1,0)
  ),
"")</f>
        <v>↓</v>
      </c>
    </row>
    <row r="747" spans="1:17" x14ac:dyDescent="0.25">
      <c r="A747" s="20" t="s">
        <v>127</v>
      </c>
      <c r="B747" s="2">
        <v>45894</v>
      </c>
      <c r="C747" s="20" t="s">
        <v>11</v>
      </c>
      <c r="D747" s="20" t="s">
        <v>77</v>
      </c>
      <c r="E747" s="20" t="s">
        <v>34</v>
      </c>
      <c r="F747">
        <v>112</v>
      </c>
      <c r="G747" t="s">
        <v>54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Log'!$E$2:$V$70,
    MATCH(1,
      ('Golf Log'!$A$2:$A$70=$A747)*
      ('Golf Log'!$B$2:$B$70=$B747)*
      ('Golf Log'!$C$2:$C$70=$C747),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Log'!$E$2:$V$70,
    MATCH(1,
      ('Putt Log'!$A$2:$A$70=$A747)*
      ('Putt Log'!$B$2:$B$70=$B747)*
      ('Putt Log'!$C$2:$C$70=$C747),
    0),
    MATCH($G747,'Putt Log'!$E$1:$V$1,0)
  ),
"")</f>
        <v>2</v>
      </c>
      <c r="P747" t="str" cm="1">
        <f t="array" ref="P747">IF(K747=3,"",
  IFERROR(
    INDEX('Fairway Log'!$E$2:$V$70,
      MATCH(1,
        ('Fairway Log'!$A$2:$A$70=$A747)*
        ('Fairway Log'!$B$2:$B$70=$B747)*
        ('Fairway Log'!$C$2:$C818=$C747),
      0),
      MATCH($G747,'Fairway Log'!$E$1:$V$1,0)
    ),
  "")
)</f>
        <v>→</v>
      </c>
      <c r="Q747" t="str" cm="1">
        <f t="array" ref="Q747">IFERROR(
  INDEX('GIR Log'!$E$2:$V$70,
    MATCH(1,
      ('GIR Log'!$A$2:$A$70=$A747)*
      ('GIR Log'!$B$2:$B$70=$B747)*
      ('GIR Log'!$C$2:$C$70=$C747),
    0),
    MATCH($G747,'GIR Log'!$E$1:$V$1,0)
  ),
"")</f>
        <v>↓</v>
      </c>
    </row>
    <row r="748" spans="1:17" x14ac:dyDescent="0.25">
      <c r="A748" s="20" t="s">
        <v>127</v>
      </c>
      <c r="B748" s="2">
        <v>45894</v>
      </c>
      <c r="C748" s="20" t="s">
        <v>11</v>
      </c>
      <c r="D748" s="20" t="s">
        <v>77</v>
      </c>
      <c r="E748" s="20" t="s">
        <v>34</v>
      </c>
      <c r="F748">
        <v>112</v>
      </c>
      <c r="G748" t="s">
        <v>55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Log'!$E$2:$V$70,
    MATCH(1,
      ('Golf Log'!$A$2:$A$70=$A748)*
      ('Golf Log'!$B$2:$B$70=$B748)*
      ('Golf Log'!$C$2:$C$70=$C748),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Log'!$E$2:$V$70,
    MATCH(1,
      ('Putt Log'!$A$2:$A$70=$A748)*
      ('Putt Log'!$B$2:$B$70=$B748)*
      ('Putt Log'!$C$2:$C$70=$C748),
    0),
    MATCH($G748,'Putt Log'!$E$1:$V$1,0)
  ),
"")</f>
        <v>2</v>
      </c>
      <c r="P748" t="str" cm="1">
        <f t="array" ref="P748">IF(K748=3,"",
  IFERROR(
    INDEX('Fairway Log'!$E$2:$V$70,
      MATCH(1,
        ('Fairway Log'!$A$2:$A$70=$A748)*
        ('Fairway Log'!$B$2:$B$70=$B748)*
        ('Fairway Log'!$C$2:$C819=$C748),
      0),
      MATCH($G748,'Fairway Log'!$E$1:$V$1,0)
    ),
  "")
)</f>
        <v>→</v>
      </c>
      <c r="Q748" t="str" cm="1">
        <f t="array" ref="Q748">IFERROR(
  INDEX('GIR Log'!$E$2:$V$70,
    MATCH(1,
      ('GIR Log'!$A$2:$A$70=$A748)*
      ('GIR Log'!$B$2:$B$70=$B748)*
      ('GIR Log'!$C$2:$C$70=$C748),
    0),
    MATCH($G748,'GIR Log'!$E$1:$V$1,0)
  ),
"")</f>
        <v>↓</v>
      </c>
    </row>
    <row r="749" spans="1:17" x14ac:dyDescent="0.25">
      <c r="A749" s="20" t="s">
        <v>127</v>
      </c>
      <c r="B749" s="2">
        <v>45894</v>
      </c>
      <c r="C749" s="20" t="s">
        <v>11</v>
      </c>
      <c r="D749" s="20" t="s">
        <v>77</v>
      </c>
      <c r="E749" s="20" t="s">
        <v>34</v>
      </c>
      <c r="F749">
        <v>112</v>
      </c>
      <c r="G749" t="s">
        <v>56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Log'!$E$2:$V$70,
    MATCH(1,
      ('Golf Log'!$A$2:$A$70=$A749)*
      ('Golf Log'!$B$2:$B$70=$B749)*
      ('Golf Log'!$C$2:$C$70=$C749),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Log'!$E$2:$V$70,
    MATCH(1,
      ('Putt Log'!$A$2:$A$70=$A749)*
      ('Putt Log'!$B$2:$B$70=$B749)*
      ('Putt Log'!$C$2:$C$70=$C749),
    0),
    MATCH($G749,'Putt Log'!$E$1:$V$1,0)
  ),
"")</f>
        <v>3</v>
      </c>
      <c r="P749" t="str" cm="1">
        <f t="array" ref="P749">IF(K749=3,"",
  IFERROR(
    INDEX('Fairway Log'!$E$2:$V$70,
      MATCH(1,
        ('Fairway Log'!$A$2:$A$70=$A749)*
        ('Fairway Log'!$B$2:$B$70=$B749)*
        ('Fairway Log'!$C$2:$C820=$C749),
      0),
      MATCH($G749,'Fairway Log'!$E$1:$V$1,0)
    ),
  "")
)</f>
        <v>→</v>
      </c>
      <c r="Q749" t="str" cm="1">
        <f t="array" ref="Q749">IFERROR(
  INDEX('GIR Log'!$E$2:$V$70,
    MATCH(1,
      ('GIR Log'!$A$2:$A$70=$A749)*
      ('GIR Log'!$B$2:$B$70=$B749)*
      ('GIR Log'!$C$2:$C$70=$C749),
    0),
    MATCH($G749,'GIR Log'!$E$1:$V$1,0)
  ),
"")</f>
        <v>↓</v>
      </c>
    </row>
    <row r="750" spans="1:17" x14ac:dyDescent="0.25">
      <c r="A750" s="20" t="s">
        <v>127</v>
      </c>
      <c r="B750" s="2">
        <v>45894</v>
      </c>
      <c r="C750" s="20" t="s">
        <v>11</v>
      </c>
      <c r="D750" s="20" t="s">
        <v>77</v>
      </c>
      <c r="E750" s="20" t="s">
        <v>34</v>
      </c>
      <c r="F750">
        <v>112</v>
      </c>
      <c r="G750" t="s">
        <v>57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Log'!$E$2:$V$70,
    MATCH(1,
      ('Golf Log'!$A$2:$A$70=$A750)*
      ('Golf Log'!$B$2:$B$70=$B750)*
      ('Golf Log'!$C$2:$C$70=$C750),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Log'!$E$2:$V$70,
    MATCH(1,
      ('Putt Log'!$A$2:$A$70=$A750)*
      ('Putt Log'!$B$2:$B$70=$B750)*
      ('Putt Log'!$C$2:$C$70=$C750),
    0),
    MATCH($G750,'Putt Log'!$E$1:$V$1,0)
  ),
"")</f>
        <v>3</v>
      </c>
      <c r="P750" t="str" cm="1">
        <f t="array" ref="P750">IF(K750=3,"",
  IFERROR(
    INDEX('Fairway Log'!$E$2:$V$70,
      MATCH(1,
        ('Fairway Log'!$A$2:$A$70=$A750)*
        ('Fairway Log'!$B$2:$B$70=$B750)*
        ('Fairway Log'!$C$2:$C821=$C750),
      0),
      MATCH($G750,'Fairway Log'!$E$1:$V$1,0)
    ),
  "")
)</f>
        <v/>
      </c>
      <c r="Q750" t="str" cm="1">
        <f t="array" ref="Q750">IFERROR(
  INDEX('GIR Log'!$E$2:$V$70,
    MATCH(1,
      ('GIR Log'!$A$2:$A$70=$A750)*
      ('GIR Log'!$B$2:$B$70=$B750)*
      ('GIR Log'!$C$2:$C$70=$C750),
    0),
    MATCH($G750,'GIR Log'!$E$1:$V$1,0)
  ),
"")</f>
        <v>↓</v>
      </c>
    </row>
    <row r="751" spans="1:17" x14ac:dyDescent="0.25">
      <c r="A751" s="20" t="s">
        <v>127</v>
      </c>
      <c r="B751" s="2">
        <v>45894</v>
      </c>
      <c r="C751" s="20" t="s">
        <v>11</v>
      </c>
      <c r="D751" s="20" t="s">
        <v>77</v>
      </c>
      <c r="E751" s="20" t="s">
        <v>34</v>
      </c>
      <c r="F751">
        <v>112</v>
      </c>
      <c r="G751" t="s">
        <v>58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Log'!$E$2:$V$70,
    MATCH(1,
      ('Golf Log'!$A$2:$A$70=$A751)*
      ('Golf Log'!$B$2:$B$70=$B751)*
      ('Golf Log'!$C$2:$C$70=$C751),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Log'!$E$2:$V$70,
    MATCH(1,
      ('Putt Log'!$A$2:$A$70=$A751)*
      ('Putt Log'!$B$2:$B$70=$B751)*
      ('Putt Log'!$C$2:$C$70=$C751),
    0),
    MATCH($G751,'Putt Log'!$E$1:$V$1,0)
  ),
"")</f>
        <v>1</v>
      </c>
      <c r="P751" t="str" cm="1">
        <f t="array" ref="P751">IF(K751=3,"",
  IFERROR(
    INDEX('Fairway Log'!$E$2:$V$70,
      MATCH(1,
        ('Fairway Log'!$A$2:$A$70=$A751)*
        ('Fairway Log'!$B$2:$B$70=$B751)*
        ('Fairway Log'!$C$2:$C822=$C751),
      0),
      MATCH($G751,'Fairway Log'!$E$1:$V$1,0)
    ),
  "")
)</f>
        <v>→</v>
      </c>
      <c r="Q751" t="str" cm="1">
        <f t="array" ref="Q751">IFERROR(
  INDEX('GIR Log'!$E$2:$V$70,
    MATCH(1,
      ('GIR Log'!$A$2:$A$70=$A751)*
      ('GIR Log'!$B$2:$B$70=$B751)*
      ('GIR Log'!$C$2:$C$70=$C751),
    0),
    MATCH($G751,'GIR Log'!$E$1:$V$1,0)
  ),
"")</f>
        <v>↓</v>
      </c>
    </row>
    <row r="752" spans="1:17" x14ac:dyDescent="0.25">
      <c r="A752" s="20" t="s">
        <v>127</v>
      </c>
      <c r="B752" s="2">
        <v>45894</v>
      </c>
      <c r="C752" s="20" t="s">
        <v>11</v>
      </c>
      <c r="D752" s="20" t="s">
        <v>77</v>
      </c>
      <c r="E752" s="20" t="s">
        <v>34</v>
      </c>
      <c r="F752">
        <v>112</v>
      </c>
      <c r="G752" t="s">
        <v>59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Log'!$E$2:$V$70,
    MATCH(1,
      ('Golf Log'!$A$2:$A$70=$A752)*
      ('Golf Log'!$B$2:$B$70=$B752)*
      ('Golf Log'!$C$2:$C$70=$C752),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Log'!$E$2:$V$70,
    MATCH(1,
      ('Putt Log'!$A$2:$A$70=$A752)*
      ('Putt Log'!$B$2:$B$70=$B752)*
      ('Putt Log'!$C$2:$C$70=$C752),
    0),
    MATCH($G752,'Putt Log'!$E$1:$V$1,0)
  ),
"")</f>
        <v>2</v>
      </c>
      <c r="P752" t="str" cm="1">
        <f t="array" ref="P752">IF(K752=3,"",
  IFERROR(
    INDEX('Fairway Log'!$E$2:$V$70,
      MATCH(1,
        ('Fairway Log'!$A$2:$A$70=$A752)*
        ('Fairway Log'!$B$2:$B$70=$B752)*
        ('Fairway Log'!$C$2:$C823=$C752),
      0),
      MATCH($G752,'Fairway Log'!$E$1:$V$1,0)
    ),
  "")
)</f>
        <v>→</v>
      </c>
      <c r="Q752" t="str" cm="1">
        <f t="array" ref="Q752">IFERROR(
  INDEX('GIR Log'!$E$2:$V$70,
    MATCH(1,
      ('GIR Log'!$A$2:$A$70=$A752)*
      ('GIR Log'!$B$2:$B$70=$B752)*
      ('GIR Log'!$C$2:$C$70=$C752),
    0),
    MATCH($G752,'GIR Log'!$E$1:$V$1,0)
  ),
"")</f>
        <v>↓</v>
      </c>
    </row>
    <row r="753" spans="1:17" x14ac:dyDescent="0.25">
      <c r="A753" s="20" t="s">
        <v>127</v>
      </c>
      <c r="B753" s="2">
        <v>45894</v>
      </c>
      <c r="C753" s="20" t="s">
        <v>11</v>
      </c>
      <c r="D753" s="20" t="s">
        <v>77</v>
      </c>
      <c r="E753" s="20" t="s">
        <v>34</v>
      </c>
      <c r="F753">
        <v>112</v>
      </c>
      <c r="G753" t="s">
        <v>60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Log'!$E$2:$V$70,
    MATCH(1,
      ('Golf Log'!$A$2:$A$70=$A753)*
      ('Golf Log'!$B$2:$B$70=$B753)*
      ('Golf Log'!$C$2:$C$70=$C753),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Log'!$E$2:$V$70,
    MATCH(1,
      ('Putt Log'!$A$2:$A$70=$A753)*
      ('Putt Log'!$B$2:$B$70=$B753)*
      ('Putt Log'!$C$2:$C$70=$C753),
    0),
    MATCH($G753,'Putt Log'!$E$1:$V$1,0)
  ),
"")</f>
        <v>3</v>
      </c>
      <c r="P753" t="str" cm="1">
        <f t="array" ref="P753">IF(K753=3,"",
  IFERROR(
    INDEX('Fairway Log'!$E$2:$V$70,
      MATCH(1,
        ('Fairway Log'!$A$2:$A$70=$A753)*
        ('Fairway Log'!$B$2:$B$70=$B753)*
        ('Fairway Log'!$C$2:$C824=$C753),
      0),
      MATCH($G753,'Fairway Log'!$E$1:$V$1,0)
    ),
  "")
)</f>
        <v/>
      </c>
      <c r="Q753" cm="1">
        <f t="array" ref="Q753">IFERROR(
  INDEX('GIR Log'!$E$2:$V$70,
    MATCH(1,
      ('GIR Log'!$A$2:$A$70=$A753)*
      ('GIR Log'!$B$2:$B$70=$B753)*
      ('GIR Log'!$C$2:$C$70=$C753),
    0),
    MATCH($G753,'GIR Log'!$E$1:$V$1,0)
  ),
"")</f>
        <v>1</v>
      </c>
    </row>
    <row r="754" spans="1:17" x14ac:dyDescent="0.25">
      <c r="A754" s="20" t="s">
        <v>127</v>
      </c>
      <c r="B754" s="2">
        <v>45894</v>
      </c>
      <c r="C754" s="20" t="s">
        <v>11</v>
      </c>
      <c r="D754" s="20" t="s">
        <v>77</v>
      </c>
      <c r="E754" s="20" t="s">
        <v>34</v>
      </c>
      <c r="F754">
        <v>112</v>
      </c>
      <c r="G754" t="s">
        <v>61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Log'!$E$2:$V$70,
    MATCH(1,
      ('Golf Log'!$A$2:$A$70=$A754)*
      ('Golf Log'!$B$2:$B$70=$B754)*
      ('Golf Log'!$C$2:$C$70=$C754),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Log'!$E$2:$V$70,
    MATCH(1,
      ('Putt Log'!$A$2:$A$70=$A754)*
      ('Putt Log'!$B$2:$B$70=$B754)*
      ('Putt Log'!$C$2:$C$70=$C754),
    0),
    MATCH($G754,'Putt Log'!$E$1:$V$1,0)
  ),
"")</f>
        <v>2</v>
      </c>
      <c r="P754" t="str" cm="1">
        <f t="array" ref="P754">IF(K754=3,"",
  IFERROR(
    INDEX('Fairway Log'!$E$2:$V$70,
      MATCH(1,
        ('Fairway Log'!$A$2:$A$70=$A754)*
        ('Fairway Log'!$B$2:$B$70=$B754)*
        ('Fairway Log'!$C$2:$C825=$C754),
      0),
      MATCH($G754,'Fairway Log'!$E$1:$V$1,0)
    ),
  "")
)</f>
        <v>↓</v>
      </c>
      <c r="Q754" t="str" cm="1">
        <f t="array" ref="Q754">IFERROR(
  INDEX('GIR Log'!$E$2:$V$70,
    MATCH(1,
      ('GIR Log'!$A$2:$A$70=$A754)*
      ('GIR Log'!$B$2:$B$70=$B754)*
      ('GIR Log'!$C$2:$C$70=$C754),
    0),
    MATCH($G754,'GIR Log'!$E$1:$V$1,0)
  ),
"")</f>
        <v>↓</v>
      </c>
    </row>
    <row r="755" spans="1:17" x14ac:dyDescent="0.25">
      <c r="A755" s="20" t="s">
        <v>127</v>
      </c>
      <c r="B755" s="2">
        <v>45894</v>
      </c>
      <c r="C755" s="20" t="s">
        <v>11</v>
      </c>
      <c r="D755" s="20" t="s">
        <v>77</v>
      </c>
      <c r="E755" s="20" t="s">
        <v>34</v>
      </c>
      <c r="F755">
        <v>112</v>
      </c>
      <c r="G755" t="s">
        <v>62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Log'!$E$2:$V$70,
    MATCH(1,
      ('Golf Log'!$A$2:$A$70=$A755)*
      ('Golf Log'!$B$2:$B$70=$B755)*
      ('Golf Log'!$C$2:$C$70=$C755),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Log'!$E$2:$V$70,
    MATCH(1,
      ('Putt Log'!$A$2:$A$70=$A755)*
      ('Putt Log'!$B$2:$B$70=$B755)*
      ('Putt Log'!$C$2:$C$70=$C755),
    0),
    MATCH($G755,'Putt Log'!$E$1:$V$1,0)
  ),
"")</f>
        <v>3</v>
      </c>
      <c r="P755" t="str" cm="1">
        <f t="array" ref="P755">IF(K755=3,"",
  IFERROR(
    INDEX('Fairway Log'!$E$2:$V$70,
      MATCH(1,
        ('Fairway Log'!$A$2:$A$70=$A755)*
        ('Fairway Log'!$B$2:$B$70=$B755)*
        ('Fairway Log'!$C$2:$C826=$C755),
      0),
      MATCH($G755,'Fairway Log'!$E$1:$V$1,0)
    ),
  "")
)</f>
        <v/>
      </c>
      <c r="Q755" t="str" cm="1">
        <f t="array" ref="Q755">IFERROR(
  INDEX('GIR Log'!$E$2:$V$70,
    MATCH(1,
      ('GIR Log'!$A$2:$A$70=$A755)*
      ('GIR Log'!$B$2:$B$70=$B755)*
      ('GIR Log'!$C$2:$C$70=$C755),
    0),
    MATCH($G755,'GIR Log'!$E$1:$V$1,0)
  ),
"")</f>
        <v>↓</v>
      </c>
    </row>
    <row r="756" spans="1:17" x14ac:dyDescent="0.25">
      <c r="A756" s="20" t="s">
        <v>127</v>
      </c>
      <c r="B756" s="2">
        <v>45894</v>
      </c>
      <c r="C756" s="20" t="s">
        <v>11</v>
      </c>
      <c r="D756" s="20" t="s">
        <v>77</v>
      </c>
      <c r="E756" s="20" t="s">
        <v>34</v>
      </c>
      <c r="F756">
        <v>112</v>
      </c>
      <c r="G756" t="s">
        <v>63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Log'!$E$2:$V$70,
    MATCH(1,
      ('Golf Log'!$A$2:$A$70=$A756)*
      ('Golf Log'!$B$2:$B$70=$B756)*
      ('Golf Log'!$C$2:$C$70=$C756),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Log'!$E$2:$V$70,
    MATCH(1,
      ('Putt Log'!$A$2:$A$70=$A756)*
      ('Putt Log'!$B$2:$B$70=$B756)*
      ('Putt Log'!$C$2:$C$70=$C756),
    0),
    MATCH($G756,'Putt Log'!$E$1:$V$1,0)
  ),
"")</f>
        <v>3</v>
      </c>
      <c r="P756" cm="1">
        <f t="array" ref="P756">IF(K756=3,"",
  IFERROR(
    INDEX('Fairway Log'!$E$2:$V$70,
      MATCH(1,
        ('Fairway Log'!$A$2:$A$70=$A756)*
        ('Fairway Log'!$B$2:$B$70=$B756)*
        ('Fairway Log'!$C$2:$C827=$C756),
      0),
      MATCH($G756,'Fairway Log'!$E$1:$V$1,0)
    ),
  "")
)</f>
        <v>1</v>
      </c>
      <c r="Q756" cm="1">
        <f t="array" ref="Q756">IFERROR(
  INDEX('GIR Log'!$E$2:$V$70,
    MATCH(1,
      ('GIR Log'!$A$2:$A$70=$A756)*
      ('GIR Log'!$B$2:$B$70=$B756)*
      ('GIR Log'!$C$2:$C$70=$C756),
    0),
    MATCH($G756,'GIR Log'!$E$1:$V$1,0)
  ),
"")</f>
        <v>1</v>
      </c>
    </row>
    <row r="757" spans="1:17" x14ac:dyDescent="0.25">
      <c r="A757" s="20" t="s">
        <v>127</v>
      </c>
      <c r="B757" s="2">
        <v>45894</v>
      </c>
      <c r="C757" s="20" t="s">
        <v>11</v>
      </c>
      <c r="D757" s="20" t="s">
        <v>77</v>
      </c>
      <c r="E757" s="20" t="s">
        <v>34</v>
      </c>
      <c r="F757">
        <v>112</v>
      </c>
      <c r="G757" t="s">
        <v>64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Log'!$E$2:$V$70,
    MATCH(1,
      ('Golf Log'!$A$2:$A$70=$A757)*
      ('Golf Log'!$B$2:$B$70=$B757)*
      ('Golf Log'!$C$2:$C$70=$C757),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Log'!$E$2:$V$70,
    MATCH(1,
      ('Putt Log'!$A$2:$A$70=$A757)*
      ('Putt Log'!$B$2:$B$70=$B757)*
      ('Putt Log'!$C$2:$C$70=$C757),
    0),
    MATCH($G757,'Putt Log'!$E$1:$V$1,0)
  ),
"")</f>
        <v>2</v>
      </c>
      <c r="P757" t="str" cm="1">
        <f t="array" ref="P757">IF(K757=3,"",
  IFERROR(
    INDEX('Fairway Log'!$E$2:$V$70,
      MATCH(1,
        ('Fairway Log'!$A$2:$A$70=$A757)*
        ('Fairway Log'!$B$2:$B$70=$B757)*
        ('Fairway Log'!$C$2:$C828=$C757),
      0),
      MATCH($G757,'Fairway Log'!$E$1:$V$1,0)
    ),
  "")
)</f>
        <v>→</v>
      </c>
      <c r="Q757" t="str" cm="1">
        <f t="array" ref="Q757">IFERROR(
  INDEX('GIR Log'!$E$2:$V$70,
    MATCH(1,
      ('GIR Log'!$A$2:$A$70=$A757)*
      ('GIR Log'!$B$2:$B$70=$B757)*
      ('GIR Log'!$C$2:$C$70=$C757),
    0),
    MATCH($G757,'GIR Log'!$E$1:$V$1,0)
  ),
"")</f>
        <v>↓</v>
      </c>
    </row>
    <row r="758" spans="1:17" x14ac:dyDescent="0.25">
      <c r="A758" s="35" t="s">
        <v>127</v>
      </c>
      <c r="B758" s="2">
        <v>45853</v>
      </c>
      <c r="C758" s="35" t="s">
        <v>128</v>
      </c>
      <c r="D758" s="35" t="s">
        <v>128</v>
      </c>
      <c r="E758" s="35" t="s">
        <v>36</v>
      </c>
      <c r="F758">
        <v>109</v>
      </c>
      <c r="G758" s="12" t="s">
        <v>47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Log'!$E$2:$V$70,
    MATCH(1,
      ('Golf Log'!$A$2:$A$70=$A758)*
      ('Golf Log'!$B$2:$B$70=$B758)*
      ('Golf Log'!$C$2:$C$70=$C758),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Log'!$E$2:$V$70,
    MATCH(1,
      ('Putt Log'!$A$2:$A$70=$A758)*
      ('Putt Log'!$B$2:$B$70=$B758)*
      ('Putt Log'!$C$2:$C$70=$C758),
    0),
    MATCH($G758,'Putt Log'!$E$1:$V$1,0)
  ),
"")</f>
        <v>3</v>
      </c>
      <c r="P758" cm="1">
        <f t="array" ref="P758">IF(K758=3,"",
  IFERROR(
    INDEX('Fairway Log'!$E$2:$V$70,
      MATCH(1,
        ('Fairway Log'!$A$2:$A$70=$A758)*
        ('Fairway Log'!$B$2:$B$70=$B758)*
        ('Fairway Log'!$C$2:$C829=$C758),
      0),
      MATCH($G758,'Fairway Log'!$E$1:$V$1,0)
    ),
  "")
)</f>
        <v>0</v>
      </c>
      <c r="Q758" cm="1">
        <f t="array" ref="Q758">IFERROR(
  INDEX('GIR Log'!$E$2:$V$70,
    MATCH(1,
      ('GIR Log'!$A$2:$A$70=$A758)*
      ('GIR Log'!$B$2:$B$70=$B758)*
      ('GIR Log'!$C$2:$C$70=$C758),
    0),
    MATCH($G758,'GIR Log'!$E$1:$V$1,0)
  ),
"")</f>
        <v>0</v>
      </c>
    </row>
    <row r="759" spans="1:17" x14ac:dyDescent="0.25">
      <c r="A759" s="35" t="s">
        <v>127</v>
      </c>
      <c r="B759" s="2">
        <v>45853</v>
      </c>
      <c r="C759" s="35" t="s">
        <v>128</v>
      </c>
      <c r="D759" s="35" t="s">
        <v>128</v>
      </c>
      <c r="E759" s="35" t="s">
        <v>36</v>
      </c>
      <c r="F759">
        <v>109</v>
      </c>
      <c r="G759" s="12" t="s">
        <v>48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Log'!$E$2:$V$70,
    MATCH(1,
      ('Golf Log'!$A$2:$A$70=$A759)*
      ('Golf Log'!$B$2:$B$70=$B759)*
      ('Golf Log'!$C$2:$C$70=$C759),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Log'!$E$2:$V$70,
    MATCH(1,
      ('Putt Log'!$A$2:$A$70=$A759)*
      ('Putt Log'!$B$2:$B$70=$B759)*
      ('Putt Log'!$C$2:$C$70=$C759),
    0),
    MATCH($G759,'Putt Log'!$E$1:$V$1,0)
  ),
"")</f>
        <v>2</v>
      </c>
      <c r="P759" t="str" cm="1">
        <f t="array" ref="P759">IF(K759=3,"",
  IFERROR(
    INDEX('Fairway Log'!$E$2:$V$70,
      MATCH(1,
        ('Fairway Log'!$A$2:$A$70=$A759)*
        ('Fairway Log'!$B$2:$B$70=$B759)*
        ('Fairway Log'!$C$2:$C830=$C759),
      0),
      MATCH($G759,'Fairway Log'!$E$1:$V$1,0)
    ),
  "")
)</f>
        <v/>
      </c>
      <c r="Q759" cm="1">
        <f t="array" ref="Q759">IFERROR(
  INDEX('GIR Log'!$E$2:$V$70,
    MATCH(1,
      ('GIR Log'!$A$2:$A$70=$A759)*
      ('GIR Log'!$B$2:$B$70=$B759)*
      ('GIR Log'!$C$2:$C$70=$C759),
    0),
    MATCH($G759,'GIR Log'!$E$1:$V$1,0)
  ),
"")</f>
        <v>0</v>
      </c>
    </row>
    <row r="760" spans="1:17" x14ac:dyDescent="0.25">
      <c r="A760" s="35" t="s">
        <v>127</v>
      </c>
      <c r="B760" s="2">
        <v>45853</v>
      </c>
      <c r="C760" s="35" t="s">
        <v>128</v>
      </c>
      <c r="D760" s="35" t="s">
        <v>128</v>
      </c>
      <c r="E760" s="35" t="s">
        <v>36</v>
      </c>
      <c r="F760">
        <v>109</v>
      </c>
      <c r="G760" s="12" t="s">
        <v>49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Log'!$E$2:$V$70,
    MATCH(1,
      ('Golf Log'!$A$2:$A$70=$A760)*
      ('Golf Log'!$B$2:$B$70=$B760)*
      ('Golf Log'!$C$2:$C$70=$C760),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Log'!$E$2:$V$70,
    MATCH(1,
      ('Putt Log'!$A$2:$A$70=$A760)*
      ('Putt Log'!$B$2:$B$70=$B760)*
      ('Putt Log'!$C$2:$C$70=$C760),
    0),
    MATCH($G760,'Putt Log'!$E$1:$V$1,0)
  ),
"")</f>
        <v>3</v>
      </c>
      <c r="P760" cm="1">
        <f t="array" ref="P760">IF(K760=3,"",
  IFERROR(
    INDEX('Fairway Log'!$E$2:$V$70,
      MATCH(1,
        ('Fairway Log'!$A$2:$A$70=$A760)*
        ('Fairway Log'!$B$2:$B$70=$B760)*
        ('Fairway Log'!$C$2:$C831=$C760),
      0),
      MATCH($G760,'Fairway Log'!$E$1:$V$1,0)
    ),
  "")
)</f>
        <v>0</v>
      </c>
      <c r="Q760" cm="1">
        <f t="array" ref="Q760">IFERROR(
  INDEX('GIR Log'!$E$2:$V$70,
    MATCH(1,
      ('GIR Log'!$A$2:$A$70=$A760)*
      ('GIR Log'!$B$2:$B$70=$B760)*
      ('GIR Log'!$C$2:$C$70=$C760),
    0),
    MATCH($G760,'GIR Log'!$E$1:$V$1,0)
  ),
"")</f>
        <v>0</v>
      </c>
    </row>
    <row r="761" spans="1:17" x14ac:dyDescent="0.25">
      <c r="A761" s="35" t="s">
        <v>127</v>
      </c>
      <c r="B761" s="2">
        <v>45853</v>
      </c>
      <c r="C761" s="35" t="s">
        <v>128</v>
      </c>
      <c r="D761" s="35" t="s">
        <v>128</v>
      </c>
      <c r="E761" s="35" t="s">
        <v>36</v>
      </c>
      <c r="F761">
        <v>109</v>
      </c>
      <c r="G761" s="12" t="s">
        <v>50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Log'!$E$2:$V$70,
    MATCH(1,
      ('Golf Log'!$A$2:$A$70=$A761)*
      ('Golf Log'!$B$2:$B$70=$B761)*
      ('Golf Log'!$C$2:$C$70=$C761),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Log'!$E$2:$V$70,
    MATCH(1,
      ('Putt Log'!$A$2:$A$70=$A761)*
      ('Putt Log'!$B$2:$B$70=$B761)*
      ('Putt Log'!$C$2:$C$70=$C761),
    0),
    MATCH($G761,'Putt Log'!$E$1:$V$1,0)
  ),
"")</f>
        <v>3</v>
      </c>
      <c r="P761" cm="1">
        <f t="array" ref="P761">IF(K761=3,"",
  IFERROR(
    INDEX('Fairway Log'!$E$2:$V$70,
      MATCH(1,
        ('Fairway Log'!$A$2:$A$70=$A761)*
        ('Fairway Log'!$B$2:$B$70=$B761)*
        ('Fairway Log'!$C$2:$C832=$C761),
      0),
      MATCH($G761,'Fairway Log'!$E$1:$V$1,0)
    ),
  "")
)</f>
        <v>0</v>
      </c>
      <c r="Q761" cm="1">
        <f t="array" ref="Q761">IFERROR(
  INDEX('GIR Log'!$E$2:$V$70,
    MATCH(1,
      ('GIR Log'!$A$2:$A$70=$A761)*
      ('GIR Log'!$B$2:$B$70=$B761)*
      ('GIR Log'!$C$2:$C$70=$C761),
    0),
    MATCH($G761,'GIR Log'!$E$1:$V$1,0)
  ),
"")</f>
        <v>0</v>
      </c>
    </row>
    <row r="762" spans="1:17" x14ac:dyDescent="0.25">
      <c r="A762" s="35" t="s">
        <v>127</v>
      </c>
      <c r="B762" s="2">
        <v>45853</v>
      </c>
      <c r="C762" s="35" t="s">
        <v>128</v>
      </c>
      <c r="D762" s="35" t="s">
        <v>128</v>
      </c>
      <c r="E762" s="35" t="s">
        <v>36</v>
      </c>
      <c r="F762">
        <v>109</v>
      </c>
      <c r="G762" s="12" t="s">
        <v>51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Log'!$E$2:$V$70,
    MATCH(1,
      ('Golf Log'!$A$2:$A$70=$A762)*
      ('Golf Log'!$B$2:$B$70=$B762)*
      ('Golf Log'!$C$2:$C$70=$C762),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Log'!$E$2:$V$70,
    MATCH(1,
      ('Putt Log'!$A$2:$A$70=$A762)*
      ('Putt Log'!$B$2:$B$70=$B762)*
      ('Putt Log'!$C$2:$C$70=$C762),
    0),
    MATCH($G762,'Putt Log'!$E$1:$V$1,0)
  ),
"")</f>
        <v>3</v>
      </c>
      <c r="P762" cm="1">
        <f t="array" ref="P762">IF(K762=3,"",
  IFERROR(
    INDEX('Fairway Log'!$E$2:$V$70,
      MATCH(1,
        ('Fairway Log'!$A$2:$A$70=$A762)*
        ('Fairway Log'!$B$2:$B$70=$B762)*
        ('Fairway Log'!$C$2:$C833=$C762),
      0),
      MATCH($G762,'Fairway Log'!$E$1:$V$1,0)
    ),
  "")
)</f>
        <v>0</v>
      </c>
      <c r="Q762" cm="1">
        <f t="array" ref="Q762">IFERROR(
  INDEX('GIR Log'!$E$2:$V$70,
    MATCH(1,
      ('GIR Log'!$A$2:$A$70=$A762)*
      ('GIR Log'!$B$2:$B$70=$B762)*
      ('GIR Log'!$C$2:$C$70=$C762),
    0),
    MATCH($G762,'GIR Log'!$E$1:$V$1,0)
  ),
"")</f>
        <v>0</v>
      </c>
    </row>
    <row r="763" spans="1:17" x14ac:dyDescent="0.25">
      <c r="A763" s="35" t="s">
        <v>127</v>
      </c>
      <c r="B763" s="2">
        <v>45853</v>
      </c>
      <c r="C763" s="35" t="s">
        <v>128</v>
      </c>
      <c r="D763" s="35" t="s">
        <v>128</v>
      </c>
      <c r="E763" s="35" t="s">
        <v>36</v>
      </c>
      <c r="F763">
        <v>109</v>
      </c>
      <c r="G763" s="12" t="s">
        <v>52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Log'!$E$2:$V$70,
    MATCH(1,
      ('Golf Log'!$A$2:$A$70=$A763)*
      ('Golf Log'!$B$2:$B$70=$B763)*
      ('Golf Log'!$C$2:$C$70=$C763),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Log'!$E$2:$V$70,
    MATCH(1,
      ('Putt Log'!$A$2:$A$70=$A763)*
      ('Putt Log'!$B$2:$B$70=$B763)*
      ('Putt Log'!$C$2:$C$70=$C763),
    0),
    MATCH($G763,'Putt Log'!$E$1:$V$1,0)
  ),
"")</f>
        <v>3</v>
      </c>
      <c r="P763" cm="1">
        <f t="array" ref="P763">IF(K763=3,"",
  IFERROR(
    INDEX('Fairway Log'!$E$2:$V$70,
      MATCH(1,
        ('Fairway Log'!$A$2:$A$70=$A763)*
        ('Fairway Log'!$B$2:$B$70=$B763)*
        ('Fairway Log'!$C$2:$C834=$C763),
      0),
      MATCH($G763,'Fairway Log'!$E$1:$V$1,0)
    ),
  "")
)</f>
        <v>0</v>
      </c>
      <c r="Q763" cm="1">
        <f t="array" ref="Q763">IFERROR(
  INDEX('GIR Log'!$E$2:$V$70,
    MATCH(1,
      ('GIR Log'!$A$2:$A$70=$A763)*
      ('GIR Log'!$B$2:$B$70=$B763)*
      ('GIR Log'!$C$2:$C$70=$C763),
    0),
    MATCH($G763,'GIR Log'!$E$1:$V$1,0)
  ),
"")</f>
        <v>0</v>
      </c>
    </row>
    <row r="764" spans="1:17" x14ac:dyDescent="0.25">
      <c r="A764" s="35" t="s">
        <v>127</v>
      </c>
      <c r="B764" s="2">
        <v>45853</v>
      </c>
      <c r="C764" s="35" t="s">
        <v>128</v>
      </c>
      <c r="D764" s="35" t="s">
        <v>128</v>
      </c>
      <c r="E764" s="35" t="s">
        <v>36</v>
      </c>
      <c r="F764">
        <v>109</v>
      </c>
      <c r="G764" s="12" t="s">
        <v>53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Log'!$E$2:$V$70,
    MATCH(1,
      ('Golf Log'!$A$2:$A$70=$A764)*
      ('Golf Log'!$B$2:$B$70=$B764)*
      ('Golf Log'!$C$2:$C$70=$C764),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Log'!$E$2:$V$70,
    MATCH(1,
      ('Putt Log'!$A$2:$A$70=$A764)*
      ('Putt Log'!$B$2:$B$70=$B764)*
      ('Putt Log'!$C$2:$C$70=$C764),
    0),
    MATCH($G764,'Putt Log'!$E$1:$V$1,0)
  ),
"")</f>
        <v>2</v>
      </c>
      <c r="P764" cm="1">
        <f t="array" ref="P764">IF(K764=3,"",
  IFERROR(
    INDEX('Fairway Log'!$E$2:$V$70,
      MATCH(1,
        ('Fairway Log'!$A$2:$A$70=$A764)*
        ('Fairway Log'!$B$2:$B$70=$B764)*
        ('Fairway Log'!$C$2:$C835=$C764),
      0),
      MATCH($G764,'Fairway Log'!$E$1:$V$1,0)
    ),
  "")
)</f>
        <v>0</v>
      </c>
      <c r="Q764" cm="1">
        <f t="array" ref="Q764">IFERROR(
  INDEX('GIR Log'!$E$2:$V$70,
    MATCH(1,
      ('GIR Log'!$A$2:$A$70=$A764)*
      ('GIR Log'!$B$2:$B$70=$B764)*
      ('GIR Log'!$C$2:$C$70=$C764),
    0),
    MATCH($G764,'GIR Log'!$E$1:$V$1,0)
  ),
"")</f>
        <v>0</v>
      </c>
    </row>
    <row r="765" spans="1:17" x14ac:dyDescent="0.25">
      <c r="A765" s="35" t="s">
        <v>127</v>
      </c>
      <c r="B765" s="2">
        <v>45853</v>
      </c>
      <c r="C765" s="35" t="s">
        <v>128</v>
      </c>
      <c r="D765" s="35" t="s">
        <v>128</v>
      </c>
      <c r="E765" s="35" t="s">
        <v>36</v>
      </c>
      <c r="F765">
        <v>109</v>
      </c>
      <c r="G765" s="12" t="s">
        <v>54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Log'!$E$2:$V$70,
    MATCH(1,
      ('Golf Log'!$A$2:$A$70=$A765)*
      ('Golf Log'!$B$2:$B$70=$B765)*
      ('Golf Log'!$C$2:$C$70=$C765),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Log'!$E$2:$V$70,
    MATCH(1,
      ('Putt Log'!$A$2:$A$70=$A765)*
      ('Putt Log'!$B$2:$B$70=$B765)*
      ('Putt Log'!$C$2:$C$70=$C765),
    0),
    MATCH($G765,'Putt Log'!$E$1:$V$1,0)
  ),
"")</f>
        <v>2</v>
      </c>
      <c r="P765" t="str" cm="1">
        <f t="array" ref="P765">IF(K765=3,"",
  IFERROR(
    INDEX('Fairway Log'!$E$2:$V$70,
      MATCH(1,
        ('Fairway Log'!$A$2:$A$70=$A765)*
        ('Fairway Log'!$B$2:$B$70=$B765)*
        ('Fairway Log'!$C$2:$C836=$C765),
      0),
      MATCH($G765,'Fairway Log'!$E$1:$V$1,0)
    ),
  "")
)</f>
        <v/>
      </c>
      <c r="Q765" cm="1">
        <f t="array" ref="Q765">IFERROR(
  INDEX('GIR Log'!$E$2:$V$70,
    MATCH(1,
      ('GIR Log'!$A$2:$A$70=$A765)*
      ('GIR Log'!$B$2:$B$70=$B765)*
      ('GIR Log'!$C$2:$C$70=$C765),
    0),
    MATCH($G765,'GIR Log'!$E$1:$V$1,0)
  ),
"")</f>
        <v>0</v>
      </c>
    </row>
    <row r="766" spans="1:17" x14ac:dyDescent="0.25">
      <c r="A766" s="35" t="s">
        <v>127</v>
      </c>
      <c r="B766" s="2">
        <v>45853</v>
      </c>
      <c r="C766" s="35" t="s">
        <v>128</v>
      </c>
      <c r="D766" s="35" t="s">
        <v>128</v>
      </c>
      <c r="E766" s="35" t="s">
        <v>36</v>
      </c>
      <c r="F766">
        <v>109</v>
      </c>
      <c r="G766" s="12" t="s">
        <v>55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Log'!$E$2:$V$70,
    MATCH(1,
      ('Golf Log'!$A$2:$A$70=$A766)*
      ('Golf Log'!$B$2:$B$70=$B766)*
      ('Golf Log'!$C$2:$C$70=$C766),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Log'!$E$2:$V$70,
    MATCH(1,
      ('Putt Log'!$A$2:$A$70=$A766)*
      ('Putt Log'!$B$2:$B$70=$B766)*
      ('Putt Log'!$C$2:$C$70=$C766),
    0),
    MATCH($G766,'Putt Log'!$E$1:$V$1,0)
  ),
"")</f>
        <v>2</v>
      </c>
      <c r="P766" cm="1">
        <f t="array" ref="P766">IF(K766=3,"",
  IFERROR(
    INDEX('Fairway Log'!$E$2:$V$70,
      MATCH(1,
        ('Fairway Log'!$A$2:$A$70=$A766)*
        ('Fairway Log'!$B$2:$B$70=$B766)*
        ('Fairway Log'!$C$2:$C837=$C766),
      0),
      MATCH($G766,'Fairway Log'!$E$1:$V$1,0)
    ),
  "")
)</f>
        <v>0</v>
      </c>
      <c r="Q766" cm="1">
        <f t="array" ref="Q766">IFERROR(
  INDEX('GIR Log'!$E$2:$V$70,
    MATCH(1,
      ('GIR Log'!$A$2:$A$70=$A766)*
      ('GIR Log'!$B$2:$B$70=$B766)*
      ('GIR Log'!$C$2:$C$70=$C766),
    0),
    MATCH($G766,'GIR Log'!$E$1:$V$1,0)
  ),
"")</f>
        <v>0</v>
      </c>
    </row>
    <row r="767" spans="1:17" x14ac:dyDescent="0.25">
      <c r="A767" s="35" t="s">
        <v>127</v>
      </c>
      <c r="B767" s="2">
        <v>45853</v>
      </c>
      <c r="C767" s="35" t="s">
        <v>128</v>
      </c>
      <c r="D767" s="35" t="s">
        <v>128</v>
      </c>
      <c r="E767" s="35" t="s">
        <v>36</v>
      </c>
      <c r="F767">
        <v>109</v>
      </c>
      <c r="G767" s="12" t="s">
        <v>56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Log'!$E$2:$V$70,
    MATCH(1,
      ('Golf Log'!$A$2:$A$70=$A767)*
      ('Golf Log'!$B$2:$B$70=$B767)*
      ('Golf Log'!$C$2:$C$70=$C767),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Log'!$E$2:$V$70,
    MATCH(1,
      ('Putt Log'!$A$2:$A$70=$A767)*
      ('Putt Log'!$B$2:$B$70=$B767)*
      ('Putt Log'!$C$2:$C$70=$C767),
    0),
    MATCH($G767,'Putt Log'!$E$1:$V$1,0)
  ),
"")</f>
        <v>2</v>
      </c>
      <c r="P767" cm="1">
        <f t="array" ref="P767">IF(K767=3,"",
  IFERROR(
    INDEX('Fairway Log'!$E$2:$V$70,
      MATCH(1,
        ('Fairway Log'!$A$2:$A$70=$A767)*
        ('Fairway Log'!$B$2:$B$70=$B767)*
        ('Fairway Log'!$C$2:$C838=$C767),
      0),
      MATCH($G767,'Fairway Log'!$E$1:$V$1,0)
    ),
  "")
)</f>
        <v>0</v>
      </c>
      <c r="Q767" cm="1">
        <f t="array" ref="Q767">IFERROR(
  INDEX('GIR Log'!$E$2:$V$70,
    MATCH(1,
      ('GIR Log'!$A$2:$A$70=$A767)*
      ('GIR Log'!$B$2:$B$70=$B767)*
      ('GIR Log'!$C$2:$C$70=$C767),
    0),
    MATCH($G767,'GIR Log'!$E$1:$V$1,0)
  ),
"")</f>
        <v>0</v>
      </c>
    </row>
    <row r="768" spans="1:17" x14ac:dyDescent="0.25">
      <c r="A768" s="35" t="s">
        <v>127</v>
      </c>
      <c r="B768" s="2">
        <v>45853</v>
      </c>
      <c r="C768" s="35" t="s">
        <v>128</v>
      </c>
      <c r="D768" s="35" t="s">
        <v>128</v>
      </c>
      <c r="E768" s="35" t="s">
        <v>36</v>
      </c>
      <c r="F768">
        <v>109</v>
      </c>
      <c r="G768" s="12" t="s">
        <v>57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Log'!$E$2:$V$70,
    MATCH(1,
      ('Golf Log'!$A$2:$A$70=$A768)*
      ('Golf Log'!$B$2:$B$70=$B768)*
      ('Golf Log'!$C$2:$C$70=$C768),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Log'!$E$2:$V$70,
    MATCH(1,
      ('Putt Log'!$A$2:$A$70=$A768)*
      ('Putt Log'!$B$2:$B$70=$B768)*
      ('Putt Log'!$C$2:$C$70=$C768),
    0),
    MATCH($G768,'Putt Log'!$E$1:$V$1,0)
  ),
"")</f>
        <v>3</v>
      </c>
      <c r="P768" t="str" cm="1">
        <f t="array" ref="P768">IF(K768=3,"",
  IFERROR(
    INDEX('Fairway Log'!$E$2:$V$70,
      MATCH(1,
        ('Fairway Log'!$A$2:$A$70=$A768)*
        ('Fairway Log'!$B$2:$B$70=$B768)*
        ('Fairway Log'!$C$2:$C839=$C768),
      0),
      MATCH($G768,'Fairway Log'!$E$1:$V$1,0)
    ),
  "")
)</f>
        <v/>
      </c>
      <c r="Q768" cm="1">
        <f t="array" ref="Q768">IFERROR(
  INDEX('GIR Log'!$E$2:$V$70,
    MATCH(1,
      ('GIR Log'!$A$2:$A$70=$A768)*
      ('GIR Log'!$B$2:$B$70=$B768)*
      ('GIR Log'!$C$2:$C$70=$C768),
    0),
    MATCH($G768,'GIR Log'!$E$1:$V$1,0)
  ),
"")</f>
        <v>1</v>
      </c>
    </row>
    <row r="769" spans="1:17" x14ac:dyDescent="0.25">
      <c r="A769" s="35" t="s">
        <v>127</v>
      </c>
      <c r="B769" s="2">
        <v>45853</v>
      </c>
      <c r="C769" s="35" t="s">
        <v>128</v>
      </c>
      <c r="D769" s="35" t="s">
        <v>128</v>
      </c>
      <c r="E769" s="35" t="s">
        <v>36</v>
      </c>
      <c r="F769">
        <v>109</v>
      </c>
      <c r="G769" s="12" t="s">
        <v>58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Log'!$E$2:$V$70,
    MATCH(1,
      ('Golf Log'!$A$2:$A$70=$A769)*
      ('Golf Log'!$B$2:$B$70=$B769)*
      ('Golf Log'!$C$2:$C$70=$C769),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Log'!$E$2:$V$70,
    MATCH(1,
      ('Putt Log'!$A$2:$A$70=$A769)*
      ('Putt Log'!$B$2:$B$70=$B769)*
      ('Putt Log'!$C$2:$C$70=$C769),
    0),
    MATCH($G769,'Putt Log'!$E$1:$V$1,0)
  ),
"")</f>
        <v>2</v>
      </c>
      <c r="P769" cm="1">
        <f t="array" ref="P769">IF(K769=3,"",
  IFERROR(
    INDEX('Fairway Log'!$E$2:$V$70,
      MATCH(1,
        ('Fairway Log'!$A$2:$A$70=$A769)*
        ('Fairway Log'!$B$2:$B$70=$B769)*
        ('Fairway Log'!$C$2:$C840=$C769),
      0),
      MATCH($G769,'Fairway Log'!$E$1:$V$1,0)
    ),
  "")
)</f>
        <v>0</v>
      </c>
      <c r="Q769" cm="1">
        <f t="array" ref="Q769">IFERROR(
  INDEX('GIR Log'!$E$2:$V$70,
    MATCH(1,
      ('GIR Log'!$A$2:$A$70=$A769)*
      ('GIR Log'!$B$2:$B$70=$B769)*
      ('GIR Log'!$C$2:$C$70=$C769),
    0),
    MATCH($G769,'GIR Log'!$E$1:$V$1,0)
  ),
"")</f>
        <v>0</v>
      </c>
    </row>
    <row r="770" spans="1:17" x14ac:dyDescent="0.25">
      <c r="A770" s="35" t="s">
        <v>127</v>
      </c>
      <c r="B770" s="2">
        <v>45853</v>
      </c>
      <c r="C770" s="35" t="s">
        <v>128</v>
      </c>
      <c r="D770" s="35" t="s">
        <v>128</v>
      </c>
      <c r="E770" s="35" t="s">
        <v>36</v>
      </c>
      <c r="F770">
        <v>109</v>
      </c>
      <c r="G770" s="12" t="s">
        <v>59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Log'!$E$2:$V$70,
    MATCH(1,
      ('Golf Log'!$A$2:$A$70=$A770)*
      ('Golf Log'!$B$2:$B$70=$B770)*
      ('Golf Log'!$C$2:$C$70=$C770),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Log'!$E$2:$V$70,
    MATCH(1,
      ('Putt Log'!$A$2:$A$70=$A770)*
      ('Putt Log'!$B$2:$B$70=$B770)*
      ('Putt Log'!$C$2:$C$70=$C770),
    0),
    MATCH($G770,'Putt Log'!$E$1:$V$1,0)
  ),
"")</f>
        <v>3</v>
      </c>
      <c r="P770" cm="1">
        <f t="array" ref="P770">IF(K770=3,"",
  IFERROR(
    INDEX('Fairway Log'!$E$2:$V$70,
      MATCH(1,
        ('Fairway Log'!$A$2:$A$70=$A770)*
        ('Fairway Log'!$B$2:$B$70=$B770)*
        ('Fairway Log'!$C$2:$C841=$C770),
      0),
      MATCH($G770,'Fairway Log'!$E$1:$V$1,0)
    ),
  "")
)</f>
        <v>0</v>
      </c>
      <c r="Q770" cm="1">
        <f t="array" ref="Q770">IFERROR(
  INDEX('GIR Log'!$E$2:$V$70,
    MATCH(1,
      ('GIR Log'!$A$2:$A$70=$A770)*
      ('GIR Log'!$B$2:$B$70=$B770)*
      ('GIR Log'!$C$2:$C$70=$C770),
    0),
    MATCH($G770,'GIR Log'!$E$1:$V$1,0)
  ),
"")</f>
        <v>0</v>
      </c>
    </row>
    <row r="771" spans="1:17" x14ac:dyDescent="0.25">
      <c r="A771" s="35" t="s">
        <v>127</v>
      </c>
      <c r="B771" s="2">
        <v>45853</v>
      </c>
      <c r="C771" s="35" t="s">
        <v>128</v>
      </c>
      <c r="D771" s="35" t="s">
        <v>128</v>
      </c>
      <c r="E771" s="35" t="s">
        <v>36</v>
      </c>
      <c r="F771">
        <v>109</v>
      </c>
      <c r="G771" s="12" t="s">
        <v>60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Log'!$E$2:$V$70,
    MATCH(1,
      ('Golf Log'!$A$2:$A$70=$A771)*
      ('Golf Log'!$B$2:$B$70=$B771)*
      ('Golf Log'!$C$2:$C$70=$C771),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Log'!$E$2:$V$70,
    MATCH(1,
      ('Putt Log'!$A$2:$A$70=$A771)*
      ('Putt Log'!$B$2:$B$70=$B771)*
      ('Putt Log'!$C$2:$C$70=$C771),
    0),
    MATCH($G771,'Putt Log'!$E$1:$V$1,0)
  ),
"")</f>
        <v>2</v>
      </c>
      <c r="P771" t="str" cm="1">
        <f t="array" ref="P771">IF(K771=3,"",
  IFERROR(
    INDEX('Fairway Log'!$E$2:$V$70,
      MATCH(1,
        ('Fairway Log'!$A$2:$A$70=$A771)*
        ('Fairway Log'!$B$2:$B$70=$B771)*
        ('Fairway Log'!$C$2:$C842=$C771),
      0),
      MATCH($G771,'Fairway Log'!$E$1:$V$1,0)
    ),
  "")
)</f>
        <v/>
      </c>
      <c r="Q771" cm="1">
        <f t="array" ref="Q771">IFERROR(
  INDEX('GIR Log'!$E$2:$V$70,
    MATCH(1,
      ('GIR Log'!$A$2:$A$70=$A771)*
      ('GIR Log'!$B$2:$B$70=$B771)*
      ('GIR Log'!$C$2:$C$70=$C771),
    0),
    MATCH($G771,'GIR Log'!$E$1:$V$1,0)
  ),
"")</f>
        <v>1</v>
      </c>
    </row>
    <row r="772" spans="1:17" x14ac:dyDescent="0.25">
      <c r="A772" s="35" t="s">
        <v>127</v>
      </c>
      <c r="B772" s="2">
        <v>45853</v>
      </c>
      <c r="C772" s="35" t="s">
        <v>128</v>
      </c>
      <c r="D772" s="35" t="s">
        <v>128</v>
      </c>
      <c r="E772" s="35" t="s">
        <v>36</v>
      </c>
      <c r="F772">
        <v>109</v>
      </c>
      <c r="G772" s="12" t="s">
        <v>61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Log'!$E$2:$V$70,
    MATCH(1,
      ('Golf Log'!$A$2:$A$70=$A772)*
      ('Golf Log'!$B$2:$B$70=$B772)*
      ('Golf Log'!$C$2:$C$70=$C772),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Log'!$E$2:$V$70,
    MATCH(1,
      ('Putt Log'!$A$2:$A$70=$A772)*
      ('Putt Log'!$B$2:$B$70=$B772)*
      ('Putt Log'!$C$2:$C$70=$C772),
    0),
    MATCH($G772,'Putt Log'!$E$1:$V$1,0)
  ),
"")</f>
        <v>3</v>
      </c>
      <c r="P772" cm="1">
        <f t="array" ref="P772">IF(K772=3,"",
  IFERROR(
    INDEX('Fairway Log'!$E$2:$V$70,
      MATCH(1,
        ('Fairway Log'!$A$2:$A$70=$A772)*
        ('Fairway Log'!$B$2:$B$70=$B772)*
        ('Fairway Log'!$C$2:$C843=$C772),
      0),
      MATCH($G772,'Fairway Log'!$E$1:$V$1,0)
    ),
  "")
)</f>
        <v>0</v>
      </c>
      <c r="Q772" cm="1">
        <f t="array" ref="Q772">IFERROR(
  INDEX('GIR Log'!$E$2:$V$70,
    MATCH(1,
      ('GIR Log'!$A$2:$A$70=$A772)*
      ('GIR Log'!$B$2:$B$70=$B772)*
      ('GIR Log'!$C$2:$C$70=$C772),
    0),
    MATCH($G772,'GIR Log'!$E$1:$V$1,0)
  ),
"")</f>
        <v>0</v>
      </c>
    </row>
    <row r="773" spans="1:17" x14ac:dyDescent="0.25">
      <c r="A773" s="35" t="s">
        <v>127</v>
      </c>
      <c r="B773" s="2">
        <v>45853</v>
      </c>
      <c r="C773" s="35" t="s">
        <v>128</v>
      </c>
      <c r="D773" s="35" t="s">
        <v>128</v>
      </c>
      <c r="E773" s="35" t="s">
        <v>36</v>
      </c>
      <c r="F773">
        <v>109</v>
      </c>
      <c r="G773" s="12" t="s">
        <v>62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Log'!$E$2:$V$70,
    MATCH(1,
      ('Golf Log'!$A$2:$A$70=$A773)*
      ('Golf Log'!$B$2:$B$70=$B773)*
      ('Golf Log'!$C$2:$C$70=$C773),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Log'!$E$2:$V$70,
    MATCH(1,
      ('Putt Log'!$A$2:$A$70=$A773)*
      ('Putt Log'!$B$2:$B$70=$B773)*
      ('Putt Log'!$C$2:$C$70=$C773),
    0),
    MATCH($G773,'Putt Log'!$E$1:$V$1,0)
  ),
"")</f>
        <v>2</v>
      </c>
      <c r="P773" cm="1">
        <f t="array" ref="P773">IF(K773=3,"",
  IFERROR(
    INDEX('Fairway Log'!$E$2:$V$70,
      MATCH(1,
        ('Fairway Log'!$A$2:$A$70=$A773)*
        ('Fairway Log'!$B$2:$B$70=$B773)*
        ('Fairway Log'!$C$2:$C844=$C773),
      0),
      MATCH($G773,'Fairway Log'!$E$1:$V$1,0)
    ),
  "")
)</f>
        <v>0</v>
      </c>
      <c r="Q773" cm="1">
        <f t="array" ref="Q773">IFERROR(
  INDEX('GIR Log'!$E$2:$V$70,
    MATCH(1,
      ('GIR Log'!$A$2:$A$70=$A773)*
      ('GIR Log'!$B$2:$B$70=$B773)*
      ('GIR Log'!$C$2:$C$70=$C773),
    0),
    MATCH($G773,'GIR Log'!$E$1:$V$1,0)
  ),
"")</f>
        <v>0</v>
      </c>
    </row>
    <row r="774" spans="1:17" x14ac:dyDescent="0.25">
      <c r="A774" s="35" t="s">
        <v>127</v>
      </c>
      <c r="B774" s="2">
        <v>45853</v>
      </c>
      <c r="C774" s="35" t="s">
        <v>128</v>
      </c>
      <c r="D774" s="35" t="s">
        <v>128</v>
      </c>
      <c r="E774" s="35" t="s">
        <v>36</v>
      </c>
      <c r="F774">
        <v>109</v>
      </c>
      <c r="G774" s="12" t="s">
        <v>63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Log'!$E$2:$V$70,
    MATCH(1,
      ('Golf Log'!$A$2:$A$70=$A774)*
      ('Golf Log'!$B$2:$B$70=$B774)*
      ('Golf Log'!$C$2:$C$70=$C774),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Log'!$E$2:$V$70,
    MATCH(1,
      ('Putt Log'!$A$2:$A$70=$A774)*
      ('Putt Log'!$B$2:$B$70=$B774)*
      ('Putt Log'!$C$2:$C$70=$C774),
    0),
    MATCH($G774,'Putt Log'!$E$1:$V$1,0)
  ),
"")</f>
        <v>3</v>
      </c>
      <c r="P774" cm="1">
        <f t="array" ref="P774">IF(K774=3,"",
  IFERROR(
    INDEX('Fairway Log'!$E$2:$V$70,
      MATCH(1,
        ('Fairway Log'!$A$2:$A$70=$A774)*
        ('Fairway Log'!$B$2:$B$70=$B774)*
        ('Fairway Log'!$C$2:$C845=$C774),
      0),
      MATCH($G774,'Fairway Log'!$E$1:$V$1,0)
    ),
  "")
)</f>
        <v>0</v>
      </c>
      <c r="Q774" cm="1">
        <f t="array" ref="Q774">IFERROR(
  INDEX('GIR Log'!$E$2:$V$70,
    MATCH(1,
      ('GIR Log'!$A$2:$A$70=$A774)*
      ('GIR Log'!$B$2:$B$70=$B774)*
      ('GIR Log'!$C$2:$C$70=$C774),
    0),
    MATCH($G774,'GIR Log'!$E$1:$V$1,0)
  ),
"")</f>
        <v>0</v>
      </c>
    </row>
    <row r="775" spans="1:17" x14ac:dyDescent="0.25">
      <c r="A775" s="35" t="s">
        <v>127</v>
      </c>
      <c r="B775" s="2">
        <v>45853</v>
      </c>
      <c r="C775" s="35" t="s">
        <v>128</v>
      </c>
      <c r="D775" s="35" t="s">
        <v>128</v>
      </c>
      <c r="E775" s="35" t="s">
        <v>36</v>
      </c>
      <c r="F775">
        <v>109</v>
      </c>
      <c r="G775" s="12" t="s">
        <v>64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Log'!$E$2:$V$70,
    MATCH(1,
      ('Golf Log'!$A$2:$A$70=$A775)*
      ('Golf Log'!$B$2:$B$70=$B775)*
      ('Golf Log'!$C$2:$C$70=$C775),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Log'!$E$2:$V$70,
    MATCH(1,
      ('Putt Log'!$A$2:$A$70=$A775)*
      ('Putt Log'!$B$2:$B$70=$B775)*
      ('Putt Log'!$C$2:$C$70=$C775),
    0),
    MATCH($G775,'Putt Log'!$E$1:$V$1,0)
  ),
"")</f>
        <v>2</v>
      </c>
      <c r="P775" cm="1">
        <f t="array" ref="P775">IF(K775=3,"",
  IFERROR(
    INDEX('Fairway Log'!$E$2:$V$70,
      MATCH(1,
        ('Fairway Log'!$A$2:$A$70=$A775)*
        ('Fairway Log'!$B$2:$B$70=$B775)*
        ('Fairway Log'!$C$2:$C846=$C775),
      0),
      MATCH($G775,'Fairway Log'!$E$1:$V$1,0)
    ),
  "")
)</f>
        <v>0</v>
      </c>
      <c r="Q775" cm="1">
        <f t="array" ref="Q775">IFERROR(
  INDEX('GIR Log'!$E$2:$V$70,
    MATCH(1,
      ('GIR Log'!$A$2:$A$70=$A775)*
      ('GIR Log'!$B$2:$B$70=$B775)*
      ('GIR Log'!$C$2:$C$70=$C775),
    0),
    MATCH($G775,'GIR Log'!$E$1:$V$1,0)
  ),
"")</f>
        <v>0</v>
      </c>
    </row>
    <row r="776" spans="1:17" x14ac:dyDescent="0.25">
      <c r="A776" s="35" t="s">
        <v>127</v>
      </c>
      <c r="B776" s="2">
        <v>45765</v>
      </c>
      <c r="C776" s="35" t="s">
        <v>129</v>
      </c>
      <c r="D776" s="35" t="s">
        <v>129</v>
      </c>
      <c r="E776" s="35" t="s">
        <v>36</v>
      </c>
      <c r="F776">
        <v>111</v>
      </c>
      <c r="G776" t="s">
        <v>47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Log'!$E$2:$V$70,
    MATCH(1,
      ('Golf Log'!$A$2:$A$70=$A776)*
      ('Golf Log'!$B$2:$B$70=$B776)*
      ('Golf Log'!$C$2:$C$70=$C776),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Log'!$E$2:$V$70,
    MATCH(1,
      ('Putt Log'!$A$2:$A$70=$A776)*
      ('Putt Log'!$B$2:$B$70=$B776)*
      ('Putt Log'!$C$2:$C$70=$C776),
    0),
    MATCH($G776,'Putt Log'!$E$1:$V$1,0)
  ),
"")</f>
        <v>3</v>
      </c>
      <c r="P776" t="str" cm="1">
        <f t="array" ref="P776">IF(K776=3,"",
  IFERROR(
    INDEX('Fairway Log'!$E$2:$V$70,
      MATCH(1,
        ('Fairway Log'!$A$2:$A$70=$A776)*
        ('Fairway Log'!$B$2:$B$70=$B776)*
        ('Fairway Log'!$C$2:$C847=$C776),
      0),
      MATCH($G776,'Fairway Log'!$E$1:$V$1,0)
    ),
  "")
)</f>
        <v>↓</v>
      </c>
      <c r="Q776" t="str" cm="1">
        <f t="array" ref="Q776">IFERROR(
  INDEX('GIR Log'!$E$2:$V$70,
    MATCH(1,
      ('GIR Log'!$A$2:$A$70=$A776)*
      ('GIR Log'!$B$2:$B$70=$B776)*
      ('GIR Log'!$C$2:$C$70=$C776),
    0),
    MATCH($G776,'GIR Log'!$E$1:$V$1,0)
  ),
"")</f>
        <v>↓</v>
      </c>
    </row>
    <row r="777" spans="1:17" x14ac:dyDescent="0.25">
      <c r="A777" s="35" t="s">
        <v>127</v>
      </c>
      <c r="B777" s="2">
        <v>45765</v>
      </c>
      <c r="C777" s="35" t="s">
        <v>129</v>
      </c>
      <c r="D777" s="35" t="s">
        <v>129</v>
      </c>
      <c r="E777" s="35" t="s">
        <v>36</v>
      </c>
      <c r="F777">
        <v>111</v>
      </c>
      <c r="G777" t="s">
        <v>48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Log'!$E$2:$V$70,
    MATCH(1,
      ('Golf Log'!$A$2:$A$70=$A777)*
      ('Golf Log'!$B$2:$B$70=$B777)*
      ('Golf Log'!$C$2:$C$70=$C777),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Log'!$E$2:$V$70,
    MATCH(1,
      ('Putt Log'!$A$2:$A$70=$A777)*
      ('Putt Log'!$B$2:$B$70=$B777)*
      ('Putt Log'!$C$2:$C$70=$C777),
    0),
    MATCH($G777,'Putt Log'!$E$1:$V$1,0)
  ),
"")</f>
        <v>2</v>
      </c>
      <c r="P777" t="str" cm="1">
        <f t="array" ref="P777">IF(K777=3,"",
  IFERROR(
    INDEX('Fairway Log'!$E$2:$V$70,
      MATCH(1,
        ('Fairway Log'!$A$2:$A$70=$A777)*
        ('Fairway Log'!$B$2:$B$70=$B777)*
        ('Fairway Log'!$C$2:$C848=$C777),
      0),
      MATCH($G777,'Fairway Log'!$E$1:$V$1,0)
    ),
  "")
)</f>
        <v/>
      </c>
      <c r="Q777" cm="1">
        <f t="array" ref="Q777">IFERROR(
  INDEX('GIR Log'!$E$2:$V$70,
    MATCH(1,
      ('GIR Log'!$A$2:$A$70=$A777)*
      ('GIR Log'!$B$2:$B$70=$B777)*
      ('GIR Log'!$C$2:$C$70=$C777),
    0),
    MATCH($G777,'GIR Log'!$E$1:$V$1,0)
  ),
"")</f>
        <v>0</v>
      </c>
    </row>
    <row r="778" spans="1:17" x14ac:dyDescent="0.25">
      <c r="A778" s="35" t="s">
        <v>127</v>
      </c>
      <c r="B778" s="2">
        <v>45765</v>
      </c>
      <c r="C778" s="35" t="s">
        <v>129</v>
      </c>
      <c r="D778" s="35" t="s">
        <v>129</v>
      </c>
      <c r="E778" s="35" t="s">
        <v>36</v>
      </c>
      <c r="F778">
        <v>111</v>
      </c>
      <c r="G778" t="s">
        <v>49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Log'!$E$2:$V$70,
    MATCH(1,
      ('Golf Log'!$A$2:$A$70=$A778)*
      ('Golf Log'!$B$2:$B$70=$B778)*
      ('Golf Log'!$C$2:$C$70=$C778),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Log'!$E$2:$V$70,
    MATCH(1,
      ('Putt Log'!$A$2:$A$70=$A778)*
      ('Putt Log'!$B$2:$B$70=$B778)*
      ('Putt Log'!$C$2:$C$70=$C778),
    0),
    MATCH($G778,'Putt Log'!$E$1:$V$1,0)
  ),
"")</f>
        <v>3</v>
      </c>
      <c r="P778" t="str" cm="1">
        <f t="array" ref="P778">IF(K778=3,"",
  IFERROR(
    INDEX('Fairway Log'!$E$2:$V$70,
      MATCH(1,
        ('Fairway Log'!$A$2:$A$70=$A778)*
        ('Fairway Log'!$B$2:$B$70=$B778)*
        ('Fairway Log'!$C$2:$C849=$C778),
      0),
      MATCH($G778,'Fairway Log'!$E$1:$V$1,0)
    ),
  "")
)</f>
        <v>←</v>
      </c>
      <c r="Q778" t="str" cm="1">
        <f t="array" ref="Q778">IFERROR(
  INDEX('GIR Log'!$E$2:$V$70,
    MATCH(1,
      ('GIR Log'!$A$2:$A$70=$A778)*
      ('GIR Log'!$B$2:$B$70=$B778)*
      ('GIR Log'!$C$2:$C$70=$C778),
    0),
    MATCH($G778,'GIR Log'!$E$1:$V$1,0)
  ),
"")</f>
        <v>↓</v>
      </c>
    </row>
    <row r="779" spans="1:17" x14ac:dyDescent="0.25">
      <c r="A779" s="35" t="s">
        <v>127</v>
      </c>
      <c r="B779" s="2">
        <v>45765</v>
      </c>
      <c r="C779" s="35" t="s">
        <v>129</v>
      </c>
      <c r="D779" s="35" t="s">
        <v>129</v>
      </c>
      <c r="E779" s="35" t="s">
        <v>36</v>
      </c>
      <c r="F779">
        <v>111</v>
      </c>
      <c r="G779" t="s">
        <v>50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Log'!$E$2:$V$70,
    MATCH(1,
      ('Golf Log'!$A$2:$A$70=$A779)*
      ('Golf Log'!$B$2:$B$70=$B779)*
      ('Golf Log'!$C$2:$C$70=$C779),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Log'!$E$2:$V$70,
    MATCH(1,
      ('Putt Log'!$A$2:$A$70=$A779)*
      ('Putt Log'!$B$2:$B$70=$B779)*
      ('Putt Log'!$C$2:$C$70=$C779),
    0),
    MATCH($G779,'Putt Log'!$E$1:$V$1,0)
  ),
"")</f>
        <v>2</v>
      </c>
      <c r="P779" t="str" cm="1">
        <f t="array" ref="P779">IF(K779=3,"",
  IFERROR(
    INDEX('Fairway Log'!$E$2:$V$70,
      MATCH(1,
        ('Fairway Log'!$A$2:$A$70=$A779)*
        ('Fairway Log'!$B$2:$B$70=$B779)*
        ('Fairway Log'!$C$2:$C850=$C779),
      0),
      MATCH($G779,'Fairway Log'!$E$1:$V$1,0)
    ),
  "")
)</f>
        <v>←</v>
      </c>
      <c r="Q779" t="str" cm="1">
        <f t="array" ref="Q779">IFERROR(
  INDEX('GIR Log'!$E$2:$V$70,
    MATCH(1,
      ('GIR Log'!$A$2:$A$70=$A779)*
      ('GIR Log'!$B$2:$B$70=$B779)*
      ('GIR Log'!$C$2:$C$70=$C779),
    0),
    MATCH($G779,'GIR Log'!$E$1:$V$1,0)
  ),
"")</f>
        <v>↓</v>
      </c>
    </row>
    <row r="780" spans="1:17" x14ac:dyDescent="0.25">
      <c r="A780" s="35" t="s">
        <v>127</v>
      </c>
      <c r="B780" s="2">
        <v>45765</v>
      </c>
      <c r="C780" s="35" t="s">
        <v>129</v>
      </c>
      <c r="D780" s="35" t="s">
        <v>129</v>
      </c>
      <c r="E780" s="35" t="s">
        <v>36</v>
      </c>
      <c r="F780">
        <v>111</v>
      </c>
      <c r="G780" t="s">
        <v>51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Log'!$E$2:$V$70,
    MATCH(1,
      ('Golf Log'!$A$2:$A$70=$A780)*
      ('Golf Log'!$B$2:$B$70=$B780)*
      ('Golf Log'!$C$2:$C$70=$C780),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Log'!$E$2:$V$70,
    MATCH(1,
      ('Putt Log'!$A$2:$A$70=$A780)*
      ('Putt Log'!$B$2:$B$70=$B780)*
      ('Putt Log'!$C$2:$C$70=$C780),
    0),
    MATCH($G780,'Putt Log'!$E$1:$V$1,0)
  ),
"")</f>
        <v>2</v>
      </c>
      <c r="P780" t="str" cm="1">
        <f t="array" ref="P780">IF(K780=3,"",
  IFERROR(
    INDEX('Fairway Log'!$E$2:$V$70,
      MATCH(1,
        ('Fairway Log'!$A$2:$A$70=$A780)*
        ('Fairway Log'!$B$2:$B$70=$B780)*
        ('Fairway Log'!$C$2:$C851=$C780),
      0),
      MATCH($G780,'Fairway Log'!$E$1:$V$1,0)
    ),
  "")
)</f>
        <v>←</v>
      </c>
      <c r="Q780" t="str" cm="1">
        <f t="array" ref="Q780">IFERROR(
  INDEX('GIR Log'!$E$2:$V$70,
    MATCH(1,
      ('GIR Log'!$A$2:$A$70=$A780)*
      ('GIR Log'!$B$2:$B$70=$B780)*
      ('GIR Log'!$C$2:$C$70=$C780),
    0),
    MATCH($G780,'GIR Log'!$E$1:$V$1,0)
  ),
"")</f>
        <v>NC</v>
      </c>
    </row>
    <row r="781" spans="1:17" x14ac:dyDescent="0.25">
      <c r="A781" s="35" t="s">
        <v>127</v>
      </c>
      <c r="B781" s="2">
        <v>45765</v>
      </c>
      <c r="C781" s="35" t="s">
        <v>129</v>
      </c>
      <c r="D781" s="35" t="s">
        <v>129</v>
      </c>
      <c r="E781" s="35" t="s">
        <v>36</v>
      </c>
      <c r="F781">
        <v>111</v>
      </c>
      <c r="G781" t="s">
        <v>52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Log'!$E$2:$V$70,
    MATCH(1,
      ('Golf Log'!$A$2:$A$70=$A781)*
      ('Golf Log'!$B$2:$B$70=$B781)*
      ('Golf Log'!$C$2:$C$70=$C781),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Log'!$E$2:$V$70,
    MATCH(1,
      ('Putt Log'!$A$2:$A$70=$A781)*
      ('Putt Log'!$B$2:$B$70=$B781)*
      ('Putt Log'!$C$2:$C$70=$C781),
    0),
    MATCH($G781,'Putt Log'!$E$1:$V$1,0)
  ),
"")</f>
        <v>3</v>
      </c>
      <c r="P781" t="str" cm="1">
        <f t="array" ref="P781">IF(K781=3,"",
  IFERROR(
    INDEX('Fairway Log'!$E$2:$V$70,
      MATCH(1,
        ('Fairway Log'!$A$2:$A$70=$A781)*
        ('Fairway Log'!$B$2:$B$70=$B781)*
        ('Fairway Log'!$C$2:$C852=$C781),
      0),
      MATCH($G781,'Fairway Log'!$E$1:$V$1,0)
    ),
  "")
)</f>
        <v/>
      </c>
      <c r="Q781" t="str" cm="1">
        <f t="array" ref="Q781">IFERROR(
  INDEX('GIR Log'!$E$2:$V$70,
    MATCH(1,
      ('GIR Log'!$A$2:$A$70=$A781)*
      ('GIR Log'!$B$2:$B$70=$B781)*
      ('GIR Log'!$C$2:$C$70=$C781),
    0),
    MATCH($G781,'GIR Log'!$E$1:$V$1,0)
  ),
"")</f>
        <v>↓</v>
      </c>
    </row>
    <row r="782" spans="1:17" x14ac:dyDescent="0.25">
      <c r="A782" s="35" t="s">
        <v>127</v>
      </c>
      <c r="B782" s="2">
        <v>45765</v>
      </c>
      <c r="C782" s="35" t="s">
        <v>129</v>
      </c>
      <c r="D782" s="35" t="s">
        <v>129</v>
      </c>
      <c r="E782" s="35" t="s">
        <v>36</v>
      </c>
      <c r="F782">
        <v>111</v>
      </c>
      <c r="G782" t="s">
        <v>53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Log'!$E$2:$V$70,
    MATCH(1,
      ('Golf Log'!$A$2:$A$70=$A782)*
      ('Golf Log'!$B$2:$B$70=$B782)*
      ('Golf Log'!$C$2:$C$70=$C782),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Log'!$E$2:$V$70,
    MATCH(1,
      ('Putt Log'!$A$2:$A$70=$A782)*
      ('Putt Log'!$B$2:$B$70=$B782)*
      ('Putt Log'!$C$2:$C$70=$C782),
    0),
    MATCH($G782,'Putt Log'!$E$1:$V$1,0)
  ),
"")</f>
        <v>3</v>
      </c>
      <c r="P782" cm="1">
        <f t="array" ref="P782">IF(K782=3,"",
  IFERROR(
    INDEX('Fairway Log'!$E$2:$V$70,
      MATCH(1,
        ('Fairway Log'!$A$2:$A$70=$A782)*
        ('Fairway Log'!$B$2:$B$70=$B782)*
        ('Fairway Log'!$C$2:$C853=$C782),
      0),
      MATCH($G782,'Fairway Log'!$E$1:$V$1,0)
    ),
  "")
)</f>
        <v>1</v>
      </c>
      <c r="Q782" t="str" cm="1">
        <f t="array" ref="Q782">IFERROR(
  INDEX('GIR Log'!$E$2:$V$70,
    MATCH(1,
      ('GIR Log'!$A$2:$A$70=$A782)*
      ('GIR Log'!$B$2:$B$70=$B782)*
      ('GIR Log'!$C$2:$C$70=$C782),
    0),
    MATCH($G782,'GIR Log'!$E$1:$V$1,0)
  ),
"")</f>
        <v>←</v>
      </c>
    </row>
    <row r="783" spans="1:17" x14ac:dyDescent="0.25">
      <c r="A783" s="35" t="s">
        <v>127</v>
      </c>
      <c r="B783" s="2">
        <v>45765</v>
      </c>
      <c r="C783" s="35" t="s">
        <v>129</v>
      </c>
      <c r="D783" s="35" t="s">
        <v>129</v>
      </c>
      <c r="E783" s="35" t="s">
        <v>36</v>
      </c>
      <c r="F783">
        <v>111</v>
      </c>
      <c r="G783" t="s">
        <v>54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Log'!$E$2:$V$70,
    MATCH(1,
      ('Golf Log'!$A$2:$A$70=$A783)*
      ('Golf Log'!$B$2:$B$70=$B783)*
      ('Golf Log'!$C$2:$C$70=$C783),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Log'!$E$2:$V$70,
    MATCH(1,
      ('Putt Log'!$A$2:$A$70=$A783)*
      ('Putt Log'!$B$2:$B$70=$B783)*
      ('Putt Log'!$C$2:$C$70=$C783),
    0),
    MATCH($G783,'Putt Log'!$E$1:$V$1,0)
  ),
"")</f>
        <v>3</v>
      </c>
      <c r="P783" t="str" cm="1">
        <f t="array" ref="P783">IF(K783=3,"",
  IFERROR(
    INDEX('Fairway Log'!$E$2:$V$70,
      MATCH(1,
        ('Fairway Log'!$A$2:$A$70=$A783)*
        ('Fairway Log'!$B$2:$B$70=$B783)*
        ('Fairway Log'!$C$2:$C854=$C783),
      0),
      MATCH($G783,'Fairway Log'!$E$1:$V$1,0)
    ),
  "")
)</f>
        <v/>
      </c>
      <c r="Q783" t="str" cm="1">
        <f t="array" ref="Q783">IFERROR(
  INDEX('GIR Log'!$E$2:$V$70,
    MATCH(1,
      ('GIR Log'!$A$2:$A$70=$A783)*
      ('GIR Log'!$B$2:$B$70=$B783)*
      ('GIR Log'!$C$2:$C$70=$C783),
    0),
    MATCH($G783,'GIR Log'!$E$1:$V$1,0)
  ),
"")</f>
        <v>←</v>
      </c>
    </row>
    <row r="784" spans="1:17" x14ac:dyDescent="0.25">
      <c r="A784" s="35" t="s">
        <v>127</v>
      </c>
      <c r="B784" s="2">
        <v>45765</v>
      </c>
      <c r="C784" s="35" t="s">
        <v>129</v>
      </c>
      <c r="D784" s="35" t="s">
        <v>129</v>
      </c>
      <c r="E784" s="35" t="s">
        <v>36</v>
      </c>
      <c r="F784">
        <v>111</v>
      </c>
      <c r="G784" t="s">
        <v>55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Log'!$E$2:$V$70,
    MATCH(1,
      ('Golf Log'!$A$2:$A$70=$A784)*
      ('Golf Log'!$B$2:$B$70=$B784)*
      ('Golf Log'!$C$2:$C$70=$C784),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Log'!$E$2:$V$70,
    MATCH(1,
      ('Putt Log'!$A$2:$A$70=$A784)*
      ('Putt Log'!$B$2:$B$70=$B784)*
      ('Putt Log'!$C$2:$C$70=$C784),
    0),
    MATCH($G784,'Putt Log'!$E$1:$V$1,0)
  ),
"")</f>
        <v>2</v>
      </c>
      <c r="P784" cm="1">
        <f t="array" ref="P784">IF(K784=3,"",
  IFERROR(
    INDEX('Fairway Log'!$E$2:$V$70,
      MATCH(1,
        ('Fairway Log'!$A$2:$A$70=$A784)*
        ('Fairway Log'!$B$2:$B$70=$B784)*
        ('Fairway Log'!$C$2:$C855=$C784),
      0),
      MATCH($G784,'Fairway Log'!$E$1:$V$1,0)
    ),
  "")
)</f>
        <v>1</v>
      </c>
      <c r="Q784" cm="1">
        <f t="array" ref="Q784">IFERROR(
  INDEX('GIR Log'!$E$2:$V$70,
    MATCH(1,
      ('GIR Log'!$A$2:$A$70=$A784)*
      ('GIR Log'!$B$2:$B$70=$B784)*
      ('GIR Log'!$C$2:$C$70=$C784),
    0),
    MATCH($G784,'GIR Log'!$E$1:$V$1,0)
  ),
"")</f>
        <v>1</v>
      </c>
    </row>
    <row r="785" spans="1:17" x14ac:dyDescent="0.25">
      <c r="A785" s="35" t="s">
        <v>127</v>
      </c>
      <c r="B785" s="2">
        <v>45765</v>
      </c>
      <c r="C785" s="35" t="s">
        <v>129</v>
      </c>
      <c r="D785" s="35" t="s">
        <v>129</v>
      </c>
      <c r="E785" s="35" t="s">
        <v>36</v>
      </c>
      <c r="F785">
        <v>111</v>
      </c>
      <c r="G785" t="s">
        <v>56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Log'!$E$2:$V$70,
    MATCH(1,
      ('Golf Log'!$A$2:$A$70=$A785)*
      ('Golf Log'!$B$2:$B$70=$B785)*
      ('Golf Log'!$C$2:$C$70=$C785),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Log'!$E$2:$V$70,
    MATCH(1,
      ('Putt Log'!$A$2:$A$70=$A785)*
      ('Putt Log'!$B$2:$B$70=$B785)*
      ('Putt Log'!$C$2:$C$70=$C785),
    0),
    MATCH($G785,'Putt Log'!$E$1:$V$1,0)
  ),
"")</f>
        <v>2</v>
      </c>
      <c r="P785" t="str" cm="1">
        <f t="array" ref="P785">IF(K785=3,"",
  IFERROR(
    INDEX('Fairway Log'!$E$2:$V$70,
      MATCH(1,
        ('Fairway Log'!$A$2:$A$70=$A785)*
        ('Fairway Log'!$B$2:$B$70=$B785)*
        ('Fairway Log'!$C$2:$C856=$C785),
      0),
      MATCH($G785,'Fairway Log'!$E$1:$V$1,0)
    ),
  "")
)</f>
        <v>→</v>
      </c>
      <c r="Q785" t="str" cm="1">
        <f t="array" ref="Q785">IFERROR(
  INDEX('GIR Log'!$E$2:$V$70,
    MATCH(1,
      ('GIR Log'!$A$2:$A$70=$A785)*
      ('GIR Log'!$B$2:$B$70=$B785)*
      ('GIR Log'!$C$2:$C$70=$C785),
    0),
    MATCH($G785,'GIR Log'!$E$1:$V$1,0)
  ),
"")</f>
        <v>←</v>
      </c>
    </row>
    <row r="786" spans="1:17" x14ac:dyDescent="0.25">
      <c r="A786" s="35" t="s">
        <v>127</v>
      </c>
      <c r="B786" s="2">
        <v>45765</v>
      </c>
      <c r="C786" s="35" t="s">
        <v>129</v>
      </c>
      <c r="D786" s="35" t="s">
        <v>129</v>
      </c>
      <c r="E786" s="35" t="s">
        <v>36</v>
      </c>
      <c r="F786">
        <v>111</v>
      </c>
      <c r="G786" t="s">
        <v>57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Log'!$E$2:$V$70,
    MATCH(1,
      ('Golf Log'!$A$2:$A$70=$A786)*
      ('Golf Log'!$B$2:$B$70=$B786)*
      ('Golf Log'!$C$2:$C$70=$C786),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Log'!$E$2:$V$70,
    MATCH(1,
      ('Putt Log'!$A$2:$A$70=$A786)*
      ('Putt Log'!$B$2:$B$70=$B786)*
      ('Putt Log'!$C$2:$C$70=$C786),
    0),
    MATCH($G786,'Putt Log'!$E$1:$V$1,0)
  ),
"")</f>
        <v>2</v>
      </c>
      <c r="P786" t="str" cm="1">
        <f t="array" ref="P786">IF(K786=3,"",
  IFERROR(
    INDEX('Fairway Log'!$E$2:$V$70,
      MATCH(1,
        ('Fairway Log'!$A$2:$A$70=$A786)*
        ('Fairway Log'!$B$2:$B$70=$B786)*
        ('Fairway Log'!$C$2:$C857=$C786),
      0),
      MATCH($G786,'Fairway Log'!$E$1:$V$1,0)
    ),
  "")
)</f>
        <v>→</v>
      </c>
      <c r="Q786" t="str" cm="1">
        <f t="array" ref="Q786">IFERROR(
  INDEX('GIR Log'!$E$2:$V$70,
    MATCH(1,
      ('GIR Log'!$A$2:$A$70=$A786)*
      ('GIR Log'!$B$2:$B$70=$B786)*
      ('GIR Log'!$C$2:$C$70=$C786),
    0),
    MATCH($G786,'GIR Log'!$E$1:$V$1,0)
  ),
"")</f>
        <v>←</v>
      </c>
    </row>
    <row r="787" spans="1:17" x14ac:dyDescent="0.25">
      <c r="A787" s="35" t="s">
        <v>127</v>
      </c>
      <c r="B787" s="2">
        <v>45765</v>
      </c>
      <c r="C787" s="35" t="s">
        <v>129</v>
      </c>
      <c r="D787" s="35" t="s">
        <v>129</v>
      </c>
      <c r="E787" s="35" t="s">
        <v>36</v>
      </c>
      <c r="F787">
        <v>111</v>
      </c>
      <c r="G787" t="s">
        <v>58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Log'!$E$2:$V$70,
    MATCH(1,
      ('Golf Log'!$A$2:$A$70=$A787)*
      ('Golf Log'!$B$2:$B$70=$B787)*
      ('Golf Log'!$C$2:$C$70=$C787),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Log'!$E$2:$V$70,
    MATCH(1,
      ('Putt Log'!$A$2:$A$70=$A787)*
      ('Putt Log'!$B$2:$B$70=$B787)*
      ('Putt Log'!$C$2:$C$70=$C787),
    0),
    MATCH($G787,'Putt Log'!$E$1:$V$1,0)
  ),
"")</f>
        <v>2</v>
      </c>
      <c r="P787" cm="1">
        <f t="array" ref="P787">IF(K787=3,"",
  IFERROR(
    INDEX('Fairway Log'!$E$2:$V$70,
      MATCH(1,
        ('Fairway Log'!$A$2:$A$70=$A787)*
        ('Fairway Log'!$B$2:$B$70=$B787)*
        ('Fairway Log'!$C$2:$C858=$C787),
      0),
      MATCH($G787,'Fairway Log'!$E$1:$V$1,0)
    ),
  "")
)</f>
        <v>1</v>
      </c>
      <c r="Q787" t="str" cm="1">
        <f t="array" ref="Q787">IFERROR(
  INDEX('GIR Log'!$E$2:$V$70,
    MATCH(1,
      ('GIR Log'!$A$2:$A$70=$A787)*
      ('GIR Log'!$B$2:$B$70=$B787)*
      ('GIR Log'!$C$2:$C$70=$C787),
    0),
    MATCH($G787,'GIR Log'!$E$1:$V$1,0)
  ),
"")</f>
        <v>←</v>
      </c>
    </row>
    <row r="788" spans="1:17" x14ac:dyDescent="0.25">
      <c r="A788" s="35" t="s">
        <v>127</v>
      </c>
      <c r="B788" s="2">
        <v>45765</v>
      </c>
      <c r="C788" s="35" t="s">
        <v>129</v>
      </c>
      <c r="D788" s="35" t="s">
        <v>129</v>
      </c>
      <c r="E788" s="35" t="s">
        <v>36</v>
      </c>
      <c r="F788">
        <v>111</v>
      </c>
      <c r="G788" t="s">
        <v>59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Log'!$E$2:$V$70,
    MATCH(1,
      ('Golf Log'!$A$2:$A$70=$A788)*
      ('Golf Log'!$B$2:$B$70=$B788)*
      ('Golf Log'!$C$2:$C$70=$C788),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Log'!$E$2:$V$70,
    MATCH(1,
      ('Putt Log'!$A$2:$A$70=$A788)*
      ('Putt Log'!$B$2:$B$70=$B788)*
      ('Putt Log'!$C$2:$C$70=$C788),
    0),
    MATCH($G788,'Putt Log'!$E$1:$V$1,0)
  ),
"")</f>
        <v>2</v>
      </c>
      <c r="P788" t="str" cm="1">
        <f t="array" ref="P788">IF(K788=3,"",
  IFERROR(
    INDEX('Fairway Log'!$E$2:$V$70,
      MATCH(1,
        ('Fairway Log'!$A$2:$A$70=$A788)*
        ('Fairway Log'!$B$2:$B$70=$B788)*
        ('Fairway Log'!$C$2:$C859=$C788),
      0),
      MATCH($G788,'Fairway Log'!$E$1:$V$1,0)
    ),
  "")
)</f>
        <v/>
      </c>
      <c r="Q788" t="str" cm="1">
        <f t="array" ref="Q788">IFERROR(
  INDEX('GIR Log'!$E$2:$V$70,
    MATCH(1,
      ('GIR Log'!$A$2:$A$70=$A788)*
      ('GIR Log'!$B$2:$B$70=$B788)*
      ('GIR Log'!$C$2:$C$70=$C788),
    0),
    MATCH($G788,'GIR Log'!$E$1:$V$1,0)
  ),
"")</f>
        <v>→</v>
      </c>
    </row>
    <row r="789" spans="1:17" x14ac:dyDescent="0.25">
      <c r="A789" s="35" t="s">
        <v>127</v>
      </c>
      <c r="B789" s="2">
        <v>45765</v>
      </c>
      <c r="C789" s="35" t="s">
        <v>129</v>
      </c>
      <c r="D789" s="35" t="s">
        <v>129</v>
      </c>
      <c r="E789" s="35" t="s">
        <v>36</v>
      </c>
      <c r="F789">
        <v>111</v>
      </c>
      <c r="G789" t="s">
        <v>60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Log'!$E$2:$V$70,
    MATCH(1,
      ('Golf Log'!$A$2:$A$70=$A789)*
      ('Golf Log'!$B$2:$B$70=$B789)*
      ('Golf Log'!$C$2:$C$70=$C789),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Log'!$E$2:$V$70,
    MATCH(1,
      ('Putt Log'!$A$2:$A$70=$A789)*
      ('Putt Log'!$B$2:$B$70=$B789)*
      ('Putt Log'!$C$2:$C$70=$C789),
    0),
    MATCH($G789,'Putt Log'!$E$1:$V$1,0)
  ),
"")</f>
        <v>2</v>
      </c>
      <c r="P789" t="str" cm="1">
        <f t="array" ref="P789">IF(K789=3,"",
  IFERROR(
    INDEX('Fairway Log'!$E$2:$V$70,
      MATCH(1,
        ('Fairway Log'!$A$2:$A$70=$A789)*
        ('Fairway Log'!$B$2:$B$70=$B789)*
        ('Fairway Log'!$C$2:$C860=$C789),
      0),
      MATCH($G789,'Fairway Log'!$E$1:$V$1,0)
    ),
  "")
)</f>
        <v>→</v>
      </c>
      <c r="Q789" t="str" cm="1">
        <f t="array" ref="Q789">IFERROR(
  INDEX('GIR Log'!$E$2:$V$70,
    MATCH(1,
      ('GIR Log'!$A$2:$A$70=$A789)*
      ('GIR Log'!$B$2:$B$70=$B789)*
      ('GIR Log'!$C$2:$C$70=$C789),
    0),
    MATCH($G789,'GIR Log'!$E$1:$V$1,0)
  ),
"")</f>
        <v>NC</v>
      </c>
    </row>
    <row r="790" spans="1:17" x14ac:dyDescent="0.25">
      <c r="A790" s="35" t="s">
        <v>127</v>
      </c>
      <c r="B790" s="2">
        <v>45765</v>
      </c>
      <c r="C790" s="35" t="s">
        <v>129</v>
      </c>
      <c r="D790" s="35" t="s">
        <v>129</v>
      </c>
      <c r="E790" s="35" t="s">
        <v>36</v>
      </c>
      <c r="F790">
        <v>111</v>
      </c>
      <c r="G790" t="s">
        <v>61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Log'!$E$2:$V$70,
    MATCH(1,
      ('Golf Log'!$A$2:$A$70=$A790)*
      ('Golf Log'!$B$2:$B$70=$B790)*
      ('Golf Log'!$C$2:$C$70=$C790),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Log'!$E$2:$V$70,
    MATCH(1,
      ('Putt Log'!$A$2:$A$70=$A790)*
      ('Putt Log'!$B$2:$B$70=$B790)*
      ('Putt Log'!$C$2:$C$70=$C790),
    0),
    MATCH($G790,'Putt Log'!$E$1:$V$1,0)
  ),
"")</f>
        <v>2</v>
      </c>
      <c r="P790" t="str" cm="1">
        <f t="array" ref="P790">IF(K790=3,"",
  IFERROR(
    INDEX('Fairway Log'!$E$2:$V$70,
      MATCH(1,
        ('Fairway Log'!$A$2:$A$70=$A790)*
        ('Fairway Log'!$B$2:$B$70=$B790)*
        ('Fairway Log'!$C$2:$C861=$C790),
      0),
      MATCH($G790,'Fairway Log'!$E$1:$V$1,0)
    ),
  "")
)</f>
        <v>←</v>
      </c>
      <c r="Q790" t="str" cm="1">
        <f t="array" ref="Q790">IFERROR(
  INDEX('GIR Log'!$E$2:$V$70,
    MATCH(1,
      ('GIR Log'!$A$2:$A$70=$A790)*
      ('GIR Log'!$B$2:$B$70=$B790)*
      ('GIR Log'!$C$2:$C$70=$C790),
    0),
    MATCH($G790,'GIR Log'!$E$1:$V$1,0)
  ),
"")</f>
        <v>←</v>
      </c>
    </row>
    <row r="791" spans="1:17" x14ac:dyDescent="0.25">
      <c r="A791" s="35" t="s">
        <v>127</v>
      </c>
      <c r="B791" s="2">
        <v>45765</v>
      </c>
      <c r="C791" s="35" t="s">
        <v>129</v>
      </c>
      <c r="D791" s="35" t="s">
        <v>129</v>
      </c>
      <c r="E791" s="35" t="s">
        <v>36</v>
      </c>
      <c r="F791">
        <v>111</v>
      </c>
      <c r="G791" t="s">
        <v>62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Log'!$E$2:$V$70,
    MATCH(1,
      ('Golf Log'!$A$2:$A$70=$A791)*
      ('Golf Log'!$B$2:$B$70=$B791)*
      ('Golf Log'!$C$2:$C$70=$C791),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Log'!$E$2:$V$70,
    MATCH(1,
      ('Putt Log'!$A$2:$A$70=$A791)*
      ('Putt Log'!$B$2:$B$70=$B791)*
      ('Putt Log'!$C$2:$C$70=$C791),
    0),
    MATCH($G791,'Putt Log'!$E$1:$V$1,0)
  ),
"")</f>
        <v>2</v>
      </c>
      <c r="P791" cm="1">
        <f t="array" ref="P791">IF(K791=3,"",
  IFERROR(
    INDEX('Fairway Log'!$E$2:$V$70,
      MATCH(1,
        ('Fairway Log'!$A$2:$A$70=$A791)*
        ('Fairway Log'!$B$2:$B$70=$B791)*
        ('Fairway Log'!$C$2:$C862=$C791),
      0),
      MATCH($G791,'Fairway Log'!$E$1:$V$1,0)
    ),
  "")
)</f>
        <v>1</v>
      </c>
      <c r="Q791" cm="1">
        <f t="array" ref="Q791">IFERROR(
  INDEX('GIR Log'!$E$2:$V$70,
    MATCH(1,
      ('GIR Log'!$A$2:$A$70=$A791)*
      ('GIR Log'!$B$2:$B$70=$B791)*
      ('GIR Log'!$C$2:$C$70=$C791),
    0),
    MATCH($G791,'GIR Log'!$E$1:$V$1,0)
  ),
"")</f>
        <v>1</v>
      </c>
    </row>
    <row r="792" spans="1:17" x14ac:dyDescent="0.25">
      <c r="A792" s="35" t="s">
        <v>127</v>
      </c>
      <c r="B792" s="2">
        <v>45765</v>
      </c>
      <c r="C792" s="35" t="s">
        <v>129</v>
      </c>
      <c r="D792" s="35" t="s">
        <v>129</v>
      </c>
      <c r="E792" s="35" t="s">
        <v>36</v>
      </c>
      <c r="F792">
        <v>111</v>
      </c>
      <c r="G792" t="s">
        <v>63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Log'!$E$2:$V$70,
    MATCH(1,
      ('Golf Log'!$A$2:$A$70=$A792)*
      ('Golf Log'!$B$2:$B$70=$B792)*
      ('Golf Log'!$C$2:$C$70=$C792),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Log'!$E$2:$V$70,
    MATCH(1,
      ('Putt Log'!$A$2:$A$70=$A792)*
      ('Putt Log'!$B$2:$B$70=$B792)*
      ('Putt Log'!$C$2:$C$70=$C792),
    0),
    MATCH($G792,'Putt Log'!$E$1:$V$1,0)
  ),
"")</f>
        <v>3</v>
      </c>
      <c r="P792" t="str" cm="1">
        <f t="array" ref="P792">IF(K792=3,"",
  IFERROR(
    INDEX('Fairway Log'!$E$2:$V$70,
      MATCH(1,
        ('Fairway Log'!$A$2:$A$70=$A792)*
        ('Fairway Log'!$B$2:$B$70=$B792)*
        ('Fairway Log'!$C$2:$C863=$C792),
      0),
      MATCH($G792,'Fairway Log'!$E$1:$V$1,0)
    ),
  "")
)</f>
        <v/>
      </c>
      <c r="Q792" t="str" cm="1">
        <f t="array" ref="Q792">IFERROR(
  INDEX('GIR Log'!$E$2:$V$70,
    MATCH(1,
      ('GIR Log'!$A$2:$A$70=$A792)*
      ('GIR Log'!$B$2:$B$70=$B792)*
      ('GIR Log'!$C$2:$C$70=$C792),
    0),
    MATCH($G792,'GIR Log'!$E$1:$V$1,0)
  ),
"")</f>
        <v>→</v>
      </c>
    </row>
    <row r="793" spans="1:17" x14ac:dyDescent="0.25">
      <c r="A793" s="35" t="s">
        <v>127</v>
      </c>
      <c r="B793" s="2">
        <v>45765</v>
      </c>
      <c r="C793" s="35" t="s">
        <v>129</v>
      </c>
      <c r="D793" s="35" t="s">
        <v>129</v>
      </c>
      <c r="E793" s="35" t="s">
        <v>36</v>
      </c>
      <c r="F793">
        <v>111</v>
      </c>
      <c r="G793" t="s">
        <v>64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Log'!$E$2:$V$70,
    MATCH(1,
      ('Golf Log'!$A$2:$A$70=$A793)*
      ('Golf Log'!$B$2:$B$70=$B793)*
      ('Golf Log'!$C$2:$C$70=$C793),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Log'!$E$2:$V$70,
    MATCH(1,
      ('Putt Log'!$A$2:$A$70=$A793)*
      ('Putt Log'!$B$2:$B$70=$B793)*
      ('Putt Log'!$C$2:$C$70=$C793),
    0),
    MATCH($G793,'Putt Log'!$E$1:$V$1,0)
  ),
"")</f>
        <v>2</v>
      </c>
      <c r="P793" cm="1">
        <f t="array" ref="P793">IF(K793=3,"",
  IFERROR(
    INDEX('Fairway Log'!$E$2:$V$70,
      MATCH(1,
        ('Fairway Log'!$A$2:$A$70=$A793)*
        ('Fairway Log'!$B$2:$B$70=$B793)*
        ('Fairway Log'!$C$2:$C864=$C793),
      0),
      MATCH($G793,'Fairway Log'!$E$1:$V$1,0)
    ),
  "")
)</f>
        <v>1</v>
      </c>
      <c r="Q793" t="str" cm="1">
        <f t="array" ref="Q793">IFERROR(
  INDEX('GIR Log'!$E$2:$V$70,
    MATCH(1,
      ('GIR Log'!$A$2:$A$70=$A793)*
      ('GIR Log'!$B$2:$B$70=$B793)*
      ('GIR Log'!$C$2:$C$70=$C793),
    0),
    MATCH($G793,'GIR Log'!$E$1:$V$1,0)
  ),
"")</f>
        <v>→</v>
      </c>
    </row>
    <row r="794" spans="1:17" x14ac:dyDescent="0.25">
      <c r="A794" s="43" t="s">
        <v>127</v>
      </c>
      <c r="B794" s="2">
        <v>45520</v>
      </c>
      <c r="C794" s="43" t="s">
        <v>46</v>
      </c>
      <c r="D794" t="s">
        <v>78</v>
      </c>
      <c r="E794" t="s">
        <v>36</v>
      </c>
      <c r="F794">
        <v>98</v>
      </c>
      <c r="G794" s="12" t="s">
        <v>47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Log'!$E$2:$V$70,
    MATCH(1,
      ('Golf Log'!$A$2:$A$70=$A794)*
      ('Golf Log'!$B$2:$B$70=$B794)*
      ('Golf Log'!$C$2:$C$70=$C794),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Log'!$E$2:$V$70,
    MATCH(1,
      ('Putt Log'!$A$2:$A$70=$A794)*
      ('Putt Log'!$B$2:$B$70=$B794)*
      ('Putt Log'!$C$2:$C$70=$C794),
    0),
    MATCH($G794,'Putt Log'!$E$1:$V$1,0)
  ),
"")</f>
        <v>2</v>
      </c>
      <c r="P794" t="str" cm="1">
        <f t="array" ref="P794">IF(K794=3,"",
  IFERROR(
    INDEX('Fairway Log'!$E$2:$V$70,
      MATCH(1,
        ('Fairway Log'!$A$2:$A$70=$A794)*
        ('Fairway Log'!$B$2:$B$70=$B794)*
        ('Fairway Log'!$C$2:$C865=$C794),
      0),
      MATCH($G794,'Fairway Log'!$E$1:$V$1,0)
    ),
  "")
)</f>
        <v>←</v>
      </c>
      <c r="Q794" t="str" cm="1">
        <f t="array" ref="Q794">IFERROR(
  INDEX('GIR Log'!$E$2:$V$70,
    MATCH(1,
      ('GIR Log'!$A$2:$A$70=$A794)*
      ('GIR Log'!$B$2:$B$70=$B794)*
      ('GIR Log'!$C$2:$C$70=$C794),
    0),
    MATCH($G794,'GIR Log'!$E$1:$V$1,0)
  ),
"")</f>
        <v>↓</v>
      </c>
    </row>
    <row r="795" spans="1:17" x14ac:dyDescent="0.25">
      <c r="A795" s="43" t="s">
        <v>127</v>
      </c>
      <c r="B795" s="2">
        <v>45520</v>
      </c>
      <c r="C795" s="43" t="s">
        <v>46</v>
      </c>
      <c r="D795" t="s">
        <v>78</v>
      </c>
      <c r="E795" t="s">
        <v>36</v>
      </c>
      <c r="F795">
        <v>98</v>
      </c>
      <c r="G795" s="12" t="s">
        <v>48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Log'!$E$2:$V$70,
    MATCH(1,
      ('Golf Log'!$A$2:$A$70=$A795)*
      ('Golf Log'!$B$2:$B$70=$B795)*
      ('Golf Log'!$C$2:$C$70=$C795),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Log'!$E$2:$V$70,
    MATCH(1,
      ('Putt Log'!$A$2:$A$70=$A795)*
      ('Putt Log'!$B$2:$B$70=$B795)*
      ('Putt Log'!$C$2:$C$70=$C795),
    0),
    MATCH($G795,'Putt Log'!$E$1:$V$1,0)
  ),
"")</f>
        <v>2</v>
      </c>
      <c r="P795" t="str" cm="1">
        <f t="array" ref="P795">IF(K795=3,"",
  IFERROR(
    INDEX('Fairway Log'!$E$2:$V$70,
      MATCH(1,
        ('Fairway Log'!$A$2:$A$70=$A795)*
        ('Fairway Log'!$B$2:$B$70=$B795)*
        ('Fairway Log'!$C$2:$C866=$C795),
      0),
      MATCH($G795,'Fairway Log'!$E$1:$V$1,0)
    ),
  "")
)</f>
        <v>←</v>
      </c>
      <c r="Q795" t="str" cm="1">
        <f t="array" ref="Q795">IFERROR(
  INDEX('GIR Log'!$E$2:$V$70,
    MATCH(1,
      ('GIR Log'!$A$2:$A$70=$A795)*
      ('GIR Log'!$B$2:$B$70=$B795)*
      ('GIR Log'!$C$2:$C$70=$C795),
    0),
    MATCH($G795,'GIR Log'!$E$1:$V$1,0)
  ),
"")</f>
        <v>↓</v>
      </c>
    </row>
    <row r="796" spans="1:17" x14ac:dyDescent="0.25">
      <c r="A796" s="43" t="s">
        <v>127</v>
      </c>
      <c r="B796" s="2">
        <v>45520</v>
      </c>
      <c r="C796" s="43" t="s">
        <v>46</v>
      </c>
      <c r="D796" t="s">
        <v>78</v>
      </c>
      <c r="E796" t="s">
        <v>36</v>
      </c>
      <c r="F796">
        <v>98</v>
      </c>
      <c r="G796" s="12" t="s">
        <v>49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Log'!$E$2:$V$70,
    MATCH(1,
      ('Golf Log'!$A$2:$A$70=$A796)*
      ('Golf Log'!$B$2:$B$70=$B796)*
      ('Golf Log'!$C$2:$C$70=$C796),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Log'!$E$2:$V$70,
    MATCH(1,
      ('Putt Log'!$A$2:$A$70=$A796)*
      ('Putt Log'!$B$2:$B$70=$B796)*
      ('Putt Log'!$C$2:$C$70=$C796),
    0),
    MATCH($G796,'Putt Log'!$E$1:$V$1,0)
  ),
"")</f>
        <v>2</v>
      </c>
      <c r="P796" cm="1">
        <f t="array" ref="P796">IF(K796=3,"",
  IFERROR(
    INDEX('Fairway Log'!$E$2:$V$70,
      MATCH(1,
        ('Fairway Log'!$A$2:$A$70=$A796)*
        ('Fairway Log'!$B$2:$B$70=$B796)*
        ('Fairway Log'!$C$2:$C867=$C796),
      0),
      MATCH($G796,'Fairway Log'!$E$1:$V$1,0)
    ),
  "")
)</f>
        <v>1</v>
      </c>
      <c r="Q796" cm="1">
        <f t="array" ref="Q796">IFERROR(
  INDEX('GIR Log'!$E$2:$V$70,
    MATCH(1,
      ('GIR Log'!$A$2:$A$70=$A796)*
      ('GIR Log'!$B$2:$B$70=$B796)*
      ('GIR Log'!$C$2:$C$70=$C796),
    0),
    MATCH($G796,'GIR Log'!$E$1:$V$1,0)
  ),
"")</f>
        <v>1</v>
      </c>
    </row>
    <row r="797" spans="1:17" x14ac:dyDescent="0.25">
      <c r="A797" s="43" t="s">
        <v>127</v>
      </c>
      <c r="B797" s="2">
        <v>45520</v>
      </c>
      <c r="C797" s="43" t="s">
        <v>46</v>
      </c>
      <c r="D797" t="s">
        <v>78</v>
      </c>
      <c r="E797" t="s">
        <v>36</v>
      </c>
      <c r="F797">
        <v>98</v>
      </c>
      <c r="G797" s="12" t="s">
        <v>50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Log'!$E$2:$V$70,
    MATCH(1,
      ('Golf Log'!$A$2:$A$70=$A797)*
      ('Golf Log'!$B$2:$B$70=$B797)*
      ('Golf Log'!$C$2:$C$70=$C797),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Log'!$E$2:$V$70,
    MATCH(1,
      ('Putt Log'!$A$2:$A$70=$A797)*
      ('Putt Log'!$B$2:$B$70=$B797)*
      ('Putt Log'!$C$2:$C$70=$C797),
    0),
    MATCH($G797,'Putt Log'!$E$1:$V$1,0)
  ),
"")</f>
        <v>2</v>
      </c>
      <c r="P797" t="str" cm="1">
        <f t="array" ref="P797">IF(K797=3,"",
  IFERROR(
    INDEX('Fairway Log'!$E$2:$V$70,
      MATCH(1,
        ('Fairway Log'!$A$2:$A$70=$A797)*
        ('Fairway Log'!$B$2:$B$70=$B797)*
        ('Fairway Log'!$C$2:$C868=$C797),
      0),
      MATCH($G797,'Fairway Log'!$E$1:$V$1,0)
    ),
  "")
)</f>
        <v/>
      </c>
      <c r="Q797" t="str" cm="1">
        <f t="array" ref="Q797">IFERROR(
  INDEX('GIR Log'!$E$2:$V$70,
    MATCH(1,
      ('GIR Log'!$A$2:$A$70=$A797)*
      ('GIR Log'!$B$2:$B$70=$B797)*
      ('GIR Log'!$C$2:$C$70=$C797),
    0),
    MATCH($G797,'GIR Log'!$E$1:$V$1,0)
  ),
"")</f>
        <v>↓</v>
      </c>
    </row>
    <row r="798" spans="1:17" x14ac:dyDescent="0.25">
      <c r="A798" s="43" t="s">
        <v>127</v>
      </c>
      <c r="B798" s="2">
        <v>45520</v>
      </c>
      <c r="C798" s="43" t="s">
        <v>46</v>
      </c>
      <c r="D798" t="s">
        <v>78</v>
      </c>
      <c r="E798" t="s">
        <v>36</v>
      </c>
      <c r="F798">
        <v>98</v>
      </c>
      <c r="G798" s="12" t="s">
        <v>51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Log'!$E$2:$V$70,
    MATCH(1,
      ('Golf Log'!$A$2:$A$70=$A798)*
      ('Golf Log'!$B$2:$B$70=$B798)*
      ('Golf Log'!$C$2:$C$70=$C798),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Log'!$E$2:$V$70,
    MATCH(1,
      ('Putt Log'!$A$2:$A$70=$A798)*
      ('Putt Log'!$B$2:$B$70=$B798)*
      ('Putt Log'!$C$2:$C$70=$C798),
    0),
    MATCH($G798,'Putt Log'!$E$1:$V$1,0)
  ),
"")</f>
        <v>1</v>
      </c>
      <c r="P798" cm="1">
        <f t="array" ref="P798">IF(K798=3,"",
  IFERROR(
    INDEX('Fairway Log'!$E$2:$V$70,
      MATCH(1,
        ('Fairway Log'!$A$2:$A$70=$A798)*
        ('Fairway Log'!$B$2:$B$70=$B798)*
        ('Fairway Log'!$C$2:$C869=$C798),
      0),
      MATCH($G798,'Fairway Log'!$E$1:$V$1,0)
    ),
  "")
)</f>
        <v>1</v>
      </c>
      <c r="Q798" t="str" cm="1">
        <f t="array" ref="Q798">IFERROR(
  INDEX('GIR Log'!$E$2:$V$70,
    MATCH(1,
      ('GIR Log'!$A$2:$A$70=$A798)*
      ('GIR Log'!$B$2:$B$70=$B798)*
      ('GIR Log'!$C$2:$C$70=$C798),
    0),
    MATCH($G798,'GIR Log'!$E$1:$V$1,0)
  ),
"")</f>
        <v>↑</v>
      </c>
    </row>
    <row r="799" spans="1:17" x14ac:dyDescent="0.25">
      <c r="A799" s="43" t="s">
        <v>127</v>
      </c>
      <c r="B799" s="2">
        <v>45520</v>
      </c>
      <c r="C799" s="43" t="s">
        <v>46</v>
      </c>
      <c r="D799" t="s">
        <v>78</v>
      </c>
      <c r="E799" t="s">
        <v>36</v>
      </c>
      <c r="F799">
        <v>98</v>
      </c>
      <c r="G799" s="12" t="s">
        <v>52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Log'!$E$2:$V$70,
    MATCH(1,
      ('Golf Log'!$A$2:$A$70=$A799)*
      ('Golf Log'!$B$2:$B$70=$B799)*
      ('Golf Log'!$C$2:$C$70=$C799),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Log'!$E$2:$V$70,
    MATCH(1,
      ('Putt Log'!$A$2:$A$70=$A799)*
      ('Putt Log'!$B$2:$B$70=$B799)*
      ('Putt Log'!$C$2:$C$70=$C799),
    0),
    MATCH($G799,'Putt Log'!$E$1:$V$1,0)
  ),
"")</f>
        <v>2</v>
      </c>
      <c r="P799" cm="1">
        <f t="array" ref="P799">IF(K799=3,"",
  IFERROR(
    INDEX('Fairway Log'!$E$2:$V$70,
      MATCH(1,
        ('Fairway Log'!$A$2:$A$70=$A799)*
        ('Fairway Log'!$B$2:$B$70=$B799)*
        ('Fairway Log'!$C$2:$C870=$C799),
      0),
      MATCH($G799,'Fairway Log'!$E$1:$V$1,0)
    ),
  "")
)</f>
        <v>1</v>
      </c>
      <c r="Q799" t="str" cm="1">
        <f t="array" ref="Q799">IFERROR(
  INDEX('GIR Log'!$E$2:$V$70,
    MATCH(1,
      ('GIR Log'!$A$2:$A$70=$A799)*
      ('GIR Log'!$B$2:$B$70=$B799)*
      ('GIR Log'!$C$2:$C$70=$C799),
    0),
    MATCH($G799,'GIR Log'!$E$1:$V$1,0)
  ),
"")</f>
        <v>←</v>
      </c>
    </row>
    <row r="800" spans="1:17" x14ac:dyDescent="0.25">
      <c r="A800" s="43" t="s">
        <v>127</v>
      </c>
      <c r="B800" s="2">
        <v>45520</v>
      </c>
      <c r="C800" s="43" t="s">
        <v>46</v>
      </c>
      <c r="D800" t="s">
        <v>78</v>
      </c>
      <c r="E800" t="s">
        <v>36</v>
      </c>
      <c r="F800">
        <v>98</v>
      </c>
      <c r="G800" s="12" t="s">
        <v>53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Log'!$E$2:$V$70,
    MATCH(1,
      ('Golf Log'!$A$2:$A$70=$A800)*
      ('Golf Log'!$B$2:$B$70=$B800)*
      ('Golf Log'!$C$2:$C$70=$C800),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Log'!$E$2:$V$70,
    MATCH(1,
      ('Putt Log'!$A$2:$A$70=$A800)*
      ('Putt Log'!$B$2:$B$70=$B800)*
      ('Putt Log'!$C$2:$C$70=$C800),
    0),
    MATCH($G800,'Putt Log'!$E$1:$V$1,0)
  ),
"")</f>
        <v>3</v>
      </c>
      <c r="P800" cm="1">
        <f t="array" ref="P800">IF(K800=3,"",
  IFERROR(
    INDEX('Fairway Log'!$E$2:$V$70,
      MATCH(1,
        ('Fairway Log'!$A$2:$A$70=$A800)*
        ('Fairway Log'!$B$2:$B$70=$B800)*
        ('Fairway Log'!$C$2:$C871=$C800),
      0),
      MATCH($G800,'Fairway Log'!$E$1:$V$1,0)
    ),
  "")
)</f>
        <v>1</v>
      </c>
      <c r="Q800" cm="1">
        <f t="array" ref="Q800">IFERROR(
  INDEX('GIR Log'!$E$2:$V$70,
    MATCH(1,
      ('GIR Log'!$A$2:$A$70=$A800)*
      ('GIR Log'!$B$2:$B$70=$B800)*
      ('GIR Log'!$C$2:$C$70=$C800),
    0),
    MATCH($G800,'GIR Log'!$E$1:$V$1,0)
  ),
"")</f>
        <v>1</v>
      </c>
    </row>
    <row r="801" spans="1:17" x14ac:dyDescent="0.25">
      <c r="A801" s="43" t="s">
        <v>127</v>
      </c>
      <c r="B801" s="2">
        <v>45520</v>
      </c>
      <c r="C801" s="43" t="s">
        <v>46</v>
      </c>
      <c r="D801" t="s">
        <v>78</v>
      </c>
      <c r="E801" t="s">
        <v>36</v>
      </c>
      <c r="F801">
        <v>98</v>
      </c>
      <c r="G801" s="12" t="s">
        <v>54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Log'!$E$2:$V$70,
    MATCH(1,
      ('Golf Log'!$A$2:$A$70=$A801)*
      ('Golf Log'!$B$2:$B$70=$B801)*
      ('Golf Log'!$C$2:$C$70=$C801),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Log'!$E$2:$V$70,
    MATCH(1,
      ('Putt Log'!$A$2:$A$70=$A801)*
      ('Putt Log'!$B$2:$B$70=$B801)*
      ('Putt Log'!$C$2:$C$70=$C801),
    0),
    MATCH($G801,'Putt Log'!$E$1:$V$1,0)
  ),
"")</f>
        <v>2</v>
      </c>
      <c r="P801" t="str" cm="1">
        <f t="array" ref="P801">IF(K801=3,"",
  IFERROR(
    INDEX('Fairway Log'!$E$2:$V$70,
      MATCH(1,
        ('Fairway Log'!$A$2:$A$70=$A801)*
        ('Fairway Log'!$B$2:$B$70=$B801)*
        ('Fairway Log'!$C$2:$C872=$C801),
      0),
      MATCH($G801,'Fairway Log'!$E$1:$V$1,0)
    ),
  "")
)</f>
        <v/>
      </c>
      <c r="Q801" t="str" cm="1">
        <f t="array" ref="Q801">IFERROR(
  INDEX('GIR Log'!$E$2:$V$70,
    MATCH(1,
      ('GIR Log'!$A$2:$A$70=$A801)*
      ('GIR Log'!$B$2:$B$70=$B801)*
      ('GIR Log'!$C$2:$C$70=$C801),
    0),
    MATCH($G801,'GIR Log'!$E$1:$V$1,0)
  ),
"")</f>
        <v>→</v>
      </c>
    </row>
    <row r="802" spans="1:17" x14ac:dyDescent="0.25">
      <c r="A802" s="43" t="s">
        <v>127</v>
      </c>
      <c r="B802" s="2">
        <v>45520</v>
      </c>
      <c r="C802" s="43" t="s">
        <v>46</v>
      </c>
      <c r="D802" t="s">
        <v>78</v>
      </c>
      <c r="E802" t="s">
        <v>36</v>
      </c>
      <c r="F802">
        <v>98</v>
      </c>
      <c r="G802" s="12" t="s">
        <v>55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Log'!$E$2:$V$70,
    MATCH(1,
      ('Golf Log'!$A$2:$A$70=$A802)*
      ('Golf Log'!$B$2:$B$70=$B802)*
      ('Golf Log'!$C$2:$C$70=$C802),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Log'!$E$2:$V$70,
    MATCH(1,
      ('Putt Log'!$A$2:$A$70=$A802)*
      ('Putt Log'!$B$2:$B$70=$B802)*
      ('Putt Log'!$C$2:$C$70=$C802),
    0),
    MATCH($G802,'Putt Log'!$E$1:$V$1,0)
  ),
"")</f>
        <v>2</v>
      </c>
      <c r="P802" t="str" cm="1">
        <f t="array" ref="P802">IF(K802=3,"",
  IFERROR(
    INDEX('Fairway Log'!$E$2:$V$70,
      MATCH(1,
        ('Fairway Log'!$A$2:$A$70=$A802)*
        ('Fairway Log'!$B$2:$B$70=$B802)*
        ('Fairway Log'!$C$2:$C873=$C802),
      0),
      MATCH($G802,'Fairway Log'!$E$1:$V$1,0)
    ),
  "")
)</f>
        <v>←</v>
      </c>
      <c r="Q802" t="str" cm="1">
        <f t="array" ref="Q802">IFERROR(
  INDEX('GIR Log'!$E$2:$V$70,
    MATCH(1,
      ('GIR Log'!$A$2:$A$70=$A802)*
      ('GIR Log'!$B$2:$B$70=$B802)*
      ('GIR Log'!$C$2:$C$70=$C802),
    0),
    MATCH($G802,'GIR Log'!$E$1:$V$1,0)
  ),
"")</f>
        <v>↓</v>
      </c>
    </row>
    <row r="803" spans="1:17" x14ac:dyDescent="0.25">
      <c r="A803" s="43" t="s">
        <v>127</v>
      </c>
      <c r="B803" s="2">
        <v>45520</v>
      </c>
      <c r="C803" s="43" t="s">
        <v>46</v>
      </c>
      <c r="D803" t="s">
        <v>78</v>
      </c>
      <c r="E803" t="s">
        <v>36</v>
      </c>
      <c r="F803">
        <v>98</v>
      </c>
      <c r="G803" s="12" t="s">
        <v>56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Log'!$E$2:$V$70,
    MATCH(1,
      ('Golf Log'!$A$2:$A$70=$A803)*
      ('Golf Log'!$B$2:$B$70=$B803)*
      ('Golf Log'!$C$2:$C$70=$C803),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Log'!$E$2:$V$70,
    MATCH(1,
      ('Putt Log'!$A$2:$A$70=$A803)*
      ('Putt Log'!$B$2:$B$70=$B803)*
      ('Putt Log'!$C$2:$C$70=$C803),
    0),
    MATCH($G803,'Putt Log'!$E$1:$V$1,0)
  ),
"")</f>
        <v>0</v>
      </c>
      <c r="P803" t="str" cm="1">
        <f t="array" ref="P803">IF(K803=3,"",
  IFERROR(
    INDEX('Fairway Log'!$E$2:$V$70,
      MATCH(1,
        ('Fairway Log'!$A$2:$A$70=$A803)*
        ('Fairway Log'!$B$2:$B$70=$B803)*
        ('Fairway Log'!$C$2:$C874=$C803),
      0),
      MATCH($G803,'Fairway Log'!$E$1:$V$1,0)
    ),
  "")
)</f>
        <v>←</v>
      </c>
      <c r="Q803" t="str" cm="1">
        <f t="array" ref="Q803">IFERROR(
  INDEX('GIR Log'!$E$2:$V$70,
    MATCH(1,
      ('GIR Log'!$A$2:$A$70=$A803)*
      ('GIR Log'!$B$2:$B$70=$B803)*
      ('GIR Log'!$C$2:$C$70=$C803),
    0),
    MATCH($G803,'GIR Log'!$E$1:$V$1,0)
  ),
"")</f>
        <v>↓</v>
      </c>
    </row>
    <row r="804" spans="1:17" x14ac:dyDescent="0.25">
      <c r="A804" s="43" t="s">
        <v>127</v>
      </c>
      <c r="B804" s="2">
        <v>45520</v>
      </c>
      <c r="C804" s="43" t="s">
        <v>46</v>
      </c>
      <c r="D804" t="s">
        <v>78</v>
      </c>
      <c r="E804" t="s">
        <v>36</v>
      </c>
      <c r="F804">
        <v>98</v>
      </c>
      <c r="G804" s="12" t="s">
        <v>57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Log'!$E$2:$V$70,
    MATCH(1,
      ('Golf Log'!$A$2:$A$70=$A804)*
      ('Golf Log'!$B$2:$B$70=$B804)*
      ('Golf Log'!$C$2:$C$70=$C804),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Log'!$E$2:$V$70,
    MATCH(1,
      ('Putt Log'!$A$2:$A$70=$A804)*
      ('Putt Log'!$B$2:$B$70=$B804)*
      ('Putt Log'!$C$2:$C$70=$C804),
    0),
    MATCH($G804,'Putt Log'!$E$1:$V$1,0)
  ),
"")</f>
        <v>3</v>
      </c>
      <c r="P804" t="str" cm="1">
        <f t="array" ref="P804">IF(K804=3,"",
  IFERROR(
    INDEX('Fairway Log'!$E$2:$V$70,
      MATCH(1,
        ('Fairway Log'!$A$2:$A$70=$A804)*
        ('Fairway Log'!$B$2:$B$70=$B804)*
        ('Fairway Log'!$C$2:$C875=$C804),
      0),
      MATCH($G804,'Fairway Log'!$E$1:$V$1,0)
    ),
  "")
)</f>
        <v>←</v>
      </c>
      <c r="Q804" cm="1">
        <f t="array" ref="Q804">IFERROR(
  INDEX('GIR Log'!$E$2:$V$70,
    MATCH(1,
      ('GIR Log'!$A$2:$A$70=$A804)*
      ('GIR Log'!$B$2:$B$70=$B804)*
      ('GIR Log'!$C$2:$C$70=$C804),
    0),
    MATCH($G804,'GIR Log'!$E$1:$V$1,0)
  ),
"")</f>
        <v>1</v>
      </c>
    </row>
    <row r="805" spans="1:17" x14ac:dyDescent="0.25">
      <c r="A805" s="43" t="s">
        <v>127</v>
      </c>
      <c r="B805" s="2">
        <v>45520</v>
      </c>
      <c r="C805" s="43" t="s">
        <v>46</v>
      </c>
      <c r="D805" t="s">
        <v>78</v>
      </c>
      <c r="E805" t="s">
        <v>36</v>
      </c>
      <c r="F805">
        <v>98</v>
      </c>
      <c r="G805" s="12" t="s">
        <v>58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Log'!$E$2:$V$70,
    MATCH(1,
      ('Golf Log'!$A$2:$A$70=$A805)*
      ('Golf Log'!$B$2:$B$70=$B805)*
      ('Golf Log'!$C$2:$C$70=$C805),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Log'!$E$2:$V$70,
    MATCH(1,
      ('Putt Log'!$A$2:$A$70=$A805)*
      ('Putt Log'!$B$2:$B$70=$B805)*
      ('Putt Log'!$C$2:$C$70=$C805),
    0),
    MATCH($G805,'Putt Log'!$E$1:$V$1,0)
  ),
"")</f>
        <v>3</v>
      </c>
      <c r="P805" cm="1">
        <f t="array" ref="P805">IF(K805=3,"",
  IFERROR(
    INDEX('Fairway Log'!$E$2:$V$70,
      MATCH(1,
        ('Fairway Log'!$A$2:$A$70=$A805)*
        ('Fairway Log'!$B$2:$B$70=$B805)*
        ('Fairway Log'!$C$2:$C876=$C805),
      0),
      MATCH($G805,'Fairway Log'!$E$1:$V$1,0)
    ),
  "")
)</f>
        <v>1</v>
      </c>
      <c r="Q805" t="str" cm="1">
        <f t="array" ref="Q805">IFERROR(
  INDEX('GIR Log'!$E$2:$V$70,
    MATCH(1,
      ('GIR Log'!$A$2:$A$70=$A805)*
      ('GIR Log'!$B$2:$B$70=$B805)*
      ('GIR Log'!$C$2:$C$70=$C805),
    0),
    MATCH($G805,'GIR Log'!$E$1:$V$1,0)
  ),
"")</f>
        <v>↓</v>
      </c>
    </row>
    <row r="806" spans="1:17" x14ac:dyDescent="0.25">
      <c r="A806" s="43" t="s">
        <v>127</v>
      </c>
      <c r="B806" s="2">
        <v>45520</v>
      </c>
      <c r="C806" s="43" t="s">
        <v>46</v>
      </c>
      <c r="D806" t="s">
        <v>78</v>
      </c>
      <c r="E806" t="s">
        <v>36</v>
      </c>
      <c r="F806">
        <v>98</v>
      </c>
      <c r="G806" s="12" t="s">
        <v>59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Log'!$E$2:$V$70,
    MATCH(1,
      ('Golf Log'!$A$2:$A$70=$A806)*
      ('Golf Log'!$B$2:$B$70=$B806)*
      ('Golf Log'!$C$2:$C$70=$C806),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Log'!$E$2:$V$70,
    MATCH(1,
      ('Putt Log'!$A$2:$A$70=$A806)*
      ('Putt Log'!$B$2:$B$70=$B806)*
      ('Putt Log'!$C$2:$C$70=$C806),
    0),
    MATCH($G806,'Putt Log'!$E$1:$V$1,0)
  ),
"")</f>
        <v>2</v>
      </c>
      <c r="P806" t="str" cm="1">
        <f t="array" ref="P806">IF(K806=3,"",
  IFERROR(
    INDEX('Fairway Log'!$E$2:$V$70,
      MATCH(1,
        ('Fairway Log'!$A$2:$A$70=$A806)*
        ('Fairway Log'!$B$2:$B$70=$B806)*
        ('Fairway Log'!$C$2:$C877=$C806),
      0),
      MATCH($G806,'Fairway Log'!$E$1:$V$1,0)
    ),
  "")
)</f>
        <v/>
      </c>
      <c r="Q806" cm="1">
        <f t="array" ref="Q806">IFERROR(
  INDEX('GIR Log'!$E$2:$V$70,
    MATCH(1,
      ('GIR Log'!$A$2:$A$70=$A806)*
      ('GIR Log'!$B$2:$B$70=$B806)*
      ('GIR Log'!$C$2:$C$70=$C806),
    0),
    MATCH($G806,'GIR Log'!$E$1:$V$1,0)
  ),
"")</f>
        <v>1</v>
      </c>
    </row>
    <row r="807" spans="1:17" x14ac:dyDescent="0.25">
      <c r="A807" s="43" t="s">
        <v>127</v>
      </c>
      <c r="B807" s="2">
        <v>45520</v>
      </c>
      <c r="C807" s="43" t="s">
        <v>46</v>
      </c>
      <c r="D807" t="s">
        <v>78</v>
      </c>
      <c r="E807" t="s">
        <v>36</v>
      </c>
      <c r="F807">
        <v>98</v>
      </c>
      <c r="G807" s="12" t="s">
        <v>60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Log'!$E$2:$V$70,
    MATCH(1,
      ('Golf Log'!$A$2:$A$70=$A807)*
      ('Golf Log'!$B$2:$B$70=$B807)*
      ('Golf Log'!$C$2:$C$70=$C807),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Log'!$E$2:$V$70,
    MATCH(1,
      ('Putt Log'!$A$2:$A$70=$A807)*
      ('Putt Log'!$B$2:$B$70=$B807)*
      ('Putt Log'!$C$2:$C$70=$C807),
    0),
    MATCH($G807,'Putt Log'!$E$1:$V$1,0)
  ),
"")</f>
        <v>1</v>
      </c>
      <c r="P807" cm="1">
        <f t="array" ref="P807">IF(K807=3,"",
  IFERROR(
    INDEX('Fairway Log'!$E$2:$V$70,
      MATCH(1,
        ('Fairway Log'!$A$2:$A$70=$A807)*
        ('Fairway Log'!$B$2:$B$70=$B807)*
        ('Fairway Log'!$C$2:$C878=$C807),
      0),
      MATCH($G807,'Fairway Log'!$E$1:$V$1,0)
    ),
  "")
)</f>
        <v>1</v>
      </c>
      <c r="Q807" t="str" cm="1">
        <f t="array" ref="Q807">IFERROR(
  INDEX('GIR Log'!$E$2:$V$70,
    MATCH(1,
      ('GIR Log'!$A$2:$A$70=$A807)*
      ('GIR Log'!$B$2:$B$70=$B807)*
      ('GIR Log'!$C$2:$C$70=$C807),
    0),
    MATCH($G807,'GIR Log'!$E$1:$V$1,0)
  ),
"")</f>
        <v>↓</v>
      </c>
    </row>
    <row r="808" spans="1:17" x14ac:dyDescent="0.25">
      <c r="A808" s="43" t="s">
        <v>127</v>
      </c>
      <c r="B808" s="2">
        <v>45520</v>
      </c>
      <c r="C808" s="43" t="s">
        <v>46</v>
      </c>
      <c r="D808" t="s">
        <v>78</v>
      </c>
      <c r="E808" t="s">
        <v>36</v>
      </c>
      <c r="F808">
        <v>98</v>
      </c>
      <c r="G808" s="12" t="s">
        <v>61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Log'!$E$2:$V$70,
    MATCH(1,
      ('Golf Log'!$A$2:$A$70=$A808)*
      ('Golf Log'!$B$2:$B$70=$B808)*
      ('Golf Log'!$C$2:$C$70=$C808),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Log'!$E$2:$V$70,
    MATCH(1,
      ('Putt Log'!$A$2:$A$70=$A808)*
      ('Putt Log'!$B$2:$B$70=$B808)*
      ('Putt Log'!$C$2:$C$70=$C808),
    0),
    MATCH($G808,'Putt Log'!$E$1:$V$1,0)
  ),
"")</f>
        <v>3</v>
      </c>
      <c r="P808" t="str" cm="1">
        <f t="array" ref="P808">IF(K808=3,"",
  IFERROR(
    INDEX('Fairway Log'!$E$2:$V$70,
      MATCH(1,
        ('Fairway Log'!$A$2:$A$70=$A808)*
        ('Fairway Log'!$B$2:$B$70=$B808)*
        ('Fairway Log'!$C$2:$C879=$C808),
      0),
      MATCH($G808,'Fairway Log'!$E$1:$V$1,0)
    ),
  "")
)</f>
        <v>←</v>
      </c>
      <c r="Q808" t="str" cm="1">
        <f t="array" ref="Q808">IFERROR(
  INDEX('GIR Log'!$E$2:$V$70,
    MATCH(1,
      ('GIR Log'!$A$2:$A$70=$A808)*
      ('GIR Log'!$B$2:$B$70=$B808)*
      ('GIR Log'!$C$2:$C$70=$C808),
    0),
    MATCH($G808,'GIR Log'!$E$1:$V$1,0)
  ),
"")</f>
        <v>↓</v>
      </c>
    </row>
    <row r="809" spans="1:17" x14ac:dyDescent="0.25">
      <c r="A809" s="43" t="s">
        <v>127</v>
      </c>
      <c r="B809" s="2">
        <v>45520</v>
      </c>
      <c r="C809" s="43" t="s">
        <v>46</v>
      </c>
      <c r="D809" t="s">
        <v>78</v>
      </c>
      <c r="E809" t="s">
        <v>36</v>
      </c>
      <c r="F809">
        <v>98</v>
      </c>
      <c r="G809" s="12" t="s">
        <v>62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Log'!$E$2:$V$70,
    MATCH(1,
      ('Golf Log'!$A$2:$A$70=$A809)*
      ('Golf Log'!$B$2:$B$70=$B809)*
      ('Golf Log'!$C$2:$C$70=$C809),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Log'!$E$2:$V$70,
    MATCH(1,
      ('Putt Log'!$A$2:$A$70=$A809)*
      ('Putt Log'!$B$2:$B$70=$B809)*
      ('Putt Log'!$C$2:$C$70=$C809),
    0),
    MATCH($G809,'Putt Log'!$E$1:$V$1,0)
  ),
"")</f>
        <v>2</v>
      </c>
      <c r="P809" t="str" cm="1">
        <f t="array" ref="P809">IF(K809=3,"",
  IFERROR(
    INDEX('Fairway Log'!$E$2:$V$70,
      MATCH(1,
        ('Fairway Log'!$A$2:$A$70=$A809)*
        ('Fairway Log'!$B$2:$B$70=$B809)*
        ('Fairway Log'!$C$2:$C880=$C809),
      0),
      MATCH($G809,'Fairway Log'!$E$1:$V$1,0)
    ),
  "")
)</f>
        <v>→</v>
      </c>
      <c r="Q809" t="str" cm="1">
        <f t="array" ref="Q809">IFERROR(
  INDEX('GIR Log'!$E$2:$V$70,
    MATCH(1,
      ('GIR Log'!$A$2:$A$70=$A809)*
      ('GIR Log'!$B$2:$B$70=$B809)*
      ('GIR Log'!$C$2:$C$70=$C809),
    0),
    MATCH($G809,'GIR Log'!$E$1:$V$1,0)
  ),
"")</f>
        <v>↓</v>
      </c>
    </row>
    <row r="810" spans="1:17" x14ac:dyDescent="0.25">
      <c r="A810" s="43" t="s">
        <v>127</v>
      </c>
      <c r="B810" s="2">
        <v>45520</v>
      </c>
      <c r="C810" s="43" t="s">
        <v>46</v>
      </c>
      <c r="D810" t="s">
        <v>78</v>
      </c>
      <c r="E810" t="s">
        <v>36</v>
      </c>
      <c r="F810">
        <v>98</v>
      </c>
      <c r="G810" s="12" t="s">
        <v>63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Log'!$E$2:$V$70,
    MATCH(1,
      ('Golf Log'!$A$2:$A$70=$A810)*
      ('Golf Log'!$B$2:$B$70=$B810)*
      ('Golf Log'!$C$2:$C$70=$C810),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Log'!$E$2:$V$70,
    MATCH(1,
      ('Putt Log'!$A$2:$A$70=$A810)*
      ('Putt Log'!$B$2:$B$70=$B810)*
      ('Putt Log'!$C$2:$C$70=$C810),
    0),
    MATCH($G810,'Putt Log'!$E$1:$V$1,0)
  ),
"")</f>
        <v>2</v>
      </c>
      <c r="P810" t="str" cm="1">
        <f t="array" ref="P810">IF(K810=3,"",
  IFERROR(
    INDEX('Fairway Log'!$E$2:$V$70,
      MATCH(1,
        ('Fairway Log'!$A$2:$A$70=$A810)*
        ('Fairway Log'!$B$2:$B$70=$B810)*
        ('Fairway Log'!$C$2:$C881=$C810),
      0),
      MATCH($G810,'Fairway Log'!$E$1:$V$1,0)
    ),
  "")
)</f>
        <v/>
      </c>
      <c r="Q810" t="str" cm="1">
        <f t="array" ref="Q810">IFERROR(
  INDEX('GIR Log'!$E$2:$V$70,
    MATCH(1,
      ('GIR Log'!$A$2:$A$70=$A810)*
      ('GIR Log'!$B$2:$B$70=$B810)*
      ('GIR Log'!$C$2:$C$70=$C810),
    0),
    MATCH($G810,'GIR Log'!$E$1:$V$1,0)
  ),
"")</f>
        <v>↓</v>
      </c>
    </row>
    <row r="811" spans="1:17" x14ac:dyDescent="0.25">
      <c r="A811" s="43" t="s">
        <v>127</v>
      </c>
      <c r="B811" s="2">
        <v>45520</v>
      </c>
      <c r="C811" s="43" t="s">
        <v>46</v>
      </c>
      <c r="D811" t="s">
        <v>78</v>
      </c>
      <c r="E811" t="s">
        <v>36</v>
      </c>
      <c r="F811">
        <v>98</v>
      </c>
      <c r="G811" s="12" t="s">
        <v>64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Log'!$E$2:$V$70,
    MATCH(1,
      ('Golf Log'!$A$2:$A$70=$A811)*
      ('Golf Log'!$B$2:$B$70=$B811)*
      ('Golf Log'!$C$2:$C$70=$C811),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Log'!$E$2:$V$70,
    MATCH(1,
      ('Putt Log'!$A$2:$A$70=$A811)*
      ('Putt Log'!$B$2:$B$70=$B811)*
      ('Putt Log'!$C$2:$C$70=$C811),
    0),
    MATCH($G811,'Putt Log'!$E$1:$V$1,0)
  ),
"")</f>
        <v>2</v>
      </c>
      <c r="P811" cm="1">
        <f t="array" ref="P811">IF(K811=3,"",
  IFERROR(
    INDEX('Fairway Log'!$E$2:$V$70,
      MATCH(1,
        ('Fairway Log'!$A$2:$A$70=$A811)*
        ('Fairway Log'!$B$2:$B$70=$B811)*
        ('Fairway Log'!$C$2:$C882=$C811),
      0),
      MATCH($G811,'Fairway Log'!$E$1:$V$1,0)
    ),
  "")
)</f>
        <v>1</v>
      </c>
      <c r="Q811" t="str" cm="1">
        <f t="array" ref="Q811">IFERROR(
  INDEX('GIR Log'!$E$2:$V$70,
    MATCH(1,
      ('GIR Log'!$A$2:$A$70=$A811)*
      ('GIR Log'!$B$2:$B$70=$B811)*
      ('GIR Log'!$C$2:$C$70=$C811),
    0),
    MATCH($G811,'GIR Log'!$E$1:$V$1,0)
  ),
"")</f>
        <v>↓</v>
      </c>
    </row>
    <row r="812" spans="1:17" x14ac:dyDescent="0.25">
      <c r="A812" s="43" t="s">
        <v>127</v>
      </c>
      <c r="B812" s="2">
        <v>45492</v>
      </c>
      <c r="C812" s="43" t="s">
        <v>6</v>
      </c>
      <c r="D812" s="43" t="s">
        <v>75</v>
      </c>
      <c r="E812" s="43" t="s">
        <v>34</v>
      </c>
      <c r="F812">
        <v>104</v>
      </c>
      <c r="G812" t="s">
        <v>47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Log'!$E$2:$V$70,
    MATCH(1,
      ('Golf Log'!$A$2:$A$70=$A812)*
      ('Golf Log'!$B$2:$B$70=$B812)*
      ('Golf Log'!$C$2:$C$70=$C812),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Log'!$E$2:$V$70,
    MATCH(1,
      ('Putt Log'!$A$2:$A$70=$A812)*
      ('Putt Log'!$B$2:$B$70=$B812)*
      ('Putt Log'!$C$2:$C$70=$C812),
    0),
    MATCH($G812,'Putt Log'!$E$1:$V$1,0)
  ),
"")</f>
        <v>2</v>
      </c>
      <c r="P812" cm="1">
        <f t="array" ref="P812">IF(K812=3,"",
  IFERROR(
    INDEX('Fairway Log'!$E$2:$V$70,
      MATCH(1,
        ('Fairway Log'!$A$2:$A$70=$A812)*
        ('Fairway Log'!$B$2:$B$70=$B812)*
        ('Fairway Log'!$C$2:$C883=$C812),
      0),
      MATCH($G812,'Fairway Log'!$E$1:$V$1,0)
    ),
  "")
)</f>
        <v>1</v>
      </c>
      <c r="Q812" t="str" cm="1">
        <f t="array" ref="Q812">IFERROR(
  INDEX('GIR Log'!$E$2:$V$70,
    MATCH(1,
      ('GIR Log'!$A$2:$A$70=$A812)*
      ('GIR Log'!$B$2:$B$70=$B812)*
      ('GIR Log'!$C$2:$C$70=$C812),
    0),
    MATCH($G812,'GIR Log'!$E$1:$V$1,0)
  ),
"")</f>
        <v>↑</v>
      </c>
    </row>
    <row r="813" spans="1:17" x14ac:dyDescent="0.25">
      <c r="A813" s="43" t="s">
        <v>127</v>
      </c>
      <c r="B813" s="2">
        <v>45492</v>
      </c>
      <c r="C813" s="43" t="s">
        <v>6</v>
      </c>
      <c r="D813" s="43" t="s">
        <v>75</v>
      </c>
      <c r="E813" s="43" t="s">
        <v>34</v>
      </c>
      <c r="F813">
        <v>104</v>
      </c>
      <c r="G813" t="s">
        <v>48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Log'!$E$2:$V$70,
    MATCH(1,
      ('Golf Log'!$A$2:$A$70=$A813)*
      ('Golf Log'!$B$2:$B$70=$B813)*
      ('Golf Log'!$C$2:$C$70=$C813),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Log'!$E$2:$V$70,
    MATCH(1,
      ('Putt Log'!$A$2:$A$70=$A813)*
      ('Putt Log'!$B$2:$B$70=$B813)*
      ('Putt Log'!$C$2:$C$70=$C813),
    0),
    MATCH($G813,'Putt Log'!$E$1:$V$1,0)
  ),
"")</f>
        <v>2</v>
      </c>
      <c r="P813" t="str" cm="1">
        <f t="array" ref="P813">IF(K813=3,"",
  IFERROR(
    INDEX('Fairway Log'!$E$2:$V$70,
      MATCH(1,
        ('Fairway Log'!$A$2:$A$70=$A813)*
        ('Fairway Log'!$B$2:$B$70=$B813)*
        ('Fairway Log'!$C$2:$C884=$C813),
      0),
      MATCH($G813,'Fairway Log'!$E$1:$V$1,0)
    ),
  "")
)</f>
        <v>↓</v>
      </c>
      <c r="Q813" t="str" cm="1">
        <f t="array" ref="Q813">IFERROR(
  INDEX('GIR Log'!$E$2:$V$70,
    MATCH(1,
      ('GIR Log'!$A$2:$A$70=$A813)*
      ('GIR Log'!$B$2:$B$70=$B813)*
      ('GIR Log'!$C$2:$C$70=$C813),
    0),
    MATCH($G813,'GIR Log'!$E$1:$V$1,0)
  ),
"")</f>
        <v>→</v>
      </c>
    </row>
    <row r="814" spans="1:17" x14ac:dyDescent="0.25">
      <c r="A814" s="43" t="s">
        <v>127</v>
      </c>
      <c r="B814" s="2">
        <v>45492</v>
      </c>
      <c r="C814" s="43" t="s">
        <v>6</v>
      </c>
      <c r="D814" s="43" t="s">
        <v>75</v>
      </c>
      <c r="E814" s="43" t="s">
        <v>34</v>
      </c>
      <c r="F814">
        <v>104</v>
      </c>
      <c r="G814" t="s">
        <v>49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Log'!$E$2:$V$70,
    MATCH(1,
      ('Golf Log'!$A$2:$A$70=$A814)*
      ('Golf Log'!$B$2:$B$70=$B814)*
      ('Golf Log'!$C$2:$C$70=$C814),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Log'!$E$2:$V$70,
    MATCH(1,
      ('Putt Log'!$A$2:$A$70=$A814)*
      ('Putt Log'!$B$2:$B$70=$B814)*
      ('Putt Log'!$C$2:$C$70=$C814),
    0),
    MATCH($G814,'Putt Log'!$E$1:$V$1,0)
  ),
"")</f>
        <v>3</v>
      </c>
      <c r="P814" t="str" cm="1">
        <f t="array" ref="P814">IF(K814=3,"",
  IFERROR(
    INDEX('Fairway Log'!$E$2:$V$70,
      MATCH(1,
        ('Fairway Log'!$A$2:$A$70=$A814)*
        ('Fairway Log'!$B$2:$B$70=$B814)*
        ('Fairway Log'!$C$2:$C885=$C814),
      0),
      MATCH($G814,'Fairway Log'!$E$1:$V$1,0)
    ),
  "")
)</f>
        <v/>
      </c>
      <c r="Q814" t="str" cm="1">
        <f t="array" ref="Q814">IFERROR(
  INDEX('GIR Log'!$E$2:$V$70,
    MATCH(1,
      ('GIR Log'!$A$2:$A$70=$A814)*
      ('GIR Log'!$B$2:$B$70=$B814)*
      ('GIR Log'!$C$2:$C$70=$C814),
    0),
    MATCH($G814,'GIR Log'!$E$1:$V$1,0)
  ),
"")</f>
        <v>→</v>
      </c>
    </row>
    <row r="815" spans="1:17" x14ac:dyDescent="0.25">
      <c r="A815" s="43" t="s">
        <v>127</v>
      </c>
      <c r="B815" s="2">
        <v>45492</v>
      </c>
      <c r="C815" s="43" t="s">
        <v>6</v>
      </c>
      <c r="D815" s="43" t="s">
        <v>75</v>
      </c>
      <c r="E815" s="43" t="s">
        <v>34</v>
      </c>
      <c r="F815">
        <v>104</v>
      </c>
      <c r="G815" t="s">
        <v>50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Log'!$E$2:$V$70,
    MATCH(1,
      ('Golf Log'!$A$2:$A$70=$A815)*
      ('Golf Log'!$B$2:$B$70=$B815)*
      ('Golf Log'!$C$2:$C$70=$C815),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Log'!$E$2:$V$70,
    MATCH(1,
      ('Putt Log'!$A$2:$A$70=$A815)*
      ('Putt Log'!$B$2:$B$70=$B815)*
      ('Putt Log'!$C$2:$C$70=$C815),
    0),
    MATCH($G815,'Putt Log'!$E$1:$V$1,0)
  ),
"")</f>
        <v>2</v>
      </c>
      <c r="P815" t="str" cm="1">
        <f t="array" ref="P815">IF(K815=3,"",
  IFERROR(
    INDEX('Fairway Log'!$E$2:$V$70,
      MATCH(1,
        ('Fairway Log'!$A$2:$A$70=$A815)*
        ('Fairway Log'!$B$2:$B$70=$B815)*
        ('Fairway Log'!$C$2:$C886=$C815),
      0),
      MATCH($G815,'Fairway Log'!$E$1:$V$1,0)
    ),
  "")
)</f>
        <v>→</v>
      </c>
      <c r="Q815" t="str" cm="1">
        <f t="array" ref="Q815">IFERROR(
  INDEX('GIR Log'!$E$2:$V$70,
    MATCH(1,
      ('GIR Log'!$A$2:$A$70=$A815)*
      ('GIR Log'!$B$2:$B$70=$B815)*
      ('GIR Log'!$C$2:$C$70=$C815),
    0),
    MATCH($G815,'GIR Log'!$E$1:$V$1,0)
  ),
"")</f>
        <v>↓</v>
      </c>
    </row>
    <row r="816" spans="1:17" x14ac:dyDescent="0.25">
      <c r="A816" s="43" t="s">
        <v>127</v>
      </c>
      <c r="B816" s="2">
        <v>45492</v>
      </c>
      <c r="C816" s="43" t="s">
        <v>6</v>
      </c>
      <c r="D816" s="43" t="s">
        <v>75</v>
      </c>
      <c r="E816" s="43" t="s">
        <v>34</v>
      </c>
      <c r="F816">
        <v>104</v>
      </c>
      <c r="G816" t="s">
        <v>51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Log'!$E$2:$V$70,
    MATCH(1,
      ('Golf Log'!$A$2:$A$70=$A816)*
      ('Golf Log'!$B$2:$B$70=$B816)*
      ('Golf Log'!$C$2:$C$70=$C816),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Log'!$E$2:$V$70,
    MATCH(1,
      ('Putt Log'!$A$2:$A$70=$A816)*
      ('Putt Log'!$B$2:$B$70=$B816)*
      ('Putt Log'!$C$2:$C$70=$C816),
    0),
    MATCH($G816,'Putt Log'!$E$1:$V$1,0)
  ),
"")</f>
        <v>2</v>
      </c>
      <c r="P816" t="str" cm="1">
        <f t="array" ref="P816">IF(K816=3,"",
  IFERROR(
    INDEX('Fairway Log'!$E$2:$V$70,
      MATCH(1,
        ('Fairway Log'!$A$2:$A$70=$A816)*
        ('Fairway Log'!$B$2:$B$70=$B816)*
        ('Fairway Log'!$C$2:$C887=$C816),
      0),
      MATCH($G816,'Fairway Log'!$E$1:$V$1,0)
    ),
  "")
)</f>
        <v/>
      </c>
      <c r="Q816" t="str" cm="1">
        <f t="array" ref="Q816">IFERROR(
  INDEX('GIR Log'!$E$2:$V$70,
    MATCH(1,
      ('GIR Log'!$A$2:$A$70=$A816)*
      ('GIR Log'!$B$2:$B$70=$B816)*
      ('GIR Log'!$C$2:$C$70=$C816),
    0),
    MATCH($G816,'GIR Log'!$E$1:$V$1,0)
  ),
"")</f>
        <v>→</v>
      </c>
    </row>
    <row r="817" spans="1:17" x14ac:dyDescent="0.25">
      <c r="A817" s="43" t="s">
        <v>127</v>
      </c>
      <c r="B817" s="2">
        <v>45492</v>
      </c>
      <c r="C817" s="43" t="s">
        <v>6</v>
      </c>
      <c r="D817" s="43" t="s">
        <v>75</v>
      </c>
      <c r="E817" s="43" t="s">
        <v>34</v>
      </c>
      <c r="F817">
        <v>104</v>
      </c>
      <c r="G817" t="s">
        <v>52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Log'!$E$2:$V$70,
    MATCH(1,
      ('Golf Log'!$A$2:$A$70=$A817)*
      ('Golf Log'!$B$2:$B$70=$B817)*
      ('Golf Log'!$C$2:$C$70=$C817),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Log'!$E$2:$V$70,
    MATCH(1,
      ('Putt Log'!$A$2:$A$70=$A817)*
      ('Putt Log'!$B$2:$B$70=$B817)*
      ('Putt Log'!$C$2:$C$70=$C817),
    0),
    MATCH($G817,'Putt Log'!$E$1:$V$1,0)
  ),
"")</f>
        <v>2</v>
      </c>
      <c r="P817" cm="1">
        <f t="array" ref="P817">IF(K817=3,"",
  IFERROR(
    INDEX('Fairway Log'!$E$2:$V$70,
      MATCH(1,
        ('Fairway Log'!$A$2:$A$70=$A817)*
        ('Fairway Log'!$B$2:$B$70=$B817)*
        ('Fairway Log'!$C$2:$C888=$C817),
      0),
      MATCH($G817,'Fairway Log'!$E$1:$V$1,0)
    ),
  "")
)</f>
        <v>1</v>
      </c>
      <c r="Q817" t="str" cm="1">
        <f t="array" ref="Q817">IFERROR(
  INDEX('GIR Log'!$E$2:$V$70,
    MATCH(1,
      ('GIR Log'!$A$2:$A$70=$A817)*
      ('GIR Log'!$B$2:$B$70=$B817)*
      ('GIR Log'!$C$2:$C$70=$C817),
    0),
    MATCH($G817,'GIR Log'!$E$1:$V$1,0)
  ),
"")</f>
        <v>↓</v>
      </c>
    </row>
    <row r="818" spans="1:17" x14ac:dyDescent="0.25">
      <c r="A818" s="43" t="s">
        <v>127</v>
      </c>
      <c r="B818" s="2">
        <v>45492</v>
      </c>
      <c r="C818" s="43" t="s">
        <v>6</v>
      </c>
      <c r="D818" s="43" t="s">
        <v>75</v>
      </c>
      <c r="E818" s="43" t="s">
        <v>34</v>
      </c>
      <c r="F818">
        <v>104</v>
      </c>
      <c r="G818" t="s">
        <v>53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Log'!$E$2:$V$70,
    MATCH(1,
      ('Golf Log'!$A$2:$A$70=$A818)*
      ('Golf Log'!$B$2:$B$70=$B818)*
      ('Golf Log'!$C$2:$C$70=$C818),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Log'!$E$2:$V$70,
    MATCH(1,
      ('Putt Log'!$A$2:$A$70=$A818)*
      ('Putt Log'!$B$2:$B$70=$B818)*
      ('Putt Log'!$C$2:$C$70=$C818),
    0),
    MATCH($G818,'Putt Log'!$E$1:$V$1,0)
  ),
"")</f>
        <v>3</v>
      </c>
      <c r="P818" t="str" cm="1">
        <f t="array" ref="P818">IF(K818=3,"",
  IFERROR(
    INDEX('Fairway Log'!$E$2:$V$70,
      MATCH(1,
        ('Fairway Log'!$A$2:$A$70=$A818)*
        ('Fairway Log'!$B$2:$B$70=$B818)*
        ('Fairway Log'!$C$2:$C889=$C818),
      0),
      MATCH($G818,'Fairway Log'!$E$1:$V$1,0)
    ),
  "")
)</f>
        <v>→</v>
      </c>
      <c r="Q818" t="str" cm="1">
        <f t="array" ref="Q818">IFERROR(
  INDEX('GIR Log'!$E$2:$V$70,
    MATCH(1,
      ('GIR Log'!$A$2:$A$70=$A818)*
      ('GIR Log'!$B$2:$B$70=$B818)*
      ('GIR Log'!$C$2:$C$70=$C818),
    0),
    MATCH($G818,'GIR Log'!$E$1:$V$1,0)
  ),
"")</f>
        <v>↓</v>
      </c>
    </row>
    <row r="819" spans="1:17" x14ac:dyDescent="0.25">
      <c r="A819" s="43" t="s">
        <v>127</v>
      </c>
      <c r="B819" s="2">
        <v>45492</v>
      </c>
      <c r="C819" s="43" t="s">
        <v>6</v>
      </c>
      <c r="D819" s="43" t="s">
        <v>75</v>
      </c>
      <c r="E819" s="43" t="s">
        <v>34</v>
      </c>
      <c r="F819">
        <v>104</v>
      </c>
      <c r="G819" t="s">
        <v>54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Log'!$E$2:$V$70,
    MATCH(1,
      ('Golf Log'!$A$2:$A$70=$A819)*
      ('Golf Log'!$B$2:$B$70=$B819)*
      ('Golf Log'!$C$2:$C$70=$C819),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Log'!$E$2:$V$70,
    MATCH(1,
      ('Putt Log'!$A$2:$A$70=$A819)*
      ('Putt Log'!$B$2:$B$70=$B819)*
      ('Putt Log'!$C$2:$C$70=$C819),
    0),
    MATCH($G819,'Putt Log'!$E$1:$V$1,0)
  ),
"")</f>
        <v>2</v>
      </c>
      <c r="P819" t="str" cm="1">
        <f t="array" ref="P819">IF(K819=3,"",
  IFERROR(
    INDEX('Fairway Log'!$E$2:$V$70,
      MATCH(1,
        ('Fairway Log'!$A$2:$A$70=$A819)*
        ('Fairway Log'!$B$2:$B$70=$B819)*
        ('Fairway Log'!$C$2:$C890=$C819),
      0),
      MATCH($G819,'Fairway Log'!$E$1:$V$1,0)
    ),
  "")
)</f>
        <v>↓</v>
      </c>
      <c r="Q819" t="str" cm="1">
        <f t="array" ref="Q819">IFERROR(
  INDEX('GIR Log'!$E$2:$V$70,
    MATCH(1,
      ('GIR Log'!$A$2:$A$70=$A819)*
      ('GIR Log'!$B$2:$B$70=$B819)*
      ('GIR Log'!$C$2:$C$70=$C819),
    0),
    MATCH($G819,'GIR Log'!$E$1:$V$1,0)
  ),
"")</f>
        <v>↓</v>
      </c>
    </row>
    <row r="820" spans="1:17" x14ac:dyDescent="0.25">
      <c r="A820" s="43" t="s">
        <v>127</v>
      </c>
      <c r="B820" s="2">
        <v>45492</v>
      </c>
      <c r="C820" s="43" t="s">
        <v>6</v>
      </c>
      <c r="D820" s="43" t="s">
        <v>75</v>
      </c>
      <c r="E820" s="43" t="s">
        <v>34</v>
      </c>
      <c r="F820">
        <v>104</v>
      </c>
      <c r="G820" t="s">
        <v>55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Log'!$E$2:$V$70,
    MATCH(1,
      ('Golf Log'!$A$2:$A$70=$A820)*
      ('Golf Log'!$B$2:$B$70=$B820)*
      ('Golf Log'!$C$2:$C$70=$C820),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Log'!$E$2:$V$70,
    MATCH(1,
      ('Putt Log'!$A$2:$A$70=$A820)*
      ('Putt Log'!$B$2:$B$70=$B820)*
      ('Putt Log'!$C$2:$C$70=$C820),
    0),
    MATCH($G820,'Putt Log'!$E$1:$V$1,0)
  ),
"")</f>
        <v>2</v>
      </c>
      <c r="P820" t="str" cm="1">
        <f t="array" ref="P820">IF(K820=3,"",
  IFERROR(
    INDEX('Fairway Log'!$E$2:$V$70,
      MATCH(1,
        ('Fairway Log'!$A$2:$A$70=$A820)*
        ('Fairway Log'!$B$2:$B$70=$B820)*
        ('Fairway Log'!$C$2:$C891=$C820),
      0),
      MATCH($G820,'Fairway Log'!$E$1:$V$1,0)
    ),
  "")
)</f>
        <v>↓</v>
      </c>
      <c r="Q820" t="str" cm="1">
        <f t="array" ref="Q820">IFERROR(
  INDEX('GIR Log'!$E$2:$V$70,
    MATCH(1,
      ('GIR Log'!$A$2:$A$70=$A820)*
      ('GIR Log'!$B$2:$B$70=$B820)*
      ('GIR Log'!$C$2:$C$70=$C820),
    0),
    MATCH($G820,'GIR Log'!$E$1:$V$1,0)
  ),
"")</f>
        <v>↓</v>
      </c>
    </row>
    <row r="821" spans="1:17" x14ac:dyDescent="0.25">
      <c r="A821" s="43" t="s">
        <v>127</v>
      </c>
      <c r="B821" s="2">
        <v>45492</v>
      </c>
      <c r="C821" s="43" t="s">
        <v>6</v>
      </c>
      <c r="D821" s="43" t="s">
        <v>75</v>
      </c>
      <c r="E821" s="43" t="s">
        <v>34</v>
      </c>
      <c r="F821">
        <v>104</v>
      </c>
      <c r="G821" t="s">
        <v>56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Log'!$E$2:$V$70,
    MATCH(1,
      ('Golf Log'!$A$2:$A$70=$A821)*
      ('Golf Log'!$B$2:$B$70=$B821)*
      ('Golf Log'!$C$2:$C$70=$C821),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Log'!$E$2:$V$70,
    MATCH(1,
      ('Putt Log'!$A$2:$A$70=$A821)*
      ('Putt Log'!$B$2:$B$70=$B821)*
      ('Putt Log'!$C$2:$C$70=$C821),
    0),
    MATCH($G821,'Putt Log'!$E$1:$V$1,0)
  ),
"")</f>
        <v>2</v>
      </c>
      <c r="P821" t="str" cm="1">
        <f t="array" ref="P821">IF(K821=3,"",
  IFERROR(
    INDEX('Fairway Log'!$E$2:$V$70,
      MATCH(1,
        ('Fairway Log'!$A$2:$A$70=$A821)*
        ('Fairway Log'!$B$2:$B$70=$B821)*
        ('Fairway Log'!$C$2:$C892=$C821),
      0),
      MATCH($G821,'Fairway Log'!$E$1:$V$1,0)
    ),
  "")
)</f>
        <v>↓</v>
      </c>
      <c r="Q821" t="str" cm="1">
        <f t="array" ref="Q821">IFERROR(
  INDEX('GIR Log'!$E$2:$V$70,
    MATCH(1,
      ('GIR Log'!$A$2:$A$70=$A821)*
      ('GIR Log'!$B$2:$B$70=$B821)*
      ('GIR Log'!$C$2:$C$70=$C821),
    0),
    MATCH($G821,'GIR Log'!$E$1:$V$1,0)
  ),
"")</f>
        <v>↓</v>
      </c>
    </row>
    <row r="822" spans="1:17" x14ac:dyDescent="0.25">
      <c r="A822" s="43" t="s">
        <v>127</v>
      </c>
      <c r="B822" s="2">
        <v>45492</v>
      </c>
      <c r="C822" s="43" t="s">
        <v>6</v>
      </c>
      <c r="D822" s="43" t="s">
        <v>75</v>
      </c>
      <c r="E822" s="43" t="s">
        <v>34</v>
      </c>
      <c r="F822">
        <v>104</v>
      </c>
      <c r="G822" t="s">
        <v>57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Log'!$E$2:$V$70,
    MATCH(1,
      ('Golf Log'!$A$2:$A$70=$A822)*
      ('Golf Log'!$B$2:$B$70=$B822)*
      ('Golf Log'!$C$2:$C$70=$C822),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Log'!$E$2:$V$70,
    MATCH(1,
      ('Putt Log'!$A$2:$A$70=$A822)*
      ('Putt Log'!$B$2:$B$70=$B822)*
      ('Putt Log'!$C$2:$C$70=$C822),
    0),
    MATCH($G822,'Putt Log'!$E$1:$V$1,0)
  ),
"")</f>
        <v>2</v>
      </c>
      <c r="P822" t="str" cm="1">
        <f t="array" ref="P822">IF(K822=3,"",
  IFERROR(
    INDEX('Fairway Log'!$E$2:$V$70,
      MATCH(1,
        ('Fairway Log'!$A$2:$A$70=$A822)*
        ('Fairway Log'!$B$2:$B$70=$B822)*
        ('Fairway Log'!$C$2:$C893=$C822),
      0),
      MATCH($G822,'Fairway Log'!$E$1:$V$1,0)
    ),
  "")
)</f>
        <v>→</v>
      </c>
      <c r="Q822" t="str" cm="1">
        <f t="array" ref="Q822">IFERROR(
  INDEX('GIR Log'!$E$2:$V$70,
    MATCH(1,
      ('GIR Log'!$A$2:$A$70=$A822)*
      ('GIR Log'!$B$2:$B$70=$B822)*
      ('GIR Log'!$C$2:$C$70=$C822),
    0),
    MATCH($G822,'GIR Log'!$E$1:$V$1,0)
  ),
"")</f>
        <v>↓</v>
      </c>
    </row>
    <row r="823" spans="1:17" x14ac:dyDescent="0.25">
      <c r="A823" s="43" t="s">
        <v>127</v>
      </c>
      <c r="B823" s="2">
        <v>45492</v>
      </c>
      <c r="C823" s="43" t="s">
        <v>6</v>
      </c>
      <c r="D823" s="43" t="s">
        <v>75</v>
      </c>
      <c r="E823" s="43" t="s">
        <v>34</v>
      </c>
      <c r="F823">
        <v>104</v>
      </c>
      <c r="G823" t="s">
        <v>58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Log'!$E$2:$V$70,
    MATCH(1,
      ('Golf Log'!$A$2:$A$70=$A823)*
      ('Golf Log'!$B$2:$B$70=$B823)*
      ('Golf Log'!$C$2:$C$70=$C823),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Log'!$E$2:$V$70,
    MATCH(1,
      ('Putt Log'!$A$2:$A$70=$A823)*
      ('Putt Log'!$B$2:$B$70=$B823)*
      ('Putt Log'!$C$2:$C$70=$C823),
    0),
    MATCH($G823,'Putt Log'!$E$1:$V$1,0)
  ),
"")</f>
        <v>1</v>
      </c>
      <c r="P823" t="str" cm="1">
        <f t="array" ref="P823">IF(K823=3,"",
  IFERROR(
    INDEX('Fairway Log'!$E$2:$V$70,
      MATCH(1,
        ('Fairway Log'!$A$2:$A$70=$A823)*
        ('Fairway Log'!$B$2:$B$70=$B823)*
        ('Fairway Log'!$C$2:$C894=$C823),
      0),
      MATCH($G823,'Fairway Log'!$E$1:$V$1,0)
    ),
  "")
)</f>
        <v>→</v>
      </c>
      <c r="Q823" t="str" cm="1">
        <f t="array" ref="Q823">IFERROR(
  INDEX('GIR Log'!$E$2:$V$70,
    MATCH(1,
      ('GIR Log'!$A$2:$A$70=$A823)*
      ('GIR Log'!$B$2:$B$70=$B823)*
      ('GIR Log'!$C$2:$C$70=$C823),
    0),
    MATCH($G823,'GIR Log'!$E$1:$V$1,0)
  ),
"")</f>
        <v>↓</v>
      </c>
    </row>
    <row r="824" spans="1:17" x14ac:dyDescent="0.25">
      <c r="A824" s="43" t="s">
        <v>127</v>
      </c>
      <c r="B824" s="2">
        <v>45492</v>
      </c>
      <c r="C824" s="43" t="s">
        <v>6</v>
      </c>
      <c r="D824" s="43" t="s">
        <v>75</v>
      </c>
      <c r="E824" s="43" t="s">
        <v>34</v>
      </c>
      <c r="F824">
        <v>104</v>
      </c>
      <c r="G824" t="s">
        <v>59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Log'!$E$2:$V$70,
    MATCH(1,
      ('Golf Log'!$A$2:$A$70=$A824)*
      ('Golf Log'!$B$2:$B$70=$B824)*
      ('Golf Log'!$C$2:$C$70=$C824),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Log'!$E$2:$V$70,
    MATCH(1,
      ('Putt Log'!$A$2:$A$70=$A824)*
      ('Putt Log'!$B$2:$B$70=$B824)*
      ('Putt Log'!$C$2:$C$70=$C824),
    0),
    MATCH($G824,'Putt Log'!$E$1:$V$1,0)
  ),
"")</f>
        <v>1</v>
      </c>
      <c r="P824" cm="1">
        <f t="array" ref="P824">IF(K824=3,"",
  IFERROR(
    INDEX('Fairway Log'!$E$2:$V$70,
      MATCH(1,
        ('Fairway Log'!$A$2:$A$70=$A824)*
        ('Fairway Log'!$B$2:$B$70=$B824)*
        ('Fairway Log'!$C$2:$C895=$C824),
      0),
      MATCH($G824,'Fairway Log'!$E$1:$V$1,0)
    ),
  "")
)</f>
        <v>1</v>
      </c>
      <c r="Q824" t="str" cm="1">
        <f t="array" ref="Q824">IFERROR(
  INDEX('GIR Log'!$E$2:$V$70,
    MATCH(1,
      ('GIR Log'!$A$2:$A$70=$A824)*
      ('GIR Log'!$B$2:$B$70=$B824)*
      ('GIR Log'!$C$2:$C$70=$C824),
    0),
    MATCH($G824,'GIR Log'!$E$1:$V$1,0)
  ),
"")</f>
        <v>↓</v>
      </c>
    </row>
    <row r="825" spans="1:17" x14ac:dyDescent="0.25">
      <c r="A825" s="43" t="s">
        <v>127</v>
      </c>
      <c r="B825" s="2">
        <v>45492</v>
      </c>
      <c r="C825" s="43" t="s">
        <v>6</v>
      </c>
      <c r="D825" s="43" t="s">
        <v>75</v>
      </c>
      <c r="E825" s="43" t="s">
        <v>34</v>
      </c>
      <c r="F825">
        <v>104</v>
      </c>
      <c r="G825" t="s">
        <v>60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Log'!$E$2:$V$70,
    MATCH(1,
      ('Golf Log'!$A$2:$A$70=$A825)*
      ('Golf Log'!$B$2:$B$70=$B825)*
      ('Golf Log'!$C$2:$C$70=$C825),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Log'!$E$2:$V$70,
    MATCH(1,
      ('Putt Log'!$A$2:$A$70=$A825)*
      ('Putt Log'!$B$2:$B$70=$B825)*
      ('Putt Log'!$C$2:$C$70=$C825),
    0),
    MATCH($G825,'Putt Log'!$E$1:$V$1,0)
  ),
"")</f>
        <v>1</v>
      </c>
      <c r="P825" t="str" cm="1">
        <f t="array" ref="P825">IF(K825=3,"",
  IFERROR(
    INDEX('Fairway Log'!$E$2:$V$70,
      MATCH(1,
        ('Fairway Log'!$A$2:$A$70=$A825)*
        ('Fairway Log'!$B$2:$B$70=$B825)*
        ('Fairway Log'!$C$2:$C896=$C825),
      0),
      MATCH($G825,'Fairway Log'!$E$1:$V$1,0)
    ),
  "")
)</f>
        <v/>
      </c>
      <c r="Q825" t="str" cm="1">
        <f t="array" ref="Q825">IFERROR(
  INDEX('GIR Log'!$E$2:$V$70,
    MATCH(1,
      ('GIR Log'!$A$2:$A$70=$A825)*
      ('GIR Log'!$B$2:$B$70=$B825)*
      ('GIR Log'!$C$2:$C$70=$C825),
    0),
    MATCH($G825,'GIR Log'!$E$1:$V$1,0)
  ),
"")</f>
        <v>↓</v>
      </c>
    </row>
    <row r="826" spans="1:17" x14ac:dyDescent="0.25">
      <c r="A826" s="43" t="s">
        <v>127</v>
      </c>
      <c r="B826" s="2">
        <v>45492</v>
      </c>
      <c r="C826" s="43" t="s">
        <v>6</v>
      </c>
      <c r="D826" s="43" t="s">
        <v>75</v>
      </c>
      <c r="E826" s="43" t="s">
        <v>34</v>
      </c>
      <c r="F826">
        <v>104</v>
      </c>
      <c r="G826" t="s">
        <v>61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Log'!$E$2:$V$70,
    MATCH(1,
      ('Golf Log'!$A$2:$A$70=$A826)*
      ('Golf Log'!$B$2:$B$70=$B826)*
      ('Golf Log'!$C$2:$C$70=$C826),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Log'!$E$2:$V$70,
    MATCH(1,
      ('Putt Log'!$A$2:$A$70=$A826)*
      ('Putt Log'!$B$2:$B$70=$B826)*
      ('Putt Log'!$C$2:$C$70=$C826),
    0),
    MATCH($G826,'Putt Log'!$E$1:$V$1,0)
  ),
"")</f>
        <v>2</v>
      </c>
      <c r="P826" cm="1">
        <f t="array" ref="P826">IF(K826=3,"",
  IFERROR(
    INDEX('Fairway Log'!$E$2:$V$70,
      MATCH(1,
        ('Fairway Log'!$A$2:$A$70=$A826)*
        ('Fairway Log'!$B$2:$B$70=$B826)*
        ('Fairway Log'!$C$2:$C897=$C826),
      0),
      MATCH($G826,'Fairway Log'!$E$1:$V$1,0)
    ),
  "")
)</f>
        <v>1</v>
      </c>
      <c r="Q826" t="str" cm="1">
        <f t="array" ref="Q826">IFERROR(
  INDEX('GIR Log'!$E$2:$V$70,
    MATCH(1,
      ('GIR Log'!$A$2:$A$70=$A826)*
      ('GIR Log'!$B$2:$B$70=$B826)*
      ('GIR Log'!$C$2:$C$70=$C826),
    0),
    MATCH($G826,'GIR Log'!$E$1:$V$1,0)
  ),
"")</f>
        <v>←</v>
      </c>
    </row>
    <row r="827" spans="1:17" x14ac:dyDescent="0.25">
      <c r="A827" s="43" t="s">
        <v>127</v>
      </c>
      <c r="B827" s="2">
        <v>45492</v>
      </c>
      <c r="C827" s="43" t="s">
        <v>6</v>
      </c>
      <c r="D827" s="43" t="s">
        <v>75</v>
      </c>
      <c r="E827" s="43" t="s">
        <v>34</v>
      </c>
      <c r="F827">
        <v>104</v>
      </c>
      <c r="G827" t="s">
        <v>62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Log'!$E$2:$V$70,
    MATCH(1,
      ('Golf Log'!$A$2:$A$70=$A827)*
      ('Golf Log'!$B$2:$B$70=$B827)*
      ('Golf Log'!$C$2:$C$70=$C827),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Log'!$E$2:$V$70,
    MATCH(1,
      ('Putt Log'!$A$2:$A$70=$A827)*
      ('Putt Log'!$B$2:$B$70=$B827)*
      ('Putt Log'!$C$2:$C$70=$C827),
    0),
    MATCH($G827,'Putt Log'!$E$1:$V$1,0)
  ),
"")</f>
        <v>1</v>
      </c>
      <c r="P827" cm="1">
        <f t="array" ref="P827">IF(K827=3,"",
  IFERROR(
    INDEX('Fairway Log'!$E$2:$V$70,
      MATCH(1,
        ('Fairway Log'!$A$2:$A$70=$A827)*
        ('Fairway Log'!$B$2:$B$70=$B827)*
        ('Fairway Log'!$C$2:$C898=$C827),
      0),
      MATCH($G827,'Fairway Log'!$E$1:$V$1,0)
    ),
  "")
)</f>
        <v>1</v>
      </c>
      <c r="Q827" cm="1">
        <f t="array" ref="Q827">IFERROR(
  INDEX('GIR Log'!$E$2:$V$70,
    MATCH(1,
      ('GIR Log'!$A$2:$A$70=$A827)*
      ('GIR Log'!$B$2:$B$70=$B827)*
      ('GIR Log'!$C$2:$C$70=$C827),
    0),
    MATCH($G827,'GIR Log'!$E$1:$V$1,0)
  ),
"")</f>
        <v>1</v>
      </c>
    </row>
    <row r="828" spans="1:17" x14ac:dyDescent="0.25">
      <c r="A828" s="43" t="s">
        <v>127</v>
      </c>
      <c r="B828" s="2">
        <v>45492</v>
      </c>
      <c r="C828" s="43" t="s">
        <v>6</v>
      </c>
      <c r="D828" s="43" t="s">
        <v>75</v>
      </c>
      <c r="E828" s="43" t="s">
        <v>34</v>
      </c>
      <c r="F828">
        <v>104</v>
      </c>
      <c r="G828" t="s">
        <v>63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Log'!$E$2:$V$70,
    MATCH(1,
      ('Golf Log'!$A$2:$A$70=$A828)*
      ('Golf Log'!$B$2:$B$70=$B828)*
      ('Golf Log'!$C$2:$C$70=$C828),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Log'!$E$2:$V$70,
    MATCH(1,
      ('Putt Log'!$A$2:$A$70=$A828)*
      ('Putt Log'!$B$2:$B$70=$B828)*
      ('Putt Log'!$C$2:$C$70=$C828),
    0),
    MATCH($G828,'Putt Log'!$E$1:$V$1,0)
  ),
"")</f>
        <v>2</v>
      </c>
      <c r="P828" cm="1">
        <f t="array" ref="P828">IF(K828=3,"",
  IFERROR(
    INDEX('Fairway Log'!$E$2:$V$70,
      MATCH(1,
        ('Fairway Log'!$A$2:$A$70=$A828)*
        ('Fairway Log'!$B$2:$B$70=$B828)*
        ('Fairway Log'!$C$2:$C899=$C828),
      0),
      MATCH($G828,'Fairway Log'!$E$1:$V$1,0)
    ),
  "")
)</f>
        <v>1</v>
      </c>
      <c r="Q828" t="str" cm="1">
        <f t="array" ref="Q828">IFERROR(
  INDEX('GIR Log'!$E$2:$V$70,
    MATCH(1,
      ('GIR Log'!$A$2:$A$70=$A828)*
      ('GIR Log'!$B$2:$B$70=$B828)*
      ('GIR Log'!$C$2:$C$70=$C828),
    0),
    MATCH($G828,'GIR Log'!$E$1:$V$1,0)
  ),
"")</f>
        <v>←</v>
      </c>
    </row>
    <row r="829" spans="1:17" x14ac:dyDescent="0.25">
      <c r="A829" s="43" t="s">
        <v>127</v>
      </c>
      <c r="B829" s="2">
        <v>45492</v>
      </c>
      <c r="C829" s="43" t="s">
        <v>6</v>
      </c>
      <c r="D829" s="43" t="s">
        <v>75</v>
      </c>
      <c r="E829" s="43" t="s">
        <v>34</v>
      </c>
      <c r="F829">
        <v>104</v>
      </c>
      <c r="G829" t="s">
        <v>64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Log'!$E$2:$V$70,
    MATCH(1,
      ('Golf Log'!$A$2:$A$70=$A829)*
      ('Golf Log'!$B$2:$B$70=$B829)*
      ('Golf Log'!$C$2:$C$70=$C829),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Log'!$E$2:$V$70,
    MATCH(1,
      ('Putt Log'!$A$2:$A$70=$A829)*
      ('Putt Log'!$B$2:$B$70=$B829)*
      ('Putt Log'!$C$2:$C$70=$C829),
    0),
    MATCH($G829,'Putt Log'!$E$1:$V$1,0)
  ),
"")</f>
        <v>2</v>
      </c>
      <c r="P829" cm="1">
        <f t="array" ref="P829">IF(K829=3,"",
  IFERROR(
    INDEX('Fairway Log'!$E$2:$V$70,
      MATCH(1,
        ('Fairway Log'!$A$2:$A$70=$A829)*
        ('Fairway Log'!$B$2:$B$70=$B829)*
        ('Fairway Log'!$C$2:$C900=$C829),
      0),
      MATCH($G829,'Fairway Log'!$E$1:$V$1,0)
    ),
  "")
)</f>
        <v>1</v>
      </c>
      <c r="Q829" t="str" cm="1">
        <f t="array" ref="Q829">IFERROR(
  INDEX('GIR Log'!$E$2:$V$70,
    MATCH(1,
      ('GIR Log'!$A$2:$A$70=$A829)*
      ('GIR Log'!$B$2:$B$70=$B829)*
      ('GIR Log'!$C$2:$C$70=$C829),
    0),
    MATCH($G829,'GIR Log'!$E$1:$V$1,0)
  ),
"")</f>
        <v>←</v>
      </c>
    </row>
    <row r="830" spans="1:17" x14ac:dyDescent="0.25">
      <c r="A830" s="43" t="s">
        <v>127</v>
      </c>
      <c r="B830" s="2">
        <v>45453</v>
      </c>
      <c r="C830" s="43" t="s">
        <v>11</v>
      </c>
      <c r="D830" s="43" t="s">
        <v>77</v>
      </c>
      <c r="E830" s="43" t="s">
        <v>34</v>
      </c>
      <c r="F830">
        <v>109</v>
      </c>
      <c r="G830" s="12" t="s">
        <v>47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Log'!$E$2:$V$70,
    MATCH(1,
      ('Golf Log'!$A$2:$A$70=$A830)*
      ('Golf Log'!$B$2:$B$70=$B830)*
      ('Golf Log'!$C$2:$C$70=$C830),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Log'!$E$2:$V$70,
    MATCH(1,
      ('Putt Log'!$A$2:$A$70=$A830)*
      ('Putt Log'!$B$2:$B$70=$B830)*
      ('Putt Log'!$C$2:$C$70=$C830),
    0),
    MATCH($G830,'Putt Log'!$E$1:$V$1,0)
  ),
"")</f>
        <v>1</v>
      </c>
      <c r="P830" cm="1">
        <f t="array" ref="P830">IF(K830=3,"",
  IFERROR(
    INDEX('Fairway Log'!$E$2:$V$70,
      MATCH(1,
        ('Fairway Log'!$A$2:$A$70=$A830)*
        ('Fairway Log'!$B$2:$B$70=$B830)*
        ('Fairway Log'!$C$2:$C901=$C830),
      0),
      MATCH($G830,'Fairway Log'!$E$1:$V$1,0)
    ),
  "")
)</f>
        <v>0</v>
      </c>
      <c r="Q830" cm="1">
        <f t="array" ref="Q830">IFERROR(
  INDEX('GIR Log'!$E$2:$V$70,
    MATCH(1,
      ('GIR Log'!$A$2:$A$70=$A830)*
      ('GIR Log'!$B$2:$B$70=$B830)*
      ('GIR Log'!$C$2:$C$70=$C830),
    0),
    MATCH($G830,'GIR Log'!$E$1:$V$1,0)
  ),
"")</f>
        <v>0</v>
      </c>
    </row>
    <row r="831" spans="1:17" x14ac:dyDescent="0.25">
      <c r="A831" s="43" t="s">
        <v>127</v>
      </c>
      <c r="B831" s="2">
        <v>45453</v>
      </c>
      <c r="C831" s="43" t="s">
        <v>11</v>
      </c>
      <c r="D831" s="43" t="s">
        <v>77</v>
      </c>
      <c r="E831" s="43" t="s">
        <v>34</v>
      </c>
      <c r="F831">
        <v>109</v>
      </c>
      <c r="G831" s="12" t="s">
        <v>48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Log'!$E$2:$V$70,
    MATCH(1,
      ('Golf Log'!$A$2:$A$70=$A831)*
      ('Golf Log'!$B$2:$B$70=$B831)*
      ('Golf Log'!$C$2:$C$70=$C831),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Log'!$E$2:$V$70,
    MATCH(1,
      ('Putt Log'!$A$2:$A$70=$A831)*
      ('Putt Log'!$B$2:$B$70=$B831)*
      ('Putt Log'!$C$2:$C$70=$C831),
    0),
    MATCH($G831,'Putt Log'!$E$1:$V$1,0)
  ),
"")</f>
        <v>2</v>
      </c>
      <c r="P831" t="str" cm="1">
        <f t="array" ref="P831">IF(K831=3,"",
  IFERROR(
    INDEX('Fairway Log'!$E$2:$V$70,
      MATCH(1,
        ('Fairway Log'!$A$2:$A$70=$A831)*
        ('Fairway Log'!$B$2:$B$70=$B831)*
        ('Fairway Log'!$C$2:$C902=$C831),
      0),
      MATCH($G831,'Fairway Log'!$E$1:$V$1,0)
    ),
  "")
)</f>
        <v/>
      </c>
      <c r="Q831" cm="1">
        <f t="array" ref="Q831">IFERROR(
  INDEX('GIR Log'!$E$2:$V$70,
    MATCH(1,
      ('GIR Log'!$A$2:$A$70=$A831)*
      ('GIR Log'!$B$2:$B$70=$B831)*
      ('GIR Log'!$C$2:$C$70=$C831),
    0),
    MATCH($G831,'GIR Log'!$E$1:$V$1,0)
  ),
"")</f>
        <v>0</v>
      </c>
    </row>
    <row r="832" spans="1:17" x14ac:dyDescent="0.25">
      <c r="A832" s="43" t="s">
        <v>127</v>
      </c>
      <c r="B832" s="2">
        <v>45453</v>
      </c>
      <c r="C832" s="43" t="s">
        <v>11</v>
      </c>
      <c r="D832" s="43" t="s">
        <v>77</v>
      </c>
      <c r="E832" s="43" t="s">
        <v>34</v>
      </c>
      <c r="F832">
        <v>109</v>
      </c>
      <c r="G832" s="12" t="s">
        <v>49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Log'!$E$2:$V$70,
    MATCH(1,
      ('Golf Log'!$A$2:$A$70=$A832)*
      ('Golf Log'!$B$2:$B$70=$B832)*
      ('Golf Log'!$C$2:$C$70=$C832),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Log'!$E$2:$V$70,
    MATCH(1,
      ('Putt Log'!$A$2:$A$70=$A832)*
      ('Putt Log'!$B$2:$B$70=$B832)*
      ('Putt Log'!$C$2:$C$70=$C832),
    0),
    MATCH($G832,'Putt Log'!$E$1:$V$1,0)
  ),
"")</f>
        <v>1</v>
      </c>
      <c r="P832" cm="1">
        <f t="array" ref="P832">IF(K832=3,"",
  IFERROR(
    INDEX('Fairway Log'!$E$2:$V$70,
      MATCH(1,
        ('Fairway Log'!$A$2:$A$70=$A832)*
        ('Fairway Log'!$B$2:$B$70=$B832)*
        ('Fairway Log'!$C$2:$C903=$C832),
      0),
      MATCH($G832,'Fairway Log'!$E$1:$V$1,0)
    ),
  "")
)</f>
        <v>0</v>
      </c>
      <c r="Q832" cm="1">
        <f t="array" ref="Q832">IFERROR(
  INDEX('GIR Log'!$E$2:$V$70,
    MATCH(1,
      ('GIR Log'!$A$2:$A$70=$A832)*
      ('GIR Log'!$B$2:$B$70=$B832)*
      ('GIR Log'!$C$2:$C$70=$C832),
    0),
    MATCH($G832,'GIR Log'!$E$1:$V$1,0)
  ),
"")</f>
        <v>0</v>
      </c>
    </row>
    <row r="833" spans="1:17" x14ac:dyDescent="0.25">
      <c r="A833" s="43" t="s">
        <v>127</v>
      </c>
      <c r="B833" s="2">
        <v>45453</v>
      </c>
      <c r="C833" s="43" t="s">
        <v>11</v>
      </c>
      <c r="D833" s="43" t="s">
        <v>77</v>
      </c>
      <c r="E833" s="43" t="s">
        <v>34</v>
      </c>
      <c r="F833">
        <v>109</v>
      </c>
      <c r="G833" s="12" t="s">
        <v>50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Log'!$E$2:$V$70,
    MATCH(1,
      ('Golf Log'!$A$2:$A$70=$A833)*
      ('Golf Log'!$B$2:$B$70=$B833)*
      ('Golf Log'!$C$2:$C$70=$C833),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Log'!$E$2:$V$70,
    MATCH(1,
      ('Putt Log'!$A$2:$A$70=$A833)*
      ('Putt Log'!$B$2:$B$70=$B833)*
      ('Putt Log'!$C$2:$C$70=$C833),
    0),
    MATCH($G833,'Putt Log'!$E$1:$V$1,0)
  ),
"")</f>
        <v>3</v>
      </c>
      <c r="P833" t="str" cm="1">
        <f t="array" ref="P833">IF(K833=3,"",
  IFERROR(
    INDEX('Fairway Log'!$E$2:$V$70,
      MATCH(1,
        ('Fairway Log'!$A$2:$A$70=$A833)*
        ('Fairway Log'!$B$2:$B$70=$B833)*
        ('Fairway Log'!$C$2:$C904=$C833),
      0),
      MATCH($G833,'Fairway Log'!$E$1:$V$1,0)
    ),
  "")
)</f>
        <v/>
      </c>
      <c r="Q833" cm="1">
        <f t="array" ref="Q833">IFERROR(
  INDEX('GIR Log'!$E$2:$V$70,
    MATCH(1,
      ('GIR Log'!$A$2:$A$70=$A833)*
      ('GIR Log'!$B$2:$B$70=$B833)*
      ('GIR Log'!$C$2:$C$70=$C833),
    0),
    MATCH($G833,'GIR Log'!$E$1:$V$1,0)
  ),
"")</f>
        <v>0</v>
      </c>
    </row>
    <row r="834" spans="1:17" x14ac:dyDescent="0.25">
      <c r="A834" s="43" t="s">
        <v>127</v>
      </c>
      <c r="B834" s="2">
        <v>45453</v>
      </c>
      <c r="C834" s="43" t="s">
        <v>11</v>
      </c>
      <c r="D834" s="43" t="s">
        <v>77</v>
      </c>
      <c r="E834" s="43" t="s">
        <v>34</v>
      </c>
      <c r="F834">
        <v>109</v>
      </c>
      <c r="G834" s="12" t="s">
        <v>51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Log'!$E$2:$V$70,
    MATCH(1,
      ('Golf Log'!$A$2:$A$70=$A834)*
      ('Golf Log'!$B$2:$B$70=$B834)*
      ('Golf Log'!$C$2:$C$70=$C834),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Log'!$E$2:$V$70,
    MATCH(1,
      ('Putt Log'!$A$2:$A$70=$A834)*
      ('Putt Log'!$B$2:$B$70=$B834)*
      ('Putt Log'!$C$2:$C$70=$C834),
    0),
    MATCH($G834,'Putt Log'!$E$1:$V$1,0)
  ),
"")</f>
        <v>2</v>
      </c>
      <c r="P834" cm="1">
        <f t="array" ref="P834">IF(K834=3,"",
  IFERROR(
    INDEX('Fairway Log'!$E$2:$V$70,
      MATCH(1,
        ('Fairway Log'!$A$2:$A$70=$A834)*
        ('Fairway Log'!$B$2:$B$70=$B834)*
        ('Fairway Log'!$C$2:$C905=$C834),
      0),
      MATCH($G834,'Fairway Log'!$E$1:$V$1,0)
    ),
  "")
)</f>
        <v>0</v>
      </c>
      <c r="Q834" cm="1">
        <f t="array" ref="Q834">IFERROR(
  INDEX('GIR Log'!$E$2:$V$70,
    MATCH(1,
      ('GIR Log'!$A$2:$A$70=$A834)*
      ('GIR Log'!$B$2:$B$70=$B834)*
      ('GIR Log'!$C$2:$C$70=$C834),
    0),
    MATCH($G834,'GIR Log'!$E$1:$V$1,0)
  ),
"")</f>
        <v>0</v>
      </c>
    </row>
    <row r="835" spans="1:17" x14ac:dyDescent="0.25">
      <c r="A835" s="43" t="s">
        <v>127</v>
      </c>
      <c r="B835" s="2">
        <v>45453</v>
      </c>
      <c r="C835" s="43" t="s">
        <v>11</v>
      </c>
      <c r="D835" s="43" t="s">
        <v>77</v>
      </c>
      <c r="E835" s="43" t="s">
        <v>34</v>
      </c>
      <c r="F835">
        <v>109</v>
      </c>
      <c r="G835" s="12" t="s">
        <v>52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Log'!$E$2:$V$70,
    MATCH(1,
      ('Golf Log'!$A$2:$A$70=$A835)*
      ('Golf Log'!$B$2:$B$70=$B835)*
      ('Golf Log'!$C$2:$C$70=$C835),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Log'!$E$2:$V$70,
    MATCH(1,
      ('Putt Log'!$A$2:$A$70=$A835)*
      ('Putt Log'!$B$2:$B$70=$B835)*
      ('Putt Log'!$C$2:$C$70=$C835),
    0),
    MATCH($G835,'Putt Log'!$E$1:$V$1,0)
  ),
"")</f>
        <v>2</v>
      </c>
      <c r="P835" cm="1">
        <f t="array" ref="P835">IF(K835=3,"",
  IFERROR(
    INDEX('Fairway Log'!$E$2:$V$70,
      MATCH(1,
        ('Fairway Log'!$A$2:$A$70=$A835)*
        ('Fairway Log'!$B$2:$B$70=$B835)*
        ('Fairway Log'!$C$2:$C906=$C835),
      0),
      MATCH($G835,'Fairway Log'!$E$1:$V$1,0)
    ),
  "")
)</f>
        <v>0</v>
      </c>
      <c r="Q835" cm="1">
        <f t="array" ref="Q835">IFERROR(
  INDEX('GIR Log'!$E$2:$V$70,
    MATCH(1,
      ('GIR Log'!$A$2:$A$70=$A835)*
      ('GIR Log'!$B$2:$B$70=$B835)*
      ('GIR Log'!$C$2:$C$70=$C835),
    0),
    MATCH($G835,'GIR Log'!$E$1:$V$1,0)
  ),
"")</f>
        <v>0</v>
      </c>
    </row>
    <row r="836" spans="1:17" x14ac:dyDescent="0.25">
      <c r="A836" s="43" t="s">
        <v>127</v>
      </c>
      <c r="B836" s="2">
        <v>45453</v>
      </c>
      <c r="C836" s="43" t="s">
        <v>11</v>
      </c>
      <c r="D836" s="43" t="s">
        <v>77</v>
      </c>
      <c r="E836" s="43" t="s">
        <v>34</v>
      </c>
      <c r="F836">
        <v>109</v>
      </c>
      <c r="G836" s="12" t="s">
        <v>53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Log'!$E$2:$V$70,
    MATCH(1,
      ('Golf Log'!$A$2:$A$70=$A836)*
      ('Golf Log'!$B$2:$B$70=$B836)*
      ('Golf Log'!$C$2:$C$70=$C836),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Log'!$E$2:$V$70,
    MATCH(1,
      ('Putt Log'!$A$2:$A$70=$A836)*
      ('Putt Log'!$B$2:$B$70=$B836)*
      ('Putt Log'!$C$2:$C$70=$C836),
    0),
    MATCH($G836,'Putt Log'!$E$1:$V$1,0)
  ),
"")</f>
        <v>2</v>
      </c>
      <c r="P836" cm="1">
        <f t="array" ref="P836">IF(K836=3,"",
  IFERROR(
    INDEX('Fairway Log'!$E$2:$V$70,
      MATCH(1,
        ('Fairway Log'!$A$2:$A$70=$A836)*
        ('Fairway Log'!$B$2:$B$70=$B836)*
        ('Fairway Log'!$C$2:$C907=$C836),
      0),
      MATCH($G836,'Fairway Log'!$E$1:$V$1,0)
    ),
  "")
)</f>
        <v>0</v>
      </c>
      <c r="Q836" cm="1">
        <f t="array" ref="Q836">IFERROR(
  INDEX('GIR Log'!$E$2:$V$70,
    MATCH(1,
      ('GIR Log'!$A$2:$A$70=$A836)*
      ('GIR Log'!$B$2:$B$70=$B836)*
      ('GIR Log'!$C$2:$C$70=$C836),
    0),
    MATCH($G836,'GIR Log'!$E$1:$V$1,0)
  ),
"")</f>
        <v>0</v>
      </c>
    </row>
    <row r="837" spans="1:17" x14ac:dyDescent="0.25">
      <c r="A837" s="43" t="s">
        <v>127</v>
      </c>
      <c r="B837" s="2">
        <v>45453</v>
      </c>
      <c r="C837" s="43" t="s">
        <v>11</v>
      </c>
      <c r="D837" s="43" t="s">
        <v>77</v>
      </c>
      <c r="E837" s="43" t="s">
        <v>34</v>
      </c>
      <c r="F837">
        <v>109</v>
      </c>
      <c r="G837" s="12" t="s">
        <v>54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Log'!$E$2:$V$70,
    MATCH(1,
      ('Golf Log'!$A$2:$A$70=$A837)*
      ('Golf Log'!$B$2:$B$70=$B837)*
      ('Golf Log'!$C$2:$C$70=$C837),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Log'!$E$2:$V$70,
    MATCH(1,
      ('Putt Log'!$A$2:$A$70=$A837)*
      ('Putt Log'!$B$2:$B$70=$B837)*
      ('Putt Log'!$C$2:$C$70=$C837),
    0),
    MATCH($G837,'Putt Log'!$E$1:$V$1,0)
  ),
"")</f>
        <v>3</v>
      </c>
      <c r="P837" cm="1">
        <f t="array" ref="P837">IF(K837=3,"",
  IFERROR(
    INDEX('Fairway Log'!$E$2:$V$70,
      MATCH(1,
        ('Fairway Log'!$A$2:$A$70=$A837)*
        ('Fairway Log'!$B$2:$B$70=$B837)*
        ('Fairway Log'!$C$2:$C908=$C837),
      0),
      MATCH($G837,'Fairway Log'!$E$1:$V$1,0)
    ),
  "")
)</f>
        <v>0</v>
      </c>
      <c r="Q837" cm="1">
        <f t="array" ref="Q837">IFERROR(
  INDEX('GIR Log'!$E$2:$V$70,
    MATCH(1,
      ('GIR Log'!$A$2:$A$70=$A837)*
      ('GIR Log'!$B$2:$B$70=$B837)*
      ('GIR Log'!$C$2:$C$70=$C837),
    0),
    MATCH($G837,'GIR Log'!$E$1:$V$1,0)
  ),
"")</f>
        <v>0</v>
      </c>
    </row>
    <row r="838" spans="1:17" x14ac:dyDescent="0.25">
      <c r="A838" s="43" t="s">
        <v>127</v>
      </c>
      <c r="B838" s="2">
        <v>45453</v>
      </c>
      <c r="C838" s="43" t="s">
        <v>11</v>
      </c>
      <c r="D838" s="43" t="s">
        <v>77</v>
      </c>
      <c r="E838" s="43" t="s">
        <v>34</v>
      </c>
      <c r="F838">
        <v>109</v>
      </c>
      <c r="G838" s="12" t="s">
        <v>55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Log'!$E$2:$V$70,
    MATCH(1,
      ('Golf Log'!$A$2:$A$70=$A838)*
      ('Golf Log'!$B$2:$B$70=$B838)*
      ('Golf Log'!$C$2:$C$70=$C838),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Log'!$E$2:$V$70,
    MATCH(1,
      ('Putt Log'!$A$2:$A$70=$A838)*
      ('Putt Log'!$B$2:$B$70=$B838)*
      ('Putt Log'!$C$2:$C$70=$C838),
    0),
    MATCH($G838,'Putt Log'!$E$1:$V$1,0)
  ),
"")</f>
        <v>2</v>
      </c>
      <c r="P838" cm="1">
        <f t="array" ref="P838">IF(K838=3,"",
  IFERROR(
    INDEX('Fairway Log'!$E$2:$V$70,
      MATCH(1,
        ('Fairway Log'!$A$2:$A$70=$A838)*
        ('Fairway Log'!$B$2:$B$70=$B838)*
        ('Fairway Log'!$C$2:$C909=$C838),
      0),
      MATCH($G838,'Fairway Log'!$E$1:$V$1,0)
    ),
  "")
)</f>
        <v>0</v>
      </c>
      <c r="Q838" cm="1">
        <f t="array" ref="Q838">IFERROR(
  INDEX('GIR Log'!$E$2:$V$70,
    MATCH(1,
      ('GIR Log'!$A$2:$A$70=$A838)*
      ('GIR Log'!$B$2:$B$70=$B838)*
      ('GIR Log'!$C$2:$C$70=$C838),
    0),
    MATCH($G838,'GIR Log'!$E$1:$V$1,0)
  ),
"")</f>
        <v>0</v>
      </c>
    </row>
    <row r="839" spans="1:17" x14ac:dyDescent="0.25">
      <c r="A839" s="43" t="s">
        <v>127</v>
      </c>
      <c r="B839" s="2">
        <v>45453</v>
      </c>
      <c r="C839" s="43" t="s">
        <v>11</v>
      </c>
      <c r="D839" s="43" t="s">
        <v>77</v>
      </c>
      <c r="E839" s="43" t="s">
        <v>34</v>
      </c>
      <c r="F839">
        <v>109</v>
      </c>
      <c r="G839" s="12" t="s">
        <v>56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Log'!$E$2:$V$70,
    MATCH(1,
      ('Golf Log'!$A$2:$A$70=$A839)*
      ('Golf Log'!$B$2:$B$70=$B839)*
      ('Golf Log'!$C$2:$C$70=$C839),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Log'!$E$2:$V$70,
    MATCH(1,
      ('Putt Log'!$A$2:$A$70=$A839)*
      ('Putt Log'!$B$2:$B$70=$B839)*
      ('Putt Log'!$C$2:$C$70=$C839),
    0),
    MATCH($G839,'Putt Log'!$E$1:$V$1,0)
  ),
"")</f>
        <v>2</v>
      </c>
      <c r="P839" cm="1">
        <f t="array" ref="P839">IF(K839=3,"",
  IFERROR(
    INDEX('Fairway Log'!$E$2:$V$70,
      MATCH(1,
        ('Fairway Log'!$A$2:$A$70=$A839)*
        ('Fairway Log'!$B$2:$B$70=$B839)*
        ('Fairway Log'!$C$2:$C910=$C839),
      0),
      MATCH($G839,'Fairway Log'!$E$1:$V$1,0)
    ),
  "")
)</f>
        <v>0</v>
      </c>
      <c r="Q839" cm="1">
        <f t="array" ref="Q839">IFERROR(
  INDEX('GIR Log'!$E$2:$V$70,
    MATCH(1,
      ('GIR Log'!$A$2:$A$70=$A839)*
      ('GIR Log'!$B$2:$B$70=$B839)*
      ('GIR Log'!$C$2:$C$70=$C839),
    0),
    MATCH($G839,'GIR Log'!$E$1:$V$1,0)
  ),
"")</f>
        <v>0</v>
      </c>
    </row>
    <row r="840" spans="1:17" x14ac:dyDescent="0.25">
      <c r="A840" s="43" t="s">
        <v>127</v>
      </c>
      <c r="B840" s="2">
        <v>45453</v>
      </c>
      <c r="C840" s="43" t="s">
        <v>11</v>
      </c>
      <c r="D840" s="43" t="s">
        <v>77</v>
      </c>
      <c r="E840" s="43" t="s">
        <v>34</v>
      </c>
      <c r="F840">
        <v>109</v>
      </c>
      <c r="G840" s="12" t="s">
        <v>57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Log'!$E$2:$V$70,
    MATCH(1,
      ('Golf Log'!$A$2:$A$70=$A840)*
      ('Golf Log'!$B$2:$B$70=$B840)*
      ('Golf Log'!$C$2:$C$70=$C840),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Log'!$E$2:$V$70,
    MATCH(1,
      ('Putt Log'!$A$2:$A$70=$A840)*
      ('Putt Log'!$B$2:$B$70=$B840)*
      ('Putt Log'!$C$2:$C$70=$C840),
    0),
    MATCH($G840,'Putt Log'!$E$1:$V$1,0)
  ),
"")</f>
        <v>1</v>
      </c>
      <c r="P840" t="str" cm="1">
        <f t="array" ref="P840">IF(K840=3,"",
  IFERROR(
    INDEX('Fairway Log'!$E$2:$V$70,
      MATCH(1,
        ('Fairway Log'!$A$2:$A$70=$A840)*
        ('Fairway Log'!$B$2:$B$70=$B840)*
        ('Fairway Log'!$C$2:$C911=$C840),
      0),
      MATCH($G840,'Fairway Log'!$E$1:$V$1,0)
    ),
  "")
)</f>
        <v/>
      </c>
      <c r="Q840" cm="1">
        <f t="array" ref="Q840">IFERROR(
  INDEX('GIR Log'!$E$2:$V$70,
    MATCH(1,
      ('GIR Log'!$A$2:$A$70=$A840)*
      ('GIR Log'!$B$2:$B$70=$B840)*
      ('GIR Log'!$C$2:$C$70=$C840),
    0),
    MATCH($G840,'GIR Log'!$E$1:$V$1,0)
  ),
"")</f>
        <v>0</v>
      </c>
    </row>
    <row r="841" spans="1:17" x14ac:dyDescent="0.25">
      <c r="A841" s="43" t="s">
        <v>127</v>
      </c>
      <c r="B841" s="2">
        <v>45453</v>
      </c>
      <c r="C841" s="43" t="s">
        <v>11</v>
      </c>
      <c r="D841" s="43" t="s">
        <v>77</v>
      </c>
      <c r="E841" s="43" t="s">
        <v>34</v>
      </c>
      <c r="F841">
        <v>109</v>
      </c>
      <c r="G841" s="12" t="s">
        <v>58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Log'!$E$2:$V$70,
    MATCH(1,
      ('Golf Log'!$A$2:$A$70=$A841)*
      ('Golf Log'!$B$2:$B$70=$B841)*
      ('Golf Log'!$C$2:$C$70=$C841),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Log'!$E$2:$V$70,
    MATCH(1,
      ('Putt Log'!$A$2:$A$70=$A841)*
      ('Putt Log'!$B$2:$B$70=$B841)*
      ('Putt Log'!$C$2:$C$70=$C841),
    0),
    MATCH($G841,'Putt Log'!$E$1:$V$1,0)
  ),
"")</f>
        <v>2</v>
      </c>
      <c r="P841" cm="1">
        <f t="array" ref="P841">IF(K841=3,"",
  IFERROR(
    INDEX('Fairway Log'!$E$2:$V$70,
      MATCH(1,
        ('Fairway Log'!$A$2:$A$70=$A841)*
        ('Fairway Log'!$B$2:$B$70=$B841)*
        ('Fairway Log'!$C$2:$C912=$C841),
      0),
      MATCH($G841,'Fairway Log'!$E$1:$V$1,0)
    ),
  "")
)</f>
        <v>0</v>
      </c>
      <c r="Q841" cm="1">
        <f t="array" ref="Q841">IFERROR(
  INDEX('GIR Log'!$E$2:$V$70,
    MATCH(1,
      ('GIR Log'!$A$2:$A$70=$A841)*
      ('GIR Log'!$B$2:$B$70=$B841)*
      ('GIR Log'!$C$2:$C$70=$C841),
    0),
    MATCH($G841,'GIR Log'!$E$1:$V$1,0)
  ),
"")</f>
        <v>0</v>
      </c>
    </row>
    <row r="842" spans="1:17" x14ac:dyDescent="0.25">
      <c r="A842" s="43" t="s">
        <v>127</v>
      </c>
      <c r="B842" s="2">
        <v>45453</v>
      </c>
      <c r="C842" s="43" t="s">
        <v>11</v>
      </c>
      <c r="D842" s="43" t="s">
        <v>77</v>
      </c>
      <c r="E842" s="43" t="s">
        <v>34</v>
      </c>
      <c r="F842">
        <v>109</v>
      </c>
      <c r="G842" s="12" t="s">
        <v>59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Log'!$E$2:$V$70,
    MATCH(1,
      ('Golf Log'!$A$2:$A$70=$A842)*
      ('Golf Log'!$B$2:$B$70=$B842)*
      ('Golf Log'!$C$2:$C$70=$C842),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Log'!$E$2:$V$70,
    MATCH(1,
      ('Putt Log'!$A$2:$A$70=$A842)*
      ('Putt Log'!$B$2:$B$70=$B842)*
      ('Putt Log'!$C$2:$C$70=$C842),
    0),
    MATCH($G842,'Putt Log'!$E$1:$V$1,0)
  ),
"")</f>
        <v>2</v>
      </c>
      <c r="P842" cm="1">
        <f t="array" ref="P842">IF(K842=3,"",
  IFERROR(
    INDEX('Fairway Log'!$E$2:$V$70,
      MATCH(1,
        ('Fairway Log'!$A$2:$A$70=$A842)*
        ('Fairway Log'!$B$2:$B$70=$B842)*
        ('Fairway Log'!$C$2:$C913=$C842),
      0),
      MATCH($G842,'Fairway Log'!$E$1:$V$1,0)
    ),
  "")
)</f>
        <v>0</v>
      </c>
      <c r="Q842" cm="1">
        <f t="array" ref="Q842">IFERROR(
  INDEX('GIR Log'!$E$2:$V$70,
    MATCH(1,
      ('GIR Log'!$A$2:$A$70=$A842)*
      ('GIR Log'!$B$2:$B$70=$B842)*
      ('GIR Log'!$C$2:$C$70=$C842),
    0),
    MATCH($G842,'GIR Log'!$E$1:$V$1,0)
  ),
"")</f>
        <v>1</v>
      </c>
    </row>
    <row r="843" spans="1:17" x14ac:dyDescent="0.25">
      <c r="A843" s="43" t="s">
        <v>127</v>
      </c>
      <c r="B843" s="2">
        <v>45453</v>
      </c>
      <c r="C843" s="43" t="s">
        <v>11</v>
      </c>
      <c r="D843" s="43" t="s">
        <v>77</v>
      </c>
      <c r="E843" s="43" t="s">
        <v>34</v>
      </c>
      <c r="F843">
        <v>109</v>
      </c>
      <c r="G843" s="12" t="s">
        <v>60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Log'!$E$2:$V$70,
    MATCH(1,
      ('Golf Log'!$A$2:$A$70=$A843)*
      ('Golf Log'!$B$2:$B$70=$B843)*
      ('Golf Log'!$C$2:$C$70=$C843),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Log'!$E$2:$V$70,
    MATCH(1,
      ('Putt Log'!$A$2:$A$70=$A843)*
      ('Putt Log'!$B$2:$B$70=$B843)*
      ('Putt Log'!$C$2:$C$70=$C843),
    0),
    MATCH($G843,'Putt Log'!$E$1:$V$1,0)
  ),
"")</f>
        <v>2</v>
      </c>
      <c r="P843" t="str" cm="1">
        <f t="array" ref="P843">IF(K843=3,"",
  IFERROR(
    INDEX('Fairway Log'!$E$2:$V$70,
      MATCH(1,
        ('Fairway Log'!$A$2:$A$70=$A843)*
        ('Fairway Log'!$B$2:$B$70=$B843)*
        ('Fairway Log'!$C$2:$C914=$C843),
      0),
      MATCH($G843,'Fairway Log'!$E$1:$V$1,0)
    ),
  "")
)</f>
        <v/>
      </c>
      <c r="Q843" cm="1">
        <f t="array" ref="Q843">IFERROR(
  INDEX('GIR Log'!$E$2:$V$70,
    MATCH(1,
      ('GIR Log'!$A$2:$A$70=$A843)*
      ('GIR Log'!$B$2:$B$70=$B843)*
      ('GIR Log'!$C$2:$C$70=$C843),
    0),
    MATCH($G843,'GIR Log'!$E$1:$V$1,0)
  ),
"")</f>
        <v>0</v>
      </c>
    </row>
    <row r="844" spans="1:17" x14ac:dyDescent="0.25">
      <c r="A844" s="43" t="s">
        <v>127</v>
      </c>
      <c r="B844" s="2">
        <v>45453</v>
      </c>
      <c r="C844" s="43" t="s">
        <v>11</v>
      </c>
      <c r="D844" s="43" t="s">
        <v>77</v>
      </c>
      <c r="E844" s="43" t="s">
        <v>34</v>
      </c>
      <c r="F844">
        <v>109</v>
      </c>
      <c r="G844" s="12" t="s">
        <v>61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Log'!$E$2:$V$70,
    MATCH(1,
      ('Golf Log'!$A$2:$A$70=$A844)*
      ('Golf Log'!$B$2:$B$70=$B844)*
      ('Golf Log'!$C$2:$C$70=$C844),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Log'!$E$2:$V$70,
    MATCH(1,
      ('Putt Log'!$A$2:$A$70=$A844)*
      ('Putt Log'!$B$2:$B$70=$B844)*
      ('Putt Log'!$C$2:$C$70=$C844),
    0),
    MATCH($G844,'Putt Log'!$E$1:$V$1,0)
  ),
"")</f>
        <v>2</v>
      </c>
      <c r="P844" cm="1">
        <f t="array" ref="P844">IF(K844=3,"",
  IFERROR(
    INDEX('Fairway Log'!$E$2:$V$70,
      MATCH(1,
        ('Fairway Log'!$A$2:$A$70=$A844)*
        ('Fairway Log'!$B$2:$B$70=$B844)*
        ('Fairway Log'!$C$2:$C915=$C844),
      0),
      MATCH($G844,'Fairway Log'!$E$1:$V$1,0)
    ),
  "")
)</f>
        <v>0</v>
      </c>
      <c r="Q844" cm="1">
        <f t="array" ref="Q844">IFERROR(
  INDEX('GIR Log'!$E$2:$V$70,
    MATCH(1,
      ('GIR Log'!$A$2:$A$70=$A844)*
      ('GIR Log'!$B$2:$B$70=$B844)*
      ('GIR Log'!$C$2:$C$70=$C844),
    0),
    MATCH($G844,'GIR Log'!$E$1:$V$1,0)
  ),
"")</f>
        <v>0</v>
      </c>
    </row>
    <row r="845" spans="1:17" x14ac:dyDescent="0.25">
      <c r="A845" s="43" t="s">
        <v>127</v>
      </c>
      <c r="B845" s="2">
        <v>45453</v>
      </c>
      <c r="C845" s="43" t="s">
        <v>11</v>
      </c>
      <c r="D845" s="43" t="s">
        <v>77</v>
      </c>
      <c r="E845" s="43" t="s">
        <v>34</v>
      </c>
      <c r="F845">
        <v>109</v>
      </c>
      <c r="G845" s="12" t="s">
        <v>62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Log'!$E$2:$V$70,
    MATCH(1,
      ('Golf Log'!$A$2:$A$70=$A845)*
      ('Golf Log'!$B$2:$B$70=$B845)*
      ('Golf Log'!$C$2:$C$70=$C845),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Log'!$E$2:$V$70,
    MATCH(1,
      ('Putt Log'!$A$2:$A$70=$A845)*
      ('Putt Log'!$B$2:$B$70=$B845)*
      ('Putt Log'!$C$2:$C$70=$C845),
    0),
    MATCH($G845,'Putt Log'!$E$1:$V$1,0)
  ),
"")</f>
        <v>2</v>
      </c>
      <c r="P845" t="str" cm="1">
        <f t="array" ref="P845">IF(K845=3,"",
  IFERROR(
    INDEX('Fairway Log'!$E$2:$V$70,
      MATCH(1,
        ('Fairway Log'!$A$2:$A$70=$A845)*
        ('Fairway Log'!$B$2:$B$70=$B845)*
        ('Fairway Log'!$C$2:$C916=$C845),
      0),
      MATCH($G845,'Fairway Log'!$E$1:$V$1,0)
    ),
  "")
)</f>
        <v/>
      </c>
      <c r="Q845" cm="1">
        <f t="array" ref="Q845">IFERROR(
  INDEX('GIR Log'!$E$2:$V$70,
    MATCH(1,
      ('GIR Log'!$A$2:$A$70=$A845)*
      ('GIR Log'!$B$2:$B$70=$B845)*
      ('GIR Log'!$C$2:$C$70=$C845),
    0),
    MATCH($G845,'GIR Log'!$E$1:$V$1,0)
  ),
"")</f>
        <v>0</v>
      </c>
    </row>
    <row r="846" spans="1:17" x14ac:dyDescent="0.25">
      <c r="A846" s="43" t="s">
        <v>127</v>
      </c>
      <c r="B846" s="2">
        <v>45453</v>
      </c>
      <c r="C846" s="43" t="s">
        <v>11</v>
      </c>
      <c r="D846" s="43" t="s">
        <v>77</v>
      </c>
      <c r="E846" s="43" t="s">
        <v>34</v>
      </c>
      <c r="F846">
        <v>109</v>
      </c>
      <c r="G846" s="12" t="s">
        <v>63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Log'!$E$2:$V$70,
    MATCH(1,
      ('Golf Log'!$A$2:$A$70=$A846)*
      ('Golf Log'!$B$2:$B$70=$B846)*
      ('Golf Log'!$C$2:$C$70=$C846),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Log'!$E$2:$V$70,
    MATCH(1,
      ('Putt Log'!$A$2:$A$70=$A846)*
      ('Putt Log'!$B$2:$B$70=$B846)*
      ('Putt Log'!$C$2:$C$70=$C846),
    0),
    MATCH($G846,'Putt Log'!$E$1:$V$1,0)
  ),
"")</f>
        <v>2</v>
      </c>
      <c r="P846" cm="1">
        <f t="array" ref="P846">IF(K846=3,"",
  IFERROR(
    INDEX('Fairway Log'!$E$2:$V$70,
      MATCH(1,
        ('Fairway Log'!$A$2:$A$70=$A846)*
        ('Fairway Log'!$B$2:$B$70=$B846)*
        ('Fairway Log'!$C$2:$C917=$C846),
      0),
      MATCH($G846,'Fairway Log'!$E$1:$V$1,0)
    ),
  "")
)</f>
        <v>0</v>
      </c>
      <c r="Q846" cm="1">
        <f t="array" ref="Q846">IFERROR(
  INDEX('GIR Log'!$E$2:$V$70,
    MATCH(1,
      ('GIR Log'!$A$2:$A$70=$A846)*
      ('GIR Log'!$B$2:$B$70=$B846)*
      ('GIR Log'!$C$2:$C$70=$C846),
    0),
    MATCH($G846,'GIR Log'!$E$1:$V$1,0)
  ),
"")</f>
        <v>0</v>
      </c>
    </row>
    <row r="847" spans="1:17" x14ac:dyDescent="0.25">
      <c r="A847" s="43" t="s">
        <v>127</v>
      </c>
      <c r="B847" s="2">
        <v>45453</v>
      </c>
      <c r="C847" s="43" t="s">
        <v>11</v>
      </c>
      <c r="D847" s="43" t="s">
        <v>77</v>
      </c>
      <c r="E847" s="43" t="s">
        <v>34</v>
      </c>
      <c r="F847">
        <v>109</v>
      </c>
      <c r="G847" s="12" t="s">
        <v>64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Log'!$E$2:$V$70,
    MATCH(1,
      ('Golf Log'!$A$2:$A$70=$A847)*
      ('Golf Log'!$B$2:$B$70=$B847)*
      ('Golf Log'!$C$2:$C$70=$C847),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Log'!$E$2:$V$70,
    MATCH(1,
      ('Putt Log'!$A$2:$A$70=$A847)*
      ('Putt Log'!$B$2:$B$70=$B847)*
      ('Putt Log'!$C$2:$C$70=$C847),
    0),
    MATCH($G847,'Putt Log'!$E$1:$V$1,0)
  ),
"")</f>
        <v>2</v>
      </c>
      <c r="P847" cm="1">
        <f t="array" ref="P847">IF(K847=3,"",
  IFERROR(
    INDEX('Fairway Log'!$E$2:$V$70,
      MATCH(1,
        ('Fairway Log'!$A$2:$A$70=$A847)*
        ('Fairway Log'!$B$2:$B$70=$B847)*
        ('Fairway Log'!$C$2:$C918=$C847),
      0),
      MATCH($G847,'Fairway Log'!$E$1:$V$1,0)
    ),
  "")
)</f>
        <v>0</v>
      </c>
      <c r="Q847" cm="1">
        <f t="array" ref="Q847">IFERROR(
  INDEX('GIR Log'!$E$2:$V$70,
    MATCH(1,
      ('GIR Log'!$A$2:$A$70=$A847)*
      ('GIR Log'!$B$2:$B$70=$B847)*
      ('GIR Log'!$C$2:$C$70=$C847),
    0),
    MATCH($G847,'GIR Log'!$E$1:$V$1,0)
  ),
"")</f>
        <v>0</v>
      </c>
    </row>
    <row r="848" spans="1:17" x14ac:dyDescent="0.25">
      <c r="A848" s="51" t="s">
        <v>130</v>
      </c>
      <c r="B848" s="2">
        <v>45156</v>
      </c>
      <c r="C848" s="51" t="s">
        <v>46</v>
      </c>
      <c r="D848" s="51" t="s">
        <v>78</v>
      </c>
      <c r="E848" s="51" t="s">
        <v>34</v>
      </c>
      <c r="F848">
        <v>89</v>
      </c>
      <c r="G848" t="s">
        <v>47</v>
      </c>
      <c r="H848" s="9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Log'!$E$2:$V$70,
    MATCH(1,
      ('Golf Log'!$A$2:$A$70=$A848)*
      ('Golf Log'!$B$2:$B$70=$B848)*
      ('Golf Log'!$C$2:$C$70=$C848),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Log'!$E$2:$V$70,
    MATCH(1,
      ('Putt Log'!$A$2:$A$70=$A848)*
      ('Putt Log'!$B$2:$B$70=$B848)*
      ('Putt Log'!$C$2:$C$70=$C848),
    0),
    MATCH($G848,'Putt Log'!$E$1:$V$1,0)
  ),
"")</f>
        <v>1</v>
      </c>
      <c r="P848" cm="1">
        <f t="array" ref="P848">IF(K848=3,"",
  IFERROR(
    INDEX('Fairway Log'!$E$2:$V$70,
      MATCH(1,
        ('Fairway Log'!$A$2:$A$70=$A848)*
        ('Fairway Log'!$B$2:$B$70=$B848)*
        ('Fairway Log'!$C$2:$C919=$C848),
      0),
      MATCH($G848,'Fairway Log'!$E$1:$V$1,0)
    ),
  "")
)</f>
        <v>0</v>
      </c>
      <c r="Q848" cm="1">
        <f t="array" ref="Q848">IFERROR(
  INDEX('GIR Log'!$E$2:$V$70,
    MATCH(1,
      ('GIR Log'!$A$2:$A$70=$A848)*
      ('GIR Log'!$B$2:$B$70=$B848)*
      ('GIR Log'!$C$2:$C$70=$C848),
    0),
    MATCH($G848,'GIR Log'!$E$1:$V$1,0)
  ),
"")</f>
        <v>0</v>
      </c>
    </row>
    <row r="849" spans="1:17" x14ac:dyDescent="0.25">
      <c r="A849" s="51" t="s">
        <v>130</v>
      </c>
      <c r="B849" s="2">
        <v>45156</v>
      </c>
      <c r="C849" s="51" t="s">
        <v>46</v>
      </c>
      <c r="D849" s="51" t="s">
        <v>78</v>
      </c>
      <c r="E849" s="51" t="s">
        <v>34</v>
      </c>
      <c r="F849">
        <v>89</v>
      </c>
      <c r="G849" t="s">
        <v>48</v>
      </c>
      <c r="H849" s="9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Log'!$E$2:$V$70,
    MATCH(1,
      ('Golf Log'!$A$2:$A$70=$A849)*
      ('Golf Log'!$B$2:$B$70=$B849)*
      ('Golf Log'!$C$2:$C$70=$C849),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Log'!$E$2:$V$70,
    MATCH(1,
      ('Putt Log'!$A$2:$A$70=$A849)*
      ('Putt Log'!$B$2:$B$70=$B849)*
      ('Putt Log'!$C$2:$C$70=$C849),
    0),
    MATCH($G849,'Putt Log'!$E$1:$V$1,0)
  ),
"")</f>
        <v>2</v>
      </c>
      <c r="P849" cm="1">
        <f t="array" ref="P849">IF(K849=3,"",
  IFERROR(
    INDEX('Fairway Log'!$E$2:$V$70,
      MATCH(1,
        ('Fairway Log'!$A$2:$A$70=$A849)*
        ('Fairway Log'!$B$2:$B$70=$B849)*
        ('Fairway Log'!$C$2:$C920=$C849),
      0),
      MATCH($G849,'Fairway Log'!$E$1:$V$1,0)
    ),
  "")
)</f>
        <v>0</v>
      </c>
      <c r="Q849" cm="1">
        <f t="array" ref="Q849">IFERROR(
  INDEX('GIR Log'!$E$2:$V$70,
    MATCH(1,
      ('GIR Log'!$A$2:$A$70=$A849)*
      ('GIR Log'!$B$2:$B$70=$B849)*
      ('GIR Log'!$C$2:$C$70=$C849),
    0),
    MATCH($G849,'GIR Log'!$E$1:$V$1,0)
  ),
"")</f>
        <v>0</v>
      </c>
    </row>
    <row r="850" spans="1:17" x14ac:dyDescent="0.25">
      <c r="A850" s="51" t="s">
        <v>130</v>
      </c>
      <c r="B850" s="2">
        <v>45156</v>
      </c>
      <c r="C850" s="51" t="s">
        <v>46</v>
      </c>
      <c r="D850" s="51" t="s">
        <v>78</v>
      </c>
      <c r="E850" s="51" t="s">
        <v>34</v>
      </c>
      <c r="F850">
        <v>89</v>
      </c>
      <c r="G850" t="s">
        <v>49</v>
      </c>
      <c r="H850" s="9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Log'!$E$2:$V$70,
    MATCH(1,
      ('Golf Log'!$A$2:$A$70=$A850)*
      ('Golf Log'!$B$2:$B$70=$B850)*
      ('Golf Log'!$C$2:$C$70=$C850),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Log'!$E$2:$V$70,
    MATCH(1,
      ('Putt Log'!$A$2:$A$70=$A850)*
      ('Putt Log'!$B$2:$B$70=$B850)*
      ('Putt Log'!$C$2:$C$70=$C850),
    0),
    MATCH($G850,'Putt Log'!$E$1:$V$1,0)
  ),
"")</f>
        <v>2</v>
      </c>
      <c r="P850" cm="1">
        <f t="array" ref="P850">IF(K850=3,"",
  IFERROR(
    INDEX('Fairway Log'!$E$2:$V$70,
      MATCH(1,
        ('Fairway Log'!$A$2:$A$70=$A850)*
        ('Fairway Log'!$B$2:$B$70=$B850)*
        ('Fairway Log'!$C$2:$C921=$C850),
      0),
      MATCH($G850,'Fairway Log'!$E$1:$V$1,0)
    ),
  "")
)</f>
        <v>0</v>
      </c>
      <c r="Q850" cm="1">
        <f t="array" ref="Q850">IFERROR(
  INDEX('GIR Log'!$E$2:$V$70,
    MATCH(1,
      ('GIR Log'!$A$2:$A$70=$A850)*
      ('GIR Log'!$B$2:$B$70=$B850)*
      ('GIR Log'!$C$2:$C$70=$C850),
    0),
    MATCH($G850,'GIR Log'!$E$1:$V$1,0)
  ),
"")</f>
        <v>0</v>
      </c>
    </row>
    <row r="851" spans="1:17" x14ac:dyDescent="0.25">
      <c r="A851" s="51" t="s">
        <v>130</v>
      </c>
      <c r="B851" s="2">
        <v>45156</v>
      </c>
      <c r="C851" s="51" t="s">
        <v>46</v>
      </c>
      <c r="D851" s="51" t="s">
        <v>78</v>
      </c>
      <c r="E851" s="51" t="s">
        <v>34</v>
      </c>
      <c r="F851">
        <v>89</v>
      </c>
      <c r="G851" t="s">
        <v>50</v>
      </c>
      <c r="H851" s="9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Log'!$E$2:$V$70,
    MATCH(1,
      ('Golf Log'!$A$2:$A$70=$A851)*
      ('Golf Log'!$B$2:$B$70=$B851)*
      ('Golf Log'!$C$2:$C$70=$C851),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Log'!$E$2:$V$70,
    MATCH(1,
      ('Putt Log'!$A$2:$A$70=$A851)*
      ('Putt Log'!$B$2:$B$70=$B851)*
      ('Putt Log'!$C$2:$C$70=$C851),
    0),
    MATCH($G851,'Putt Log'!$E$1:$V$1,0)
  ),
"")</f>
        <v>3</v>
      </c>
      <c r="P851" cm="1">
        <f t="array" ref="P851">IF(K851=3,"",
  IFERROR(
    INDEX('Fairway Log'!$E$2:$V$70,
      MATCH(1,
        ('Fairway Log'!$A$2:$A$70=$A851)*
        ('Fairway Log'!$B$2:$B$70=$B851)*
        ('Fairway Log'!$C$2:$C922=$C851),
      0),
      MATCH($G851,'Fairway Log'!$E$1:$V$1,0)
    ),
  "")
)</f>
        <v>0</v>
      </c>
      <c r="Q851" cm="1">
        <f t="array" ref="Q851">IFERROR(
  INDEX('GIR Log'!$E$2:$V$70,
    MATCH(1,
      ('GIR Log'!$A$2:$A$70=$A851)*
      ('GIR Log'!$B$2:$B$70=$B851)*
      ('GIR Log'!$C$2:$C$70=$C851),
    0),
    MATCH($G851,'GIR Log'!$E$1:$V$1,0)
  ),
"")</f>
        <v>0</v>
      </c>
    </row>
    <row r="852" spans="1:17" x14ac:dyDescent="0.25">
      <c r="A852" s="51" t="s">
        <v>130</v>
      </c>
      <c r="B852" s="2">
        <v>45156</v>
      </c>
      <c r="C852" s="51" t="s">
        <v>46</v>
      </c>
      <c r="D852" s="51" t="s">
        <v>78</v>
      </c>
      <c r="E852" s="51" t="s">
        <v>34</v>
      </c>
      <c r="F852">
        <v>89</v>
      </c>
      <c r="G852" t="s">
        <v>51</v>
      </c>
      <c r="H852" s="9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Log'!$E$2:$V$70,
    MATCH(1,
      ('Golf Log'!$A$2:$A$70=$A852)*
      ('Golf Log'!$B$2:$B$70=$B852)*
      ('Golf Log'!$C$2:$C$70=$C852),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Log'!$E$2:$V$70,
    MATCH(1,
      ('Putt Log'!$A$2:$A$70=$A852)*
      ('Putt Log'!$B$2:$B$70=$B852)*
      ('Putt Log'!$C$2:$C$70=$C852),
    0),
    MATCH($G852,'Putt Log'!$E$1:$V$1,0)
  ),
"")</f>
        <v>1</v>
      </c>
      <c r="P852" cm="1">
        <f t="array" ref="P852">IF(K852=3,"",
  IFERROR(
    INDEX('Fairway Log'!$E$2:$V$70,
      MATCH(1,
        ('Fairway Log'!$A$2:$A$70=$A852)*
        ('Fairway Log'!$B$2:$B$70=$B852)*
        ('Fairway Log'!$C$2:$C923=$C852),
      0),
      MATCH($G852,'Fairway Log'!$E$1:$V$1,0)
    ),
  "")
)</f>
        <v>0</v>
      </c>
      <c r="Q852" cm="1">
        <f t="array" ref="Q852">IFERROR(
  INDEX('GIR Log'!$E$2:$V$70,
    MATCH(1,
      ('GIR Log'!$A$2:$A$70=$A852)*
      ('GIR Log'!$B$2:$B$70=$B852)*
      ('GIR Log'!$C$2:$C$70=$C852),
    0),
    MATCH($G852,'GIR Log'!$E$1:$V$1,0)
  ),
"")</f>
        <v>0</v>
      </c>
    </row>
    <row r="853" spans="1:17" x14ac:dyDescent="0.25">
      <c r="A853" s="51" t="s">
        <v>130</v>
      </c>
      <c r="B853" s="2">
        <v>45156</v>
      </c>
      <c r="C853" s="51" t="s">
        <v>46</v>
      </c>
      <c r="D853" s="51" t="s">
        <v>78</v>
      </c>
      <c r="E853" s="51" t="s">
        <v>34</v>
      </c>
      <c r="F853">
        <v>89</v>
      </c>
      <c r="G853" t="s">
        <v>52</v>
      </c>
      <c r="H853" s="9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Log'!$E$2:$V$70,
    MATCH(1,
      ('Golf Log'!$A$2:$A$70=$A853)*
      ('Golf Log'!$B$2:$B$70=$B853)*
      ('Golf Log'!$C$2:$C$70=$C853),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Log'!$E$2:$V$70,
    MATCH(1,
      ('Putt Log'!$A$2:$A$70=$A853)*
      ('Putt Log'!$B$2:$B$70=$B853)*
      ('Putt Log'!$C$2:$C$70=$C853),
    0),
    MATCH($G853,'Putt Log'!$E$1:$V$1,0)
  ),
"")</f>
        <v>2</v>
      </c>
      <c r="P853" cm="1">
        <f t="array" ref="P853">IF(K853=3,"",
  IFERROR(
    INDEX('Fairway Log'!$E$2:$V$70,
      MATCH(1,
        ('Fairway Log'!$A$2:$A$70=$A853)*
        ('Fairway Log'!$B$2:$B$70=$B853)*
        ('Fairway Log'!$C$2:$C924=$C853),
      0),
      MATCH($G853,'Fairway Log'!$E$1:$V$1,0)
    ),
  "")
)</f>
        <v>0</v>
      </c>
      <c r="Q853" cm="1">
        <f t="array" ref="Q853">IFERROR(
  INDEX('GIR Log'!$E$2:$V$70,
    MATCH(1,
      ('GIR Log'!$A$2:$A$70=$A853)*
      ('GIR Log'!$B$2:$B$70=$B853)*
      ('GIR Log'!$C$2:$C$70=$C853),
    0),
    MATCH($G853,'GIR Log'!$E$1:$V$1,0)
  ),
"")</f>
        <v>0</v>
      </c>
    </row>
    <row r="854" spans="1:17" x14ac:dyDescent="0.25">
      <c r="A854" s="51" t="s">
        <v>130</v>
      </c>
      <c r="B854" s="2">
        <v>45156</v>
      </c>
      <c r="C854" s="51" t="s">
        <v>46</v>
      </c>
      <c r="D854" s="51" t="s">
        <v>78</v>
      </c>
      <c r="E854" s="51" t="s">
        <v>34</v>
      </c>
      <c r="F854">
        <v>89</v>
      </c>
      <c r="G854" t="s">
        <v>53</v>
      </c>
      <c r="H854" s="9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Log'!$E$2:$V$70,
    MATCH(1,
      ('Golf Log'!$A$2:$A$70=$A854)*
      ('Golf Log'!$B$2:$B$70=$B854)*
      ('Golf Log'!$C$2:$C$70=$C854),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Log'!$E$2:$V$70,
    MATCH(1,
      ('Putt Log'!$A$2:$A$70=$A854)*
      ('Putt Log'!$B$2:$B$70=$B854)*
      ('Putt Log'!$C$2:$C$70=$C854),
    0),
    MATCH($G854,'Putt Log'!$E$1:$V$1,0)
  ),
"")</f>
        <v>2</v>
      </c>
      <c r="P854" cm="1">
        <f t="array" ref="P854">IF(K854=3,"",
  IFERROR(
    INDEX('Fairway Log'!$E$2:$V$70,
      MATCH(1,
        ('Fairway Log'!$A$2:$A$70=$A854)*
        ('Fairway Log'!$B$2:$B$70=$B854)*
        ('Fairway Log'!$C$2:$C925=$C854),
      0),
      MATCH($G854,'Fairway Log'!$E$1:$V$1,0)
    ),
  "")
)</f>
        <v>0</v>
      </c>
      <c r="Q854" cm="1">
        <f t="array" ref="Q854">IFERROR(
  INDEX('GIR Log'!$E$2:$V$70,
    MATCH(1,
      ('GIR Log'!$A$2:$A$70=$A854)*
      ('GIR Log'!$B$2:$B$70=$B854)*
      ('GIR Log'!$C$2:$C$70=$C854),
    0),
    MATCH($G854,'GIR Log'!$E$1:$V$1,0)
  ),
"")</f>
        <v>0</v>
      </c>
    </row>
    <row r="855" spans="1:17" x14ac:dyDescent="0.25">
      <c r="A855" s="51" t="s">
        <v>130</v>
      </c>
      <c r="B855" s="2">
        <v>45156</v>
      </c>
      <c r="C855" s="51" t="s">
        <v>46</v>
      </c>
      <c r="D855" s="51" t="s">
        <v>78</v>
      </c>
      <c r="E855" s="51" t="s">
        <v>34</v>
      </c>
      <c r="F855">
        <v>89</v>
      </c>
      <c r="G855" t="s">
        <v>54</v>
      </c>
      <c r="H855" s="9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Log'!$E$2:$V$70,
    MATCH(1,
      ('Golf Log'!$A$2:$A$70=$A855)*
      ('Golf Log'!$B$2:$B$70=$B855)*
      ('Golf Log'!$C$2:$C$70=$C855),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Log'!$E$2:$V$70,
    MATCH(1,
      ('Putt Log'!$A$2:$A$70=$A855)*
      ('Putt Log'!$B$2:$B$70=$B855)*
      ('Putt Log'!$C$2:$C$70=$C855),
    0),
    MATCH($G855,'Putt Log'!$E$1:$V$1,0)
  ),
"")</f>
        <v>1</v>
      </c>
      <c r="P855" cm="1">
        <f t="array" ref="P855">IF(K855=3,"",
  IFERROR(
    INDEX('Fairway Log'!$E$2:$V$70,
      MATCH(1,
        ('Fairway Log'!$A$2:$A$70=$A855)*
        ('Fairway Log'!$B$2:$B$70=$B855)*
        ('Fairway Log'!$C$2:$C926=$C855),
      0),
      MATCH($G855,'Fairway Log'!$E$1:$V$1,0)
    ),
  "")
)</f>
        <v>0</v>
      </c>
      <c r="Q855" cm="1">
        <f t="array" ref="Q855">IFERROR(
  INDEX('GIR Log'!$E$2:$V$70,
    MATCH(1,
      ('GIR Log'!$A$2:$A$70=$A855)*
      ('GIR Log'!$B$2:$B$70=$B855)*
      ('GIR Log'!$C$2:$C$70=$C855),
    0),
    MATCH($G855,'GIR Log'!$E$1:$V$1,0)
  ),
"")</f>
        <v>0</v>
      </c>
    </row>
    <row r="856" spans="1:17" x14ac:dyDescent="0.25">
      <c r="A856" s="51" t="s">
        <v>130</v>
      </c>
      <c r="B856" s="2">
        <v>45156</v>
      </c>
      <c r="C856" s="51" t="s">
        <v>46</v>
      </c>
      <c r="D856" s="51" t="s">
        <v>78</v>
      </c>
      <c r="E856" s="51" t="s">
        <v>34</v>
      </c>
      <c r="F856">
        <v>89</v>
      </c>
      <c r="G856" t="s">
        <v>55</v>
      </c>
      <c r="H856" s="9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Log'!$E$2:$V$70,
    MATCH(1,
      ('Golf Log'!$A$2:$A$70=$A856)*
      ('Golf Log'!$B$2:$B$70=$B856)*
      ('Golf Log'!$C$2:$C$70=$C856),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Log'!$E$2:$V$70,
    MATCH(1,
      ('Putt Log'!$A$2:$A$70=$A856)*
      ('Putt Log'!$B$2:$B$70=$B856)*
      ('Putt Log'!$C$2:$C$70=$C856),
    0),
    MATCH($G856,'Putt Log'!$E$1:$V$1,0)
  ),
"")</f>
        <v>1</v>
      </c>
      <c r="P856" cm="1">
        <f t="array" ref="P856">IF(K856=3,"",
  IFERROR(
    INDEX('Fairway Log'!$E$2:$V$70,
      MATCH(1,
        ('Fairway Log'!$A$2:$A$70=$A856)*
        ('Fairway Log'!$B$2:$B$70=$B856)*
        ('Fairway Log'!$C$2:$C927=$C856),
      0),
      MATCH($G856,'Fairway Log'!$E$1:$V$1,0)
    ),
  "")
)</f>
        <v>0</v>
      </c>
      <c r="Q856" cm="1">
        <f t="array" ref="Q856">IFERROR(
  INDEX('GIR Log'!$E$2:$V$70,
    MATCH(1,
      ('GIR Log'!$A$2:$A$70=$A856)*
      ('GIR Log'!$B$2:$B$70=$B856)*
      ('GIR Log'!$C$2:$C$70=$C856),
    0),
    MATCH($G856,'GIR Log'!$E$1:$V$1,0)
  ),
"")</f>
        <v>0</v>
      </c>
    </row>
    <row r="857" spans="1:17" x14ac:dyDescent="0.25">
      <c r="A857" s="51" t="s">
        <v>130</v>
      </c>
      <c r="B857" s="2">
        <v>45156</v>
      </c>
      <c r="C857" s="51" t="s">
        <v>46</v>
      </c>
      <c r="D857" s="51" t="s">
        <v>78</v>
      </c>
      <c r="E857" s="51" t="s">
        <v>34</v>
      </c>
      <c r="F857">
        <v>89</v>
      </c>
      <c r="G857" t="s">
        <v>56</v>
      </c>
      <c r="H857" s="9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Log'!$E$2:$V$70,
    MATCH(1,
      ('Golf Log'!$A$2:$A$70=$A857)*
      ('Golf Log'!$B$2:$B$70=$B857)*
      ('Golf Log'!$C$2:$C$70=$C857),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Log'!$E$2:$V$70,
    MATCH(1,
      ('Putt Log'!$A$2:$A$70=$A857)*
      ('Putt Log'!$B$2:$B$70=$B857)*
      ('Putt Log'!$C$2:$C$70=$C857),
    0),
    MATCH($G857,'Putt Log'!$E$1:$V$1,0)
  ),
"")</f>
        <v>2</v>
      </c>
      <c r="P857" cm="1">
        <f t="array" ref="P857">IF(K857=3,"",
  IFERROR(
    INDEX('Fairway Log'!$E$2:$V$70,
      MATCH(1,
        ('Fairway Log'!$A$2:$A$70=$A857)*
        ('Fairway Log'!$B$2:$B$70=$B857)*
        ('Fairway Log'!$C$2:$C928=$C857),
      0),
      MATCH($G857,'Fairway Log'!$E$1:$V$1,0)
    ),
  "")
)</f>
        <v>0</v>
      </c>
      <c r="Q857" cm="1">
        <f t="array" ref="Q857">IFERROR(
  INDEX('GIR Log'!$E$2:$V$70,
    MATCH(1,
      ('GIR Log'!$A$2:$A$70=$A857)*
      ('GIR Log'!$B$2:$B$70=$B857)*
      ('GIR Log'!$C$2:$C$70=$C857),
    0),
    MATCH($G857,'GIR Log'!$E$1:$V$1,0)
  ),
"")</f>
        <v>0</v>
      </c>
    </row>
    <row r="858" spans="1:17" x14ac:dyDescent="0.25">
      <c r="A858" s="51" t="s">
        <v>130</v>
      </c>
      <c r="B858" s="2">
        <v>45156</v>
      </c>
      <c r="C858" s="51" t="s">
        <v>46</v>
      </c>
      <c r="D858" s="51" t="s">
        <v>78</v>
      </c>
      <c r="E858" s="51" t="s">
        <v>34</v>
      </c>
      <c r="F858">
        <v>89</v>
      </c>
      <c r="G858" t="s">
        <v>57</v>
      </c>
      <c r="H858" s="9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Log'!$E$2:$V$70,
    MATCH(1,
      ('Golf Log'!$A$2:$A$70=$A858)*
      ('Golf Log'!$B$2:$B$70=$B858)*
      ('Golf Log'!$C$2:$C$70=$C858),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Log'!$E$2:$V$70,
    MATCH(1,
      ('Putt Log'!$A$2:$A$70=$A858)*
      ('Putt Log'!$B$2:$B$70=$B858)*
      ('Putt Log'!$C$2:$C$70=$C858),
    0),
    MATCH($G858,'Putt Log'!$E$1:$V$1,0)
  ),
"")</f>
        <v>2</v>
      </c>
      <c r="P858" cm="1">
        <f t="array" ref="P858">IF(K858=3,"",
  IFERROR(
    INDEX('Fairway Log'!$E$2:$V$70,
      MATCH(1,
        ('Fairway Log'!$A$2:$A$70=$A858)*
        ('Fairway Log'!$B$2:$B$70=$B858)*
        ('Fairway Log'!$C$2:$C929=$C858),
      0),
      MATCH($G858,'Fairway Log'!$E$1:$V$1,0)
    ),
  "")
)</f>
        <v>0</v>
      </c>
      <c r="Q858" cm="1">
        <f t="array" ref="Q858">IFERROR(
  INDEX('GIR Log'!$E$2:$V$70,
    MATCH(1,
      ('GIR Log'!$A$2:$A$70=$A858)*
      ('GIR Log'!$B$2:$B$70=$B858)*
      ('GIR Log'!$C$2:$C$70=$C858),
    0),
    MATCH($G858,'GIR Log'!$E$1:$V$1,0)
  ),
"")</f>
        <v>0</v>
      </c>
    </row>
    <row r="859" spans="1:17" x14ac:dyDescent="0.25">
      <c r="A859" s="51" t="s">
        <v>130</v>
      </c>
      <c r="B859" s="2">
        <v>45156</v>
      </c>
      <c r="C859" s="51" t="s">
        <v>46</v>
      </c>
      <c r="D859" s="51" t="s">
        <v>78</v>
      </c>
      <c r="E859" s="51" t="s">
        <v>34</v>
      </c>
      <c r="F859">
        <v>89</v>
      </c>
      <c r="G859" t="s">
        <v>58</v>
      </c>
      <c r="H859" s="9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Log'!$E$2:$V$70,
    MATCH(1,
      ('Golf Log'!$A$2:$A$70=$A859)*
      ('Golf Log'!$B$2:$B$70=$B859)*
      ('Golf Log'!$C$2:$C$70=$C859),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Log'!$E$2:$V$70,
    MATCH(1,
      ('Putt Log'!$A$2:$A$70=$A859)*
      ('Putt Log'!$B$2:$B$70=$B859)*
      ('Putt Log'!$C$2:$C$70=$C859),
    0),
    MATCH($G859,'Putt Log'!$E$1:$V$1,0)
  ),
"")</f>
        <v>2</v>
      </c>
      <c r="P859" cm="1">
        <f t="array" ref="P859">IF(K859=3,"",
  IFERROR(
    INDEX('Fairway Log'!$E$2:$V$70,
      MATCH(1,
        ('Fairway Log'!$A$2:$A$70=$A859)*
        ('Fairway Log'!$B$2:$B$70=$B859)*
        ('Fairway Log'!$C$2:$C930=$C859),
      0),
      MATCH($G859,'Fairway Log'!$E$1:$V$1,0)
    ),
  "")
)</f>
        <v>0</v>
      </c>
      <c r="Q859" cm="1">
        <f t="array" ref="Q859">IFERROR(
  INDEX('GIR Log'!$E$2:$V$70,
    MATCH(1,
      ('GIR Log'!$A$2:$A$70=$A859)*
      ('GIR Log'!$B$2:$B$70=$B859)*
      ('GIR Log'!$C$2:$C$70=$C859),
    0),
    MATCH($G859,'GIR Log'!$E$1:$V$1,0)
  ),
"")</f>
        <v>0</v>
      </c>
    </row>
    <row r="860" spans="1:17" x14ac:dyDescent="0.25">
      <c r="A860" s="51" t="s">
        <v>130</v>
      </c>
      <c r="B860" s="2">
        <v>45156</v>
      </c>
      <c r="C860" s="51" t="s">
        <v>46</v>
      </c>
      <c r="D860" s="51" t="s">
        <v>78</v>
      </c>
      <c r="E860" s="51" t="s">
        <v>34</v>
      </c>
      <c r="F860">
        <v>89</v>
      </c>
      <c r="G860" t="s">
        <v>59</v>
      </c>
      <c r="H860" s="9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Log'!$E$2:$V$70,
    MATCH(1,
      ('Golf Log'!$A$2:$A$70=$A860)*
      ('Golf Log'!$B$2:$B$70=$B860)*
      ('Golf Log'!$C$2:$C$70=$C860),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Log'!$E$2:$V$70,
    MATCH(1,
      ('Putt Log'!$A$2:$A$70=$A860)*
      ('Putt Log'!$B$2:$B$70=$B860)*
      ('Putt Log'!$C$2:$C$70=$C860),
    0),
    MATCH($G860,'Putt Log'!$E$1:$V$1,0)
  ),
"")</f>
        <v>1</v>
      </c>
      <c r="P860" cm="1">
        <f t="array" ref="P860">IF(K860=3,"",
  IFERROR(
    INDEX('Fairway Log'!$E$2:$V$70,
      MATCH(1,
        ('Fairway Log'!$A$2:$A$70=$A860)*
        ('Fairway Log'!$B$2:$B$70=$B860)*
        ('Fairway Log'!$C$2:$C931=$C860),
      0),
      MATCH($G860,'Fairway Log'!$E$1:$V$1,0)
    ),
  "")
)</f>
        <v>0</v>
      </c>
      <c r="Q860" cm="1">
        <f t="array" ref="Q860">IFERROR(
  INDEX('GIR Log'!$E$2:$V$70,
    MATCH(1,
      ('GIR Log'!$A$2:$A$70=$A860)*
      ('GIR Log'!$B$2:$B$70=$B860)*
      ('GIR Log'!$C$2:$C$70=$C860),
    0),
    MATCH($G860,'GIR Log'!$E$1:$V$1,0)
  ),
"")</f>
        <v>0</v>
      </c>
    </row>
    <row r="861" spans="1:17" x14ac:dyDescent="0.25">
      <c r="A861" s="51" t="s">
        <v>130</v>
      </c>
      <c r="B861" s="2">
        <v>45156</v>
      </c>
      <c r="C861" s="51" t="s">
        <v>46</v>
      </c>
      <c r="D861" s="51" t="s">
        <v>78</v>
      </c>
      <c r="E861" s="51" t="s">
        <v>34</v>
      </c>
      <c r="F861">
        <v>89</v>
      </c>
      <c r="G861" t="s">
        <v>60</v>
      </c>
      <c r="H861" s="9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Log'!$E$2:$V$70,
    MATCH(1,
      ('Golf Log'!$A$2:$A$70=$A861)*
      ('Golf Log'!$B$2:$B$70=$B861)*
      ('Golf Log'!$C$2:$C$70=$C861),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Log'!$E$2:$V$70,
    MATCH(1,
      ('Putt Log'!$A$2:$A$70=$A861)*
      ('Putt Log'!$B$2:$B$70=$B861)*
      ('Putt Log'!$C$2:$C$70=$C861),
    0),
    MATCH($G861,'Putt Log'!$E$1:$V$1,0)
  ),
"")</f>
        <v>2</v>
      </c>
      <c r="P861" cm="1">
        <f t="array" ref="P861">IF(K861=3,"",
  IFERROR(
    INDEX('Fairway Log'!$E$2:$V$70,
      MATCH(1,
        ('Fairway Log'!$A$2:$A$70=$A861)*
        ('Fairway Log'!$B$2:$B$70=$B861)*
        ('Fairway Log'!$C$2:$C932=$C861),
      0),
      MATCH($G861,'Fairway Log'!$E$1:$V$1,0)
    ),
  "")
)</f>
        <v>0</v>
      </c>
      <c r="Q861" cm="1">
        <f t="array" ref="Q861">IFERROR(
  INDEX('GIR Log'!$E$2:$V$70,
    MATCH(1,
      ('GIR Log'!$A$2:$A$70=$A861)*
      ('GIR Log'!$B$2:$B$70=$B861)*
      ('GIR Log'!$C$2:$C$70=$C861),
    0),
    MATCH($G861,'GIR Log'!$E$1:$V$1,0)
  ),
"")</f>
        <v>0</v>
      </c>
    </row>
    <row r="862" spans="1:17" x14ac:dyDescent="0.25">
      <c r="A862" s="51" t="s">
        <v>130</v>
      </c>
      <c r="B862" s="2">
        <v>45156</v>
      </c>
      <c r="C862" s="51" t="s">
        <v>46</v>
      </c>
      <c r="D862" s="51" t="s">
        <v>78</v>
      </c>
      <c r="E862" s="51" t="s">
        <v>34</v>
      </c>
      <c r="F862">
        <v>89</v>
      </c>
      <c r="G862" t="s">
        <v>61</v>
      </c>
      <c r="H862" s="9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Log'!$E$2:$V$70,
    MATCH(1,
      ('Golf Log'!$A$2:$A$70=$A862)*
      ('Golf Log'!$B$2:$B$70=$B862)*
      ('Golf Log'!$C$2:$C$70=$C862),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Log'!$E$2:$V$70,
    MATCH(1,
      ('Putt Log'!$A$2:$A$70=$A862)*
      ('Putt Log'!$B$2:$B$70=$B862)*
      ('Putt Log'!$C$2:$C$70=$C862),
    0),
    MATCH($G862,'Putt Log'!$E$1:$V$1,0)
  ),
"")</f>
        <v>1</v>
      </c>
      <c r="P862" cm="1">
        <f t="array" ref="P862">IF(K862=3,"",
  IFERROR(
    INDEX('Fairway Log'!$E$2:$V$70,
      MATCH(1,
        ('Fairway Log'!$A$2:$A$70=$A862)*
        ('Fairway Log'!$B$2:$B$70=$B862)*
        ('Fairway Log'!$C$2:$C933=$C862),
      0),
      MATCH($G862,'Fairway Log'!$E$1:$V$1,0)
    ),
  "")
)</f>
        <v>0</v>
      </c>
      <c r="Q862" cm="1">
        <f t="array" ref="Q862">IFERROR(
  INDEX('GIR Log'!$E$2:$V$70,
    MATCH(1,
      ('GIR Log'!$A$2:$A$70=$A862)*
      ('GIR Log'!$B$2:$B$70=$B862)*
      ('GIR Log'!$C$2:$C$70=$C862),
    0),
    MATCH($G862,'GIR Log'!$E$1:$V$1,0)
  ),
"")</f>
        <v>0</v>
      </c>
    </row>
    <row r="863" spans="1:17" x14ac:dyDescent="0.25">
      <c r="A863" s="51" t="s">
        <v>130</v>
      </c>
      <c r="B863" s="2">
        <v>45156</v>
      </c>
      <c r="C863" s="51" t="s">
        <v>46</v>
      </c>
      <c r="D863" s="51" t="s">
        <v>78</v>
      </c>
      <c r="E863" s="51" t="s">
        <v>34</v>
      </c>
      <c r="F863">
        <v>89</v>
      </c>
      <c r="G863" t="s">
        <v>62</v>
      </c>
      <c r="H863" s="9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Log'!$E$2:$V$70,
    MATCH(1,
      ('Golf Log'!$A$2:$A$70=$A863)*
      ('Golf Log'!$B$2:$B$70=$B863)*
      ('Golf Log'!$C$2:$C$70=$C863),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Log'!$E$2:$V$70,
    MATCH(1,
      ('Putt Log'!$A$2:$A$70=$A863)*
      ('Putt Log'!$B$2:$B$70=$B863)*
      ('Putt Log'!$C$2:$C$70=$C863),
    0),
    MATCH($G863,'Putt Log'!$E$1:$V$1,0)
  ),
"")</f>
        <v>1</v>
      </c>
      <c r="P863" cm="1">
        <f t="array" ref="P863">IF(K863=3,"",
  IFERROR(
    INDEX('Fairway Log'!$E$2:$V$70,
      MATCH(1,
        ('Fairway Log'!$A$2:$A$70=$A863)*
        ('Fairway Log'!$B$2:$B$70=$B863)*
        ('Fairway Log'!$C$2:$C934=$C863),
      0),
      MATCH($G863,'Fairway Log'!$E$1:$V$1,0)
    ),
  "")
)</f>
        <v>0</v>
      </c>
      <c r="Q863" cm="1">
        <f t="array" ref="Q863">IFERROR(
  INDEX('GIR Log'!$E$2:$V$70,
    MATCH(1,
      ('GIR Log'!$A$2:$A$70=$A863)*
      ('GIR Log'!$B$2:$B$70=$B863)*
      ('GIR Log'!$C$2:$C$70=$C863),
    0),
    MATCH($G863,'GIR Log'!$E$1:$V$1,0)
  ),
"")</f>
        <v>0</v>
      </c>
    </row>
    <row r="864" spans="1:17" x14ac:dyDescent="0.25">
      <c r="A864" s="51" t="s">
        <v>130</v>
      </c>
      <c r="B864" s="2">
        <v>45156</v>
      </c>
      <c r="C864" s="51" t="s">
        <v>46</v>
      </c>
      <c r="D864" s="51" t="s">
        <v>78</v>
      </c>
      <c r="E864" s="51" t="s">
        <v>34</v>
      </c>
      <c r="F864">
        <v>89</v>
      </c>
      <c r="G864" t="s">
        <v>63</v>
      </c>
      <c r="H864" s="9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Log'!$E$2:$V$70,
    MATCH(1,
      ('Golf Log'!$A$2:$A$70=$A864)*
      ('Golf Log'!$B$2:$B$70=$B864)*
      ('Golf Log'!$C$2:$C$70=$C864),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Log'!$E$2:$V$70,
    MATCH(1,
      ('Putt Log'!$A$2:$A$70=$A864)*
      ('Putt Log'!$B$2:$B$70=$B864)*
      ('Putt Log'!$C$2:$C$70=$C864),
    0),
    MATCH($G864,'Putt Log'!$E$1:$V$1,0)
  ),
"")</f>
        <v>2</v>
      </c>
      <c r="P864" cm="1">
        <f t="array" ref="P864">IF(K864=3,"",
  IFERROR(
    INDEX('Fairway Log'!$E$2:$V$70,
      MATCH(1,
        ('Fairway Log'!$A$2:$A$70=$A864)*
        ('Fairway Log'!$B$2:$B$70=$B864)*
        ('Fairway Log'!$C$2:$C935=$C864),
      0),
      MATCH($G864,'Fairway Log'!$E$1:$V$1,0)
    ),
  "")
)</f>
        <v>0</v>
      </c>
      <c r="Q864" cm="1">
        <f t="array" ref="Q864">IFERROR(
  INDEX('GIR Log'!$E$2:$V$70,
    MATCH(1,
      ('GIR Log'!$A$2:$A$70=$A864)*
      ('GIR Log'!$B$2:$B$70=$B864)*
      ('GIR Log'!$C$2:$C$70=$C864),
    0),
    MATCH($G864,'GIR Log'!$E$1:$V$1,0)
  ),
"")</f>
        <v>0</v>
      </c>
    </row>
    <row r="865" spans="1:17" x14ac:dyDescent="0.25">
      <c r="A865" s="51" t="s">
        <v>130</v>
      </c>
      <c r="B865" s="2">
        <v>45156</v>
      </c>
      <c r="C865" s="51" t="s">
        <v>46</v>
      </c>
      <c r="D865" s="51" t="s">
        <v>78</v>
      </c>
      <c r="E865" s="51" t="s">
        <v>34</v>
      </c>
      <c r="F865">
        <v>89</v>
      </c>
      <c r="G865" t="s">
        <v>64</v>
      </c>
      <c r="H865" s="9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Log'!$E$2:$V$70,
    MATCH(1,
      ('Golf Log'!$A$2:$A$70=$A865)*
      ('Golf Log'!$B$2:$B$70=$B865)*
      ('Golf Log'!$C$2:$C$70=$C865),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Log'!$E$2:$V$70,
    MATCH(1,
      ('Putt Log'!$A$2:$A$70=$A865)*
      ('Putt Log'!$B$2:$B$70=$B865)*
      ('Putt Log'!$C$2:$C$70=$C865),
    0),
    MATCH($G865,'Putt Log'!$E$1:$V$1,0)
  ),
"")</f>
        <v>3</v>
      </c>
      <c r="P865" cm="1">
        <f t="array" ref="P865">IF(K865=3,"",
  IFERROR(
    INDEX('Fairway Log'!$E$2:$V$70,
      MATCH(1,
        ('Fairway Log'!$A$2:$A$70=$A865)*
        ('Fairway Log'!$B$2:$B$70=$B865)*
        ('Fairway Log'!$C$2:$C936=$C865),
      0),
      MATCH($G865,'Fairway Log'!$E$1:$V$1,0)
    ),
  "")
)</f>
        <v>0</v>
      </c>
      <c r="Q865" cm="1">
        <f t="array" ref="Q865">IFERROR(
  INDEX('GIR Log'!$E$2:$V$70,
    MATCH(1,
      ('GIR Log'!$A$2:$A$70=$A865)*
      ('GIR Log'!$B$2:$B$70=$B865)*
      ('GIR Log'!$C$2:$C$70=$C865),
    0),
    MATCH($G865,'GIR Log'!$E$1:$V$1,0)
  ),
"")</f>
        <v>0</v>
      </c>
    </row>
    <row r="866" spans="1:17" x14ac:dyDescent="0.25">
      <c r="A866" s="51" t="s">
        <v>130</v>
      </c>
      <c r="B866" s="2">
        <v>45465</v>
      </c>
      <c r="C866" t="s">
        <v>12</v>
      </c>
      <c r="D866" s="51" t="s">
        <v>76</v>
      </c>
      <c r="E866" s="51" t="s">
        <v>34</v>
      </c>
      <c r="F866">
        <v>99</v>
      </c>
      <c r="G866" s="12" t="s">
        <v>47</v>
      </c>
      <c r="H866" s="9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Log'!$E$2:$V$70,
    MATCH(1,
      ('Golf Log'!$A$2:$A$70=$A866)*
      ('Golf Log'!$B$2:$B$70=$B866)*
      ('Golf Log'!$C$2:$C$70=$C866),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Log'!$E$2:$V$70,
    MATCH(1,
      ('Putt Log'!$A$2:$A$70=$A866)*
      ('Putt Log'!$B$2:$B$70=$B866)*
      ('Putt Log'!$C$2:$C$70=$C866),
    0),
    MATCH($G866,'Putt Log'!$E$1:$V$1,0)
  ),
"")</f>
        <v>1</v>
      </c>
      <c r="P866" t="str" cm="1">
        <f t="array" ref="P866">IF(K866=3,"",
  IFERROR(
    INDEX('Fairway Log'!$E$2:$V$70,
      MATCH(1,
        ('Fairway Log'!$A$2:$A$70=$A866)*
        ('Fairway Log'!$B$2:$B$70=$B866)*
        ('Fairway Log'!$C$2:$C937=$C866),
      0),
      MATCH($G866,'Fairway Log'!$E$1:$V$1,0)
    ),
  "")
)</f>
        <v>↓</v>
      </c>
      <c r="Q866" t="str" cm="1">
        <f t="array" ref="Q866">IFERROR(
  INDEX('GIR Log'!$E$2:$V$70,
    MATCH(1,
      ('GIR Log'!$A$2:$A$70=$A866)*
      ('GIR Log'!$B$2:$B$70=$B866)*
      ('GIR Log'!$C$2:$C$70=$C866),
    0),
    MATCH($G866,'GIR Log'!$E$1:$V$1,0)
  ),
"")</f>
        <v>↓</v>
      </c>
    </row>
    <row r="867" spans="1:17" x14ac:dyDescent="0.25">
      <c r="A867" s="51" t="s">
        <v>130</v>
      </c>
      <c r="B867" s="2">
        <v>45465</v>
      </c>
      <c r="C867" t="s">
        <v>12</v>
      </c>
      <c r="D867" s="51" t="s">
        <v>76</v>
      </c>
      <c r="E867" s="51" t="s">
        <v>34</v>
      </c>
      <c r="F867">
        <v>99</v>
      </c>
      <c r="G867" s="12" t="s">
        <v>48</v>
      </c>
      <c r="H867" s="9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Log'!$E$2:$V$70,
    MATCH(1,
      ('Golf Log'!$A$2:$A$70=$A867)*
      ('Golf Log'!$B$2:$B$70=$B867)*
      ('Golf Log'!$C$2:$C$70=$C867),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Log'!$E$2:$V$70,
    MATCH(1,
      ('Putt Log'!$A$2:$A$70=$A867)*
      ('Putt Log'!$B$2:$B$70=$B867)*
      ('Putt Log'!$C$2:$C$70=$C867),
    0),
    MATCH($G867,'Putt Log'!$E$1:$V$1,0)
  ),
"")</f>
        <v>1</v>
      </c>
      <c r="P867" t="str" cm="1">
        <f t="array" ref="P867">IF(K867=3,"",
  IFERROR(
    INDEX('Fairway Log'!$E$2:$V$70,
      MATCH(1,
        ('Fairway Log'!$A$2:$A$70=$A867)*
        ('Fairway Log'!$B$2:$B$70=$B867)*
        ('Fairway Log'!$C$2:$C938=$C867),
      0),
      MATCH($G867,'Fairway Log'!$E$1:$V$1,0)
    ),
  "")
)</f>
        <v>←</v>
      </c>
      <c r="Q867" t="str" cm="1">
        <f t="array" ref="Q867">IFERROR(
  INDEX('GIR Log'!$E$2:$V$70,
    MATCH(1,
      ('GIR Log'!$A$2:$A$70=$A867)*
      ('GIR Log'!$B$2:$B$70=$B867)*
      ('GIR Log'!$C$2:$C$70=$C867),
    0),
    MATCH($G867,'GIR Log'!$E$1:$V$1,0)
  ),
"")</f>
        <v>↓</v>
      </c>
    </row>
    <row r="868" spans="1:17" x14ac:dyDescent="0.25">
      <c r="A868" s="51" t="s">
        <v>130</v>
      </c>
      <c r="B868" s="2">
        <v>45465</v>
      </c>
      <c r="C868" t="s">
        <v>12</v>
      </c>
      <c r="D868" s="51" t="s">
        <v>76</v>
      </c>
      <c r="E868" s="51" t="s">
        <v>34</v>
      </c>
      <c r="F868">
        <v>99</v>
      </c>
      <c r="G868" s="12" t="s">
        <v>49</v>
      </c>
      <c r="H868" s="9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Log'!$E$2:$V$70,
    MATCH(1,
      ('Golf Log'!$A$2:$A$70=$A868)*
      ('Golf Log'!$B$2:$B$70=$B868)*
      ('Golf Log'!$C$2:$C$70=$C868),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Log'!$E$2:$V$70,
    MATCH(1,
      ('Putt Log'!$A$2:$A$70=$A868)*
      ('Putt Log'!$B$2:$B$70=$B868)*
      ('Putt Log'!$C$2:$C$70=$C868),
    0),
    MATCH($G868,'Putt Log'!$E$1:$V$1,0)
  ),
"")</f>
        <v>2</v>
      </c>
      <c r="P868" t="str" cm="1">
        <f t="array" ref="P868">IF(K868=3,"",
  IFERROR(
    INDEX('Fairway Log'!$E$2:$V$70,
      MATCH(1,
        ('Fairway Log'!$A$2:$A$70=$A868)*
        ('Fairway Log'!$B$2:$B$70=$B868)*
        ('Fairway Log'!$C$2:$C939=$C868),
      0),
      MATCH($G868,'Fairway Log'!$E$1:$V$1,0)
    ),
  "")
)</f>
        <v>←</v>
      </c>
      <c r="Q868" t="str" cm="1">
        <f t="array" ref="Q868">IFERROR(
  INDEX('GIR Log'!$E$2:$V$70,
    MATCH(1,
      ('GIR Log'!$A$2:$A$70=$A868)*
      ('GIR Log'!$B$2:$B$70=$B868)*
      ('GIR Log'!$C$2:$C$70=$C868),
    0),
    MATCH($G868,'GIR Log'!$E$1:$V$1,0)
  ),
"")</f>
        <v>↑</v>
      </c>
    </row>
    <row r="869" spans="1:17" x14ac:dyDescent="0.25">
      <c r="A869" s="51" t="s">
        <v>130</v>
      </c>
      <c r="B869" s="2">
        <v>45465</v>
      </c>
      <c r="C869" t="s">
        <v>12</v>
      </c>
      <c r="D869" s="51" t="s">
        <v>76</v>
      </c>
      <c r="E869" s="51" t="s">
        <v>34</v>
      </c>
      <c r="F869">
        <v>99</v>
      </c>
      <c r="G869" s="12" t="s">
        <v>50</v>
      </c>
      <c r="H869" s="9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Log'!$E$2:$V$70,
    MATCH(1,
      ('Golf Log'!$A$2:$A$70=$A869)*
      ('Golf Log'!$B$2:$B$70=$B869)*
      ('Golf Log'!$C$2:$C$70=$C869),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Log'!$E$2:$V$70,
    MATCH(1,
      ('Putt Log'!$A$2:$A$70=$A869)*
      ('Putt Log'!$B$2:$B$70=$B869)*
      ('Putt Log'!$C$2:$C$70=$C869),
    0),
    MATCH($G869,'Putt Log'!$E$1:$V$1,0)
  ),
"")</f>
        <v>2</v>
      </c>
      <c r="P869" t="str" cm="1">
        <f t="array" ref="P869">IF(K869=3,"",
  IFERROR(
    INDEX('Fairway Log'!$E$2:$V$70,
      MATCH(1,
        ('Fairway Log'!$A$2:$A$70=$A869)*
        ('Fairway Log'!$B$2:$B$70=$B869)*
        ('Fairway Log'!$C$2:$C940=$C869),
      0),
      MATCH($G869,'Fairway Log'!$E$1:$V$1,0)
    ),
  "")
)</f>
        <v>←</v>
      </c>
      <c r="Q869" t="str" cm="1">
        <f t="array" ref="Q869">IFERROR(
  INDEX('GIR Log'!$E$2:$V$70,
    MATCH(1,
      ('GIR Log'!$A$2:$A$70=$A869)*
      ('GIR Log'!$B$2:$B$70=$B869)*
      ('GIR Log'!$C$2:$C$70=$C869),
    0),
    MATCH($G869,'GIR Log'!$E$1:$V$1,0)
  ),
"")</f>
        <v>↓</v>
      </c>
    </row>
    <row r="870" spans="1:17" x14ac:dyDescent="0.25">
      <c r="A870" s="51" t="s">
        <v>130</v>
      </c>
      <c r="B870" s="2">
        <v>45465</v>
      </c>
      <c r="C870" t="s">
        <v>12</v>
      </c>
      <c r="D870" s="51" t="s">
        <v>76</v>
      </c>
      <c r="E870" s="51" t="s">
        <v>34</v>
      </c>
      <c r="F870">
        <v>99</v>
      </c>
      <c r="G870" s="12" t="s">
        <v>51</v>
      </c>
      <c r="H870" s="9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Log'!$E$2:$V$70,
    MATCH(1,
      ('Golf Log'!$A$2:$A$70=$A870)*
      ('Golf Log'!$B$2:$B$70=$B870)*
      ('Golf Log'!$C$2:$C$70=$C870),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Log'!$E$2:$V$70,
    MATCH(1,
      ('Putt Log'!$A$2:$A$70=$A870)*
      ('Putt Log'!$B$2:$B$70=$B870)*
      ('Putt Log'!$C$2:$C$70=$C870),
    0),
    MATCH($G870,'Putt Log'!$E$1:$V$1,0)
  ),
"")</f>
        <v>2</v>
      </c>
      <c r="P870" t="str" cm="1">
        <f t="array" ref="P870">IF(K870=3,"",
  IFERROR(
    INDEX('Fairway Log'!$E$2:$V$70,
      MATCH(1,
        ('Fairway Log'!$A$2:$A$70=$A870)*
        ('Fairway Log'!$B$2:$B$70=$B870)*
        ('Fairway Log'!$C$2:$C941=$C870),
      0),
      MATCH($G870,'Fairway Log'!$E$1:$V$1,0)
    ),
  "")
)</f>
        <v>←</v>
      </c>
      <c r="Q870" t="str" cm="1">
        <f t="array" ref="Q870">IFERROR(
  INDEX('GIR Log'!$E$2:$V$70,
    MATCH(1,
      ('GIR Log'!$A$2:$A$70=$A870)*
      ('GIR Log'!$B$2:$B$70=$B870)*
      ('GIR Log'!$C$2:$C$70=$C870),
    0),
    MATCH($G870,'GIR Log'!$E$1:$V$1,0)
  ),
"")</f>
        <v>→</v>
      </c>
    </row>
    <row r="871" spans="1:17" x14ac:dyDescent="0.25">
      <c r="A871" s="51" t="s">
        <v>130</v>
      </c>
      <c r="B871" s="2">
        <v>45465</v>
      </c>
      <c r="C871" t="s">
        <v>12</v>
      </c>
      <c r="D871" s="51" t="s">
        <v>76</v>
      </c>
      <c r="E871" s="51" t="s">
        <v>34</v>
      </c>
      <c r="F871">
        <v>99</v>
      </c>
      <c r="G871" s="12" t="s">
        <v>52</v>
      </c>
      <c r="H871" s="9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Log'!$E$2:$V$70,
    MATCH(1,
      ('Golf Log'!$A$2:$A$70=$A871)*
      ('Golf Log'!$B$2:$B$70=$B871)*
      ('Golf Log'!$C$2:$C$70=$C871),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Log'!$E$2:$V$70,
    MATCH(1,
      ('Putt Log'!$A$2:$A$70=$A871)*
      ('Putt Log'!$B$2:$B$70=$B871)*
      ('Putt Log'!$C$2:$C$70=$C871),
    0),
    MATCH($G871,'Putt Log'!$E$1:$V$1,0)
  ),
"")</f>
        <v>2</v>
      </c>
      <c r="P871" t="str" cm="1">
        <f t="array" ref="P871">IF(K871=3,"",
  IFERROR(
    INDEX('Fairway Log'!$E$2:$V$70,
      MATCH(1,
        ('Fairway Log'!$A$2:$A$70=$A871)*
        ('Fairway Log'!$B$2:$B$70=$B871)*
        ('Fairway Log'!$C$2:$C942=$C871),
      0),
      MATCH($G871,'Fairway Log'!$E$1:$V$1,0)
    ),
  "")
)</f>
        <v/>
      </c>
      <c r="Q871" t="str" cm="1">
        <f t="array" ref="Q871">IFERROR(
  INDEX('GIR Log'!$E$2:$V$70,
    MATCH(1,
      ('GIR Log'!$A$2:$A$70=$A871)*
      ('GIR Log'!$B$2:$B$70=$B871)*
      ('GIR Log'!$C$2:$C$70=$C871),
    0),
    MATCH($G871,'GIR Log'!$E$1:$V$1,0)
  ),
"")</f>
        <v>↓</v>
      </c>
    </row>
    <row r="872" spans="1:17" x14ac:dyDescent="0.25">
      <c r="A872" s="51" t="s">
        <v>130</v>
      </c>
      <c r="B872" s="2">
        <v>45465</v>
      </c>
      <c r="C872" t="s">
        <v>12</v>
      </c>
      <c r="D872" s="51" t="s">
        <v>76</v>
      </c>
      <c r="E872" s="51" t="s">
        <v>34</v>
      </c>
      <c r="F872">
        <v>99</v>
      </c>
      <c r="G872" s="12" t="s">
        <v>53</v>
      </c>
      <c r="H872" s="9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Log'!$E$2:$V$70,
    MATCH(1,
      ('Golf Log'!$A$2:$A$70=$A872)*
      ('Golf Log'!$B$2:$B$70=$B872)*
      ('Golf Log'!$C$2:$C$70=$C872),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Log'!$E$2:$V$70,
    MATCH(1,
      ('Putt Log'!$A$2:$A$70=$A872)*
      ('Putt Log'!$B$2:$B$70=$B872)*
      ('Putt Log'!$C$2:$C$70=$C872),
    0),
    MATCH($G872,'Putt Log'!$E$1:$V$1,0)
  ),
"")</f>
        <v>2</v>
      </c>
      <c r="P872" t="str" cm="1">
        <f t="array" ref="P872">IF(K872=3,"",
  IFERROR(
    INDEX('Fairway Log'!$E$2:$V$70,
      MATCH(1,
        ('Fairway Log'!$A$2:$A$70=$A872)*
        ('Fairway Log'!$B$2:$B$70=$B872)*
        ('Fairway Log'!$C$2:$C943=$C872),
      0),
      MATCH($G872,'Fairway Log'!$E$1:$V$1,0)
    ),
  "")
)</f>
        <v>←</v>
      </c>
      <c r="Q872" t="str" cm="1">
        <f t="array" ref="Q872">IFERROR(
  INDEX('GIR Log'!$E$2:$V$70,
    MATCH(1,
      ('GIR Log'!$A$2:$A$70=$A872)*
      ('GIR Log'!$B$2:$B$70=$B872)*
      ('GIR Log'!$C$2:$C$70=$C872),
    0),
    MATCH($G872,'GIR Log'!$E$1:$V$1,0)
  ),
"")</f>
        <v>↓</v>
      </c>
    </row>
    <row r="873" spans="1:17" x14ac:dyDescent="0.25">
      <c r="A873" s="51" t="s">
        <v>130</v>
      </c>
      <c r="B873" s="2">
        <v>45465</v>
      </c>
      <c r="C873" t="s">
        <v>12</v>
      </c>
      <c r="D873" s="51" t="s">
        <v>76</v>
      </c>
      <c r="E873" s="51" t="s">
        <v>34</v>
      </c>
      <c r="F873">
        <v>99</v>
      </c>
      <c r="G873" s="12" t="s">
        <v>54</v>
      </c>
      <c r="H873" s="9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Log'!$E$2:$V$70,
    MATCH(1,
      ('Golf Log'!$A$2:$A$70=$A873)*
      ('Golf Log'!$B$2:$B$70=$B873)*
      ('Golf Log'!$C$2:$C$70=$C873),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Log'!$E$2:$V$70,
    MATCH(1,
      ('Putt Log'!$A$2:$A$70=$A873)*
      ('Putt Log'!$B$2:$B$70=$B873)*
      ('Putt Log'!$C$2:$C$70=$C873),
    0),
    MATCH($G873,'Putt Log'!$E$1:$V$1,0)
  ),
"")</f>
        <v>2</v>
      </c>
      <c r="P873" t="str" cm="1">
        <f t="array" ref="P873">IF(K873=3,"",
  IFERROR(
    INDEX('Fairway Log'!$E$2:$V$70,
      MATCH(1,
        ('Fairway Log'!$A$2:$A$70=$A873)*
        ('Fairway Log'!$B$2:$B$70=$B873)*
        ('Fairway Log'!$C$2:$C944=$C873),
      0),
      MATCH($G873,'Fairway Log'!$E$1:$V$1,0)
    ),
  "")
)</f>
        <v/>
      </c>
      <c r="Q873" t="str" cm="1">
        <f t="array" ref="Q873">IFERROR(
  INDEX('GIR Log'!$E$2:$V$70,
    MATCH(1,
      ('GIR Log'!$A$2:$A$70=$A873)*
      ('GIR Log'!$B$2:$B$70=$B873)*
      ('GIR Log'!$C$2:$C$70=$C873),
    0),
    MATCH($G873,'GIR Log'!$E$1:$V$1,0)
  ),
"")</f>
        <v>←</v>
      </c>
    </row>
    <row r="874" spans="1:17" x14ac:dyDescent="0.25">
      <c r="A874" s="51" t="s">
        <v>130</v>
      </c>
      <c r="B874" s="2">
        <v>45465</v>
      </c>
      <c r="C874" t="s">
        <v>12</v>
      </c>
      <c r="D874" s="51" t="s">
        <v>76</v>
      </c>
      <c r="E874" s="51" t="s">
        <v>34</v>
      </c>
      <c r="F874">
        <v>99</v>
      </c>
      <c r="G874" s="12" t="s">
        <v>55</v>
      </c>
      <c r="H874" s="9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Log'!$E$2:$V$70,
    MATCH(1,
      ('Golf Log'!$A$2:$A$70=$A874)*
      ('Golf Log'!$B$2:$B$70=$B874)*
      ('Golf Log'!$C$2:$C$70=$C874),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Log'!$E$2:$V$70,
    MATCH(1,
      ('Putt Log'!$A$2:$A$70=$A874)*
      ('Putt Log'!$B$2:$B$70=$B874)*
      ('Putt Log'!$C$2:$C$70=$C874),
    0),
    MATCH($G874,'Putt Log'!$E$1:$V$1,0)
  ),
"")</f>
        <v>2</v>
      </c>
      <c r="P874" t="str" cm="1">
        <f t="array" ref="P874">IF(K874=3,"",
  IFERROR(
    INDEX('Fairway Log'!$E$2:$V$70,
      MATCH(1,
        ('Fairway Log'!$A$2:$A$70=$A874)*
        ('Fairway Log'!$B$2:$B$70=$B874)*
        ('Fairway Log'!$C$2:$C945=$C874),
      0),
      MATCH($G874,'Fairway Log'!$E$1:$V$1,0)
    ),
  "")
)</f>
        <v>↓</v>
      </c>
      <c r="Q874" t="str" cm="1">
        <f t="array" ref="Q874">IFERROR(
  INDEX('GIR Log'!$E$2:$V$70,
    MATCH(1,
      ('GIR Log'!$A$2:$A$70=$A874)*
      ('GIR Log'!$B$2:$B$70=$B874)*
      ('GIR Log'!$C$2:$C$70=$C874),
    0),
    MATCH($G874,'GIR Log'!$E$1:$V$1,0)
  ),
"")</f>
        <v>↓</v>
      </c>
    </row>
    <row r="875" spans="1:17" x14ac:dyDescent="0.25">
      <c r="A875" s="51" t="s">
        <v>130</v>
      </c>
      <c r="B875" s="2">
        <v>45465</v>
      </c>
      <c r="C875" t="s">
        <v>12</v>
      </c>
      <c r="D875" s="51" t="s">
        <v>76</v>
      </c>
      <c r="E875" s="51" t="s">
        <v>34</v>
      </c>
      <c r="F875">
        <v>99</v>
      </c>
      <c r="G875" s="12" t="s">
        <v>56</v>
      </c>
      <c r="H875" s="9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Log'!$E$2:$V$70,
    MATCH(1,
      ('Golf Log'!$A$2:$A$70=$A875)*
      ('Golf Log'!$B$2:$B$70=$B875)*
      ('Golf Log'!$C$2:$C$70=$C875),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Log'!$E$2:$V$70,
    MATCH(1,
      ('Putt Log'!$A$2:$A$70=$A875)*
      ('Putt Log'!$B$2:$B$70=$B875)*
      ('Putt Log'!$C$2:$C$70=$C875),
    0),
    MATCH($G875,'Putt Log'!$E$1:$V$1,0)
  ),
"")</f>
        <v>2</v>
      </c>
      <c r="P875" t="str" cm="1">
        <f t="array" ref="P875">IF(K875=3,"",
  IFERROR(
    INDEX('Fairway Log'!$E$2:$V$70,
      MATCH(1,
        ('Fairway Log'!$A$2:$A$70=$A875)*
        ('Fairway Log'!$B$2:$B$70=$B875)*
        ('Fairway Log'!$C$2:$C946=$C875),
      0),
      MATCH($G875,'Fairway Log'!$E$1:$V$1,0)
    ),
  "")
)</f>
        <v>↓</v>
      </c>
      <c r="Q875" t="str" cm="1">
        <f t="array" ref="Q875">IFERROR(
  INDEX('GIR Log'!$E$2:$V$70,
    MATCH(1,
      ('GIR Log'!$A$2:$A$70=$A875)*
      ('GIR Log'!$B$2:$B$70=$B875)*
      ('GIR Log'!$C$2:$C$70=$C875),
    0),
    MATCH($G875,'GIR Log'!$E$1:$V$1,0)
  ),
"")</f>
        <v>↓</v>
      </c>
    </row>
    <row r="876" spans="1:17" x14ac:dyDescent="0.25">
      <c r="A876" s="51" t="s">
        <v>130</v>
      </c>
      <c r="B876" s="2">
        <v>45465</v>
      </c>
      <c r="C876" t="s">
        <v>12</v>
      </c>
      <c r="D876" s="51" t="s">
        <v>76</v>
      </c>
      <c r="E876" s="51" t="s">
        <v>34</v>
      </c>
      <c r="F876">
        <v>99</v>
      </c>
      <c r="G876" s="12" t="s">
        <v>57</v>
      </c>
      <c r="H876" s="9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Log'!$E$2:$V$70,
    MATCH(1,
      ('Golf Log'!$A$2:$A$70=$A876)*
      ('Golf Log'!$B$2:$B$70=$B876)*
      ('Golf Log'!$C$2:$C$70=$C876),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Log'!$E$2:$V$70,
    MATCH(1,
      ('Putt Log'!$A$2:$A$70=$A876)*
      ('Putt Log'!$B$2:$B$70=$B876)*
      ('Putt Log'!$C$2:$C$70=$C876),
    0),
    MATCH($G876,'Putt Log'!$E$1:$V$1,0)
  ),
"")</f>
        <v>2</v>
      </c>
      <c r="P876" t="str" cm="1">
        <f t="array" ref="P876">IF(K876=3,"",
  IFERROR(
    INDEX('Fairway Log'!$E$2:$V$70,
      MATCH(1,
        ('Fairway Log'!$A$2:$A$70=$A876)*
        ('Fairway Log'!$B$2:$B$70=$B876)*
        ('Fairway Log'!$C$2:$C947=$C876),
      0),
      MATCH($G876,'Fairway Log'!$E$1:$V$1,0)
    ),
  "")
)</f>
        <v>→</v>
      </c>
      <c r="Q876" t="str" cm="1">
        <f t="array" ref="Q876">IFERROR(
  INDEX('GIR Log'!$E$2:$V$70,
    MATCH(1,
      ('GIR Log'!$A$2:$A$70=$A876)*
      ('GIR Log'!$B$2:$B$70=$B876)*
      ('GIR Log'!$C$2:$C$70=$C876),
    0),
    MATCH($G876,'GIR Log'!$E$1:$V$1,0)
  ),
"")</f>
        <v>↓</v>
      </c>
    </row>
    <row r="877" spans="1:17" x14ac:dyDescent="0.25">
      <c r="A877" s="51" t="s">
        <v>130</v>
      </c>
      <c r="B877" s="2">
        <v>45465</v>
      </c>
      <c r="C877" t="s">
        <v>12</v>
      </c>
      <c r="D877" s="51" t="s">
        <v>76</v>
      </c>
      <c r="E877" s="51" t="s">
        <v>34</v>
      </c>
      <c r="F877">
        <v>99</v>
      </c>
      <c r="G877" s="12" t="s">
        <v>58</v>
      </c>
      <c r="H877" s="9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Log'!$E$2:$V$70,
    MATCH(1,
      ('Golf Log'!$A$2:$A$70=$A877)*
      ('Golf Log'!$B$2:$B$70=$B877)*
      ('Golf Log'!$C$2:$C$70=$C877),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Log'!$E$2:$V$70,
    MATCH(1,
      ('Putt Log'!$A$2:$A$70=$A877)*
      ('Putt Log'!$B$2:$B$70=$B877)*
      ('Putt Log'!$C$2:$C$70=$C877),
    0),
    MATCH($G877,'Putt Log'!$E$1:$V$1,0)
  ),
"")</f>
        <v>2</v>
      </c>
      <c r="P877" t="str" cm="1">
        <f t="array" ref="P877">IF(K877=3,"",
  IFERROR(
    INDEX('Fairway Log'!$E$2:$V$70,
      MATCH(1,
        ('Fairway Log'!$A$2:$A$70=$A877)*
        ('Fairway Log'!$B$2:$B$70=$B877)*
        ('Fairway Log'!$C$2:$C948=$C877),
      0),
      MATCH($G877,'Fairway Log'!$E$1:$V$1,0)
    ),
  "")
)</f>
        <v/>
      </c>
      <c r="Q877" t="str" cm="1">
        <f t="array" ref="Q877">IFERROR(
  INDEX('GIR Log'!$E$2:$V$70,
    MATCH(1,
      ('GIR Log'!$A$2:$A$70=$A877)*
      ('GIR Log'!$B$2:$B$70=$B877)*
      ('GIR Log'!$C$2:$C$70=$C877),
    0),
    MATCH($G877,'GIR Log'!$E$1:$V$1,0)
  ),
"")</f>
        <v>↓</v>
      </c>
    </row>
    <row r="878" spans="1:17" x14ac:dyDescent="0.25">
      <c r="A878" s="51" t="s">
        <v>130</v>
      </c>
      <c r="B878" s="2">
        <v>45465</v>
      </c>
      <c r="C878" t="s">
        <v>12</v>
      </c>
      <c r="D878" s="51" t="s">
        <v>76</v>
      </c>
      <c r="E878" s="51" t="s">
        <v>34</v>
      </c>
      <c r="F878">
        <v>99</v>
      </c>
      <c r="G878" s="12" t="s">
        <v>59</v>
      </c>
      <c r="H878" s="9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Log'!$E$2:$V$70,
    MATCH(1,
      ('Golf Log'!$A$2:$A$70=$A878)*
      ('Golf Log'!$B$2:$B$70=$B878)*
      ('Golf Log'!$C$2:$C$70=$C878),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Log'!$E$2:$V$70,
    MATCH(1,
      ('Putt Log'!$A$2:$A$70=$A878)*
      ('Putt Log'!$B$2:$B$70=$B878)*
      ('Putt Log'!$C$2:$C$70=$C878),
    0),
    MATCH($G878,'Putt Log'!$E$1:$V$1,0)
  ),
"")</f>
        <v>2</v>
      </c>
      <c r="P878" t="str" cm="1">
        <f t="array" ref="P878">IF(K878=3,"",
  IFERROR(
    INDEX('Fairway Log'!$E$2:$V$70,
      MATCH(1,
        ('Fairway Log'!$A$2:$A$70=$A878)*
        ('Fairway Log'!$B$2:$B$70=$B878)*
        ('Fairway Log'!$C$2:$C949=$C878),
      0),
      MATCH($G878,'Fairway Log'!$E$1:$V$1,0)
    ),
  "")
)</f>
        <v>←</v>
      </c>
      <c r="Q878" t="str" cm="1">
        <f t="array" ref="Q878">IFERROR(
  INDEX('GIR Log'!$E$2:$V$70,
    MATCH(1,
      ('GIR Log'!$A$2:$A$70=$A878)*
      ('GIR Log'!$B$2:$B$70=$B878)*
      ('GIR Log'!$C$2:$C$70=$C878),
    0),
    MATCH($G878,'GIR Log'!$E$1:$V$1,0)
  ),
"")</f>
        <v>↓</v>
      </c>
    </row>
    <row r="879" spans="1:17" x14ac:dyDescent="0.25">
      <c r="A879" s="51" t="s">
        <v>130</v>
      </c>
      <c r="B879" s="2">
        <v>45465</v>
      </c>
      <c r="C879" t="s">
        <v>12</v>
      </c>
      <c r="D879" s="51" t="s">
        <v>76</v>
      </c>
      <c r="E879" s="51" t="s">
        <v>34</v>
      </c>
      <c r="F879">
        <v>99</v>
      </c>
      <c r="G879" s="12" t="s">
        <v>60</v>
      </c>
      <c r="H879" s="9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Log'!$E$2:$V$70,
    MATCH(1,
      ('Golf Log'!$A$2:$A$70=$A879)*
      ('Golf Log'!$B$2:$B$70=$B879)*
      ('Golf Log'!$C$2:$C$70=$C879),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Log'!$E$2:$V$70,
    MATCH(1,
      ('Putt Log'!$A$2:$A$70=$A879)*
      ('Putt Log'!$B$2:$B$70=$B879)*
      ('Putt Log'!$C$2:$C$70=$C879),
    0),
    MATCH($G879,'Putt Log'!$E$1:$V$1,0)
  ),
"")</f>
        <v>2</v>
      </c>
      <c r="P879" t="str" cm="1">
        <f t="array" ref="P879">IF(K879=3,"",
  IFERROR(
    INDEX('Fairway Log'!$E$2:$V$70,
      MATCH(1,
        ('Fairway Log'!$A$2:$A$70=$A879)*
        ('Fairway Log'!$B$2:$B$70=$B879)*
        ('Fairway Log'!$C$2:$C950=$C879),
      0),
      MATCH($G879,'Fairway Log'!$E$1:$V$1,0)
    ),
  "")
)</f>
        <v/>
      </c>
      <c r="Q879" t="str" cm="1">
        <f t="array" ref="Q879">IFERROR(
  INDEX('GIR Log'!$E$2:$V$70,
    MATCH(1,
      ('GIR Log'!$A$2:$A$70=$A879)*
      ('GIR Log'!$B$2:$B$70=$B879)*
      ('GIR Log'!$C$2:$C$70=$C879),
    0),
    MATCH($G879,'GIR Log'!$E$1:$V$1,0)
  ),
"")</f>
        <v>↓</v>
      </c>
    </row>
    <row r="880" spans="1:17" x14ac:dyDescent="0.25">
      <c r="A880" s="51" t="s">
        <v>130</v>
      </c>
      <c r="B880" s="2">
        <v>45465</v>
      </c>
      <c r="C880" t="s">
        <v>12</v>
      </c>
      <c r="D880" s="51" t="s">
        <v>76</v>
      </c>
      <c r="E880" s="51" t="s">
        <v>34</v>
      </c>
      <c r="F880">
        <v>99</v>
      </c>
      <c r="G880" s="12" t="s">
        <v>61</v>
      </c>
      <c r="H880" s="9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Log'!$E$2:$V$70,
    MATCH(1,
      ('Golf Log'!$A$2:$A$70=$A880)*
      ('Golf Log'!$B$2:$B$70=$B880)*
      ('Golf Log'!$C$2:$C$70=$C880),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Log'!$E$2:$V$70,
    MATCH(1,
      ('Putt Log'!$A$2:$A$70=$A880)*
      ('Putt Log'!$B$2:$B$70=$B880)*
      ('Putt Log'!$C$2:$C$70=$C880),
    0),
    MATCH($G880,'Putt Log'!$E$1:$V$1,0)
  ),
"")</f>
        <v>1</v>
      </c>
      <c r="P880" t="str" cm="1">
        <f t="array" ref="P880">IF(K880=3,"",
  IFERROR(
    INDEX('Fairway Log'!$E$2:$V$70,
      MATCH(1,
        ('Fairway Log'!$A$2:$A$70=$A880)*
        ('Fairway Log'!$B$2:$B$70=$B880)*
        ('Fairway Log'!$C$2:$C951=$C880),
      0),
      MATCH($G880,'Fairway Log'!$E$1:$V$1,0)
    ),
  "")
)</f>
        <v>←</v>
      </c>
      <c r="Q880" t="str" cm="1">
        <f t="array" ref="Q880">IFERROR(
  INDEX('GIR Log'!$E$2:$V$70,
    MATCH(1,
      ('GIR Log'!$A$2:$A$70=$A880)*
      ('GIR Log'!$B$2:$B$70=$B880)*
      ('GIR Log'!$C$2:$C$70=$C880),
    0),
    MATCH($G880,'GIR Log'!$E$1:$V$1,0)
  ),
"")</f>
        <v>↓</v>
      </c>
    </row>
    <row r="881" spans="1:17" x14ac:dyDescent="0.25">
      <c r="A881" s="51" t="s">
        <v>130</v>
      </c>
      <c r="B881" s="2">
        <v>45465</v>
      </c>
      <c r="C881" t="s">
        <v>12</v>
      </c>
      <c r="D881" s="51" t="s">
        <v>76</v>
      </c>
      <c r="E881" s="51" t="s">
        <v>34</v>
      </c>
      <c r="F881">
        <v>99</v>
      </c>
      <c r="G881" s="12" t="s">
        <v>62</v>
      </c>
      <c r="H881" s="9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Log'!$E$2:$V$70,
    MATCH(1,
      ('Golf Log'!$A$2:$A$70=$A881)*
      ('Golf Log'!$B$2:$B$70=$B881)*
      ('Golf Log'!$C$2:$C$70=$C881),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Log'!$E$2:$V$70,
    MATCH(1,
      ('Putt Log'!$A$2:$A$70=$A881)*
      ('Putt Log'!$B$2:$B$70=$B881)*
      ('Putt Log'!$C$2:$C$70=$C881),
    0),
    MATCH($G881,'Putt Log'!$E$1:$V$1,0)
  ),
"")</f>
        <v>3</v>
      </c>
      <c r="P881" t="str" cm="1">
        <f t="array" ref="P881">IF(K881=3,"",
  IFERROR(
    INDEX('Fairway Log'!$E$2:$V$70,
      MATCH(1,
        ('Fairway Log'!$A$2:$A$70=$A881)*
        ('Fairway Log'!$B$2:$B$70=$B881)*
        ('Fairway Log'!$C$2:$C952=$C881),
      0),
      MATCH($G881,'Fairway Log'!$E$1:$V$1,0)
    ),
  "")
)</f>
        <v>↓</v>
      </c>
      <c r="Q881" cm="1">
        <f t="array" ref="Q881">IFERROR(
  INDEX('GIR Log'!$E$2:$V$70,
    MATCH(1,
      ('GIR Log'!$A$2:$A$70=$A881)*
      ('GIR Log'!$B$2:$B$70=$B881)*
      ('GIR Log'!$C$2:$C$70=$C881),
    0),
    MATCH($G881,'GIR Log'!$E$1:$V$1,0)
  ),
"")</f>
        <v>1</v>
      </c>
    </row>
    <row r="882" spans="1:17" x14ac:dyDescent="0.25">
      <c r="A882" s="51" t="s">
        <v>130</v>
      </c>
      <c r="B882" s="2">
        <v>45465</v>
      </c>
      <c r="C882" t="s">
        <v>12</v>
      </c>
      <c r="D882" s="51" t="s">
        <v>76</v>
      </c>
      <c r="E882" s="51" t="s">
        <v>34</v>
      </c>
      <c r="F882">
        <v>99</v>
      </c>
      <c r="G882" s="12" t="s">
        <v>63</v>
      </c>
      <c r="H882" s="9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Log'!$E$2:$V$70,
    MATCH(1,
      ('Golf Log'!$A$2:$A$70=$A882)*
      ('Golf Log'!$B$2:$B$70=$B882)*
      ('Golf Log'!$C$2:$C$70=$C882),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Log'!$E$2:$V$70,
    MATCH(1,
      ('Putt Log'!$A$2:$A$70=$A882)*
      ('Putt Log'!$B$2:$B$70=$B882)*
      ('Putt Log'!$C$2:$C$70=$C882),
    0),
    MATCH($G882,'Putt Log'!$E$1:$V$1,0)
  ),
"")</f>
        <v>2</v>
      </c>
      <c r="P882" t="str" cm="1">
        <f t="array" ref="P882">IF(K882=3,"",
  IFERROR(
    INDEX('Fairway Log'!$E$2:$V$70,
      MATCH(1,
        ('Fairway Log'!$A$2:$A$70=$A882)*
        ('Fairway Log'!$B$2:$B$70=$B882)*
        ('Fairway Log'!$C$2:$C953=$C882),
      0),
      MATCH($G882,'Fairway Log'!$E$1:$V$1,0)
    ),
  "")
)</f>
        <v>←</v>
      </c>
      <c r="Q882" t="str" cm="1">
        <f t="array" ref="Q882">IFERROR(
  INDEX('GIR Log'!$E$2:$V$70,
    MATCH(1,
      ('GIR Log'!$A$2:$A$70=$A882)*
      ('GIR Log'!$B$2:$B$70=$B882)*
      ('GIR Log'!$C$2:$C$70=$C882),
    0),
    MATCH($G882,'GIR Log'!$E$1:$V$1,0)
  ),
"")</f>
        <v>↓</v>
      </c>
    </row>
    <row r="883" spans="1:17" x14ac:dyDescent="0.25">
      <c r="A883" s="51" t="s">
        <v>130</v>
      </c>
      <c r="B883" s="2">
        <v>45465</v>
      </c>
      <c r="C883" t="s">
        <v>12</v>
      </c>
      <c r="D883" s="51" t="s">
        <v>76</v>
      </c>
      <c r="E883" s="51" t="s">
        <v>34</v>
      </c>
      <c r="F883">
        <v>99</v>
      </c>
      <c r="G883" s="12" t="s">
        <v>64</v>
      </c>
      <c r="H883" s="9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Log'!$E$2:$V$70,
    MATCH(1,
      ('Golf Log'!$A$2:$A$70=$A883)*
      ('Golf Log'!$B$2:$B$70=$B883)*
      ('Golf Log'!$C$2:$C$70=$C883),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Log'!$E$2:$V$70,
    MATCH(1,
      ('Putt Log'!$A$2:$A$70=$A883)*
      ('Putt Log'!$B$2:$B$70=$B883)*
      ('Putt Log'!$C$2:$C$70=$C883),
    0),
    MATCH($G883,'Putt Log'!$E$1:$V$1,0)
  ),
"")</f>
        <v>2</v>
      </c>
      <c r="P883" t="str" cm="1">
        <f t="array" ref="P883">IF(K883=3,"",
  IFERROR(
    INDEX('Fairway Log'!$E$2:$V$70,
      MATCH(1,
        ('Fairway Log'!$A$2:$A$70=$A883)*
        ('Fairway Log'!$B$2:$B$70=$B883)*
        ('Fairway Log'!$C$2:$C954=$C883),
      0),
      MATCH($G883,'Fairway Log'!$E$1:$V$1,0)
    ),
  "")
)</f>
        <v>→</v>
      </c>
      <c r="Q883" t="str" cm="1">
        <f t="array" ref="Q883">IFERROR(
  INDEX('GIR Log'!$E$2:$V$70,
    MATCH(1,
      ('GIR Log'!$A$2:$A$70=$A883)*
      ('GIR Log'!$B$2:$B$70=$B883)*
      ('GIR Log'!$C$2:$C$70=$C883),
    0),
    MATCH($G883,'GIR Log'!$E$1:$V$1,0)
  ),
"")</f>
        <v>↓</v>
      </c>
    </row>
    <row r="884" spans="1:17" x14ac:dyDescent="0.25">
      <c r="A884" s="51" t="s">
        <v>130</v>
      </c>
      <c r="B884" s="2">
        <v>45514</v>
      </c>
      <c r="C884" t="s">
        <v>6</v>
      </c>
      <c r="D884" s="51" t="s">
        <v>75</v>
      </c>
      <c r="E884" s="51" t="s">
        <v>34</v>
      </c>
      <c r="F884">
        <v>90</v>
      </c>
      <c r="G884" t="s">
        <v>47</v>
      </c>
      <c r="H884" s="9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Log'!$E$2:$V$70,
    MATCH(1,
      ('Golf Log'!$A$2:$A$70=$A884)*
      ('Golf Log'!$B$2:$B$70=$B884)*
      ('Golf Log'!$C$2:$C$70=$C884),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Log'!$E$2:$V$70,
    MATCH(1,
      ('Putt Log'!$A$2:$A$70=$A884)*
      ('Putt Log'!$B$2:$B$70=$B884)*
      ('Putt Log'!$C$2:$C$70=$C884),
    0),
    MATCH($G884,'Putt Log'!$E$1:$V$1,0)
  ),
"")</f>
        <v>1</v>
      </c>
      <c r="P884" t="str" cm="1">
        <f t="array" ref="P884">IF(K884=3,"",
  IFERROR(
    INDEX('Fairway Log'!$E$2:$V$70,
      MATCH(1,
        ('Fairway Log'!$A$2:$A$70=$A884)*
        ('Fairway Log'!$B$2:$B$70=$B884)*
        ('Fairway Log'!$C$2:$C955=$C884),
      0),
      MATCH($G884,'Fairway Log'!$E$1:$V$1,0)
    ),
  "")
)</f>
        <v>←</v>
      </c>
      <c r="Q884" t="str" cm="1">
        <f t="array" ref="Q884">IFERROR(
  INDEX('GIR Log'!$E$2:$V$70,
    MATCH(1,
      ('GIR Log'!$A$2:$A$70=$A884)*
      ('GIR Log'!$B$2:$B$70=$B884)*
      ('GIR Log'!$C$2:$C$70=$C884),
    0),
    MATCH($G884,'GIR Log'!$E$1:$V$1,0)
  ),
"")</f>
        <v>NC</v>
      </c>
    </row>
    <row r="885" spans="1:17" x14ac:dyDescent="0.25">
      <c r="A885" s="51" t="s">
        <v>130</v>
      </c>
      <c r="B885" s="2">
        <v>45514</v>
      </c>
      <c r="C885" t="s">
        <v>6</v>
      </c>
      <c r="D885" s="51" t="s">
        <v>75</v>
      </c>
      <c r="E885" s="51" t="s">
        <v>34</v>
      </c>
      <c r="F885">
        <v>90</v>
      </c>
      <c r="G885" t="s">
        <v>48</v>
      </c>
      <c r="H885" s="9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Log'!$E$2:$V$70,
    MATCH(1,
      ('Golf Log'!$A$2:$A$70=$A885)*
      ('Golf Log'!$B$2:$B$70=$B885)*
      ('Golf Log'!$C$2:$C$70=$C885),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Log'!$E$2:$V$70,
    MATCH(1,
      ('Putt Log'!$A$2:$A$70=$A885)*
      ('Putt Log'!$B$2:$B$70=$B885)*
      ('Putt Log'!$C$2:$C$70=$C885),
    0),
    MATCH($G885,'Putt Log'!$E$1:$V$1,0)
  ),
"")</f>
        <v>1</v>
      </c>
      <c r="P885" t="str" cm="1">
        <f t="array" ref="P885">IF(K885=3,"",
  IFERROR(
    INDEX('Fairway Log'!$E$2:$V$70,
      MATCH(1,
        ('Fairway Log'!$A$2:$A$70=$A885)*
        ('Fairway Log'!$B$2:$B$70=$B885)*
        ('Fairway Log'!$C$2:$C956=$C885),
      0),
      MATCH($G885,'Fairway Log'!$E$1:$V$1,0)
    ),
  "")
)</f>
        <v>←</v>
      </c>
      <c r="Q885" t="str" cm="1">
        <f t="array" ref="Q885">IFERROR(
  INDEX('GIR Log'!$E$2:$V$70,
    MATCH(1,
      ('GIR Log'!$A$2:$A$70=$A885)*
      ('GIR Log'!$B$2:$B$70=$B885)*
      ('GIR Log'!$C$2:$C$70=$C885),
    0),
    MATCH($G885,'GIR Log'!$E$1:$V$1,0)
  ),
"")</f>
        <v>↓</v>
      </c>
    </row>
    <row r="886" spans="1:17" x14ac:dyDescent="0.25">
      <c r="A886" s="51" t="s">
        <v>130</v>
      </c>
      <c r="B886" s="2">
        <v>45514</v>
      </c>
      <c r="C886" t="s">
        <v>6</v>
      </c>
      <c r="D886" s="51" t="s">
        <v>75</v>
      </c>
      <c r="E886" s="51" t="s">
        <v>34</v>
      </c>
      <c r="F886">
        <v>90</v>
      </c>
      <c r="G886" t="s">
        <v>49</v>
      </c>
      <c r="H886" s="9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Log'!$E$2:$V$70,
    MATCH(1,
      ('Golf Log'!$A$2:$A$70=$A886)*
      ('Golf Log'!$B$2:$B$70=$B886)*
      ('Golf Log'!$C$2:$C$70=$C886),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Log'!$E$2:$V$70,
    MATCH(1,
      ('Putt Log'!$A$2:$A$70=$A886)*
      ('Putt Log'!$B$2:$B$70=$B886)*
      ('Putt Log'!$C$2:$C$70=$C886),
    0),
    MATCH($G886,'Putt Log'!$E$1:$V$1,0)
  ),
"")</f>
        <v>1</v>
      </c>
      <c r="P886" t="str" cm="1">
        <f t="array" ref="P886">IF(K886=3,"",
  IFERROR(
    INDEX('Fairway Log'!$E$2:$V$70,
      MATCH(1,
        ('Fairway Log'!$A$2:$A$70=$A886)*
        ('Fairway Log'!$B$2:$B$70=$B886)*
        ('Fairway Log'!$C$2:$C957=$C886),
      0),
      MATCH($G886,'Fairway Log'!$E$1:$V$1,0)
    ),
  "")
)</f>
        <v/>
      </c>
      <c r="Q886" t="str" cm="1">
        <f t="array" ref="Q886">IFERROR(
  INDEX('GIR Log'!$E$2:$V$70,
    MATCH(1,
      ('GIR Log'!$A$2:$A$70=$A886)*
      ('GIR Log'!$B$2:$B$70=$B886)*
      ('GIR Log'!$C$2:$C$70=$C886),
    0),
    MATCH($G886,'GIR Log'!$E$1:$V$1,0)
  ),
"")</f>
        <v>←</v>
      </c>
    </row>
    <row r="887" spans="1:17" x14ac:dyDescent="0.25">
      <c r="A887" s="51" t="s">
        <v>130</v>
      </c>
      <c r="B887" s="2">
        <v>45514</v>
      </c>
      <c r="C887" t="s">
        <v>6</v>
      </c>
      <c r="D887" s="51" t="s">
        <v>75</v>
      </c>
      <c r="E887" s="51" t="s">
        <v>34</v>
      </c>
      <c r="F887">
        <v>90</v>
      </c>
      <c r="G887" t="s">
        <v>50</v>
      </c>
      <c r="H887" s="9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Log'!$E$2:$V$70,
    MATCH(1,
      ('Golf Log'!$A$2:$A$70=$A887)*
      ('Golf Log'!$B$2:$B$70=$B887)*
      ('Golf Log'!$C$2:$C$70=$C887),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Log'!$E$2:$V$70,
    MATCH(1,
      ('Putt Log'!$A$2:$A$70=$A887)*
      ('Putt Log'!$B$2:$B$70=$B887)*
      ('Putt Log'!$C$2:$C$70=$C887),
    0),
    MATCH($G887,'Putt Log'!$E$1:$V$1,0)
  ),
"")</f>
        <v>1</v>
      </c>
      <c r="P887" cm="1">
        <f t="array" ref="P887">IF(K887=3,"",
  IFERROR(
    INDEX('Fairway Log'!$E$2:$V$70,
      MATCH(1,
        ('Fairway Log'!$A$2:$A$70=$A887)*
        ('Fairway Log'!$B$2:$B$70=$B887)*
        ('Fairway Log'!$C$2:$C958=$C887),
      0),
      MATCH($G887,'Fairway Log'!$E$1:$V$1,0)
    ),
  "")
)</f>
        <v>1</v>
      </c>
      <c r="Q887" t="str" cm="1">
        <f t="array" ref="Q887">IFERROR(
  INDEX('GIR Log'!$E$2:$V$70,
    MATCH(1,
      ('GIR Log'!$A$2:$A$70=$A887)*
      ('GIR Log'!$B$2:$B$70=$B887)*
      ('GIR Log'!$C$2:$C$70=$C887),
    0),
    MATCH($G887,'GIR Log'!$E$1:$V$1,0)
  ),
"")</f>
        <v>↓</v>
      </c>
    </row>
    <row r="888" spans="1:17" x14ac:dyDescent="0.25">
      <c r="A888" s="51" t="s">
        <v>130</v>
      </c>
      <c r="B888" s="2">
        <v>45514</v>
      </c>
      <c r="C888" t="s">
        <v>6</v>
      </c>
      <c r="D888" s="51" t="s">
        <v>75</v>
      </c>
      <c r="E888" s="51" t="s">
        <v>34</v>
      </c>
      <c r="F888">
        <v>90</v>
      </c>
      <c r="G888" t="s">
        <v>51</v>
      </c>
      <c r="H888" s="9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Log'!$E$2:$V$70,
    MATCH(1,
      ('Golf Log'!$A$2:$A$70=$A888)*
      ('Golf Log'!$B$2:$B$70=$B888)*
      ('Golf Log'!$C$2:$C$70=$C888),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Log'!$E$2:$V$70,
    MATCH(1,
      ('Putt Log'!$A$2:$A$70=$A888)*
      ('Putt Log'!$B$2:$B$70=$B888)*
      ('Putt Log'!$C$2:$C$70=$C888),
    0),
    MATCH($G888,'Putt Log'!$E$1:$V$1,0)
  ),
"")</f>
        <v>2</v>
      </c>
      <c r="P888" t="str" cm="1">
        <f t="array" ref="P888">IF(K888=3,"",
  IFERROR(
    INDEX('Fairway Log'!$E$2:$V$70,
      MATCH(1,
        ('Fairway Log'!$A$2:$A$70=$A888)*
        ('Fairway Log'!$B$2:$B$70=$B888)*
        ('Fairway Log'!$C$2:$C959=$C888),
      0),
      MATCH($G888,'Fairway Log'!$E$1:$V$1,0)
    ),
  "")
)</f>
        <v/>
      </c>
      <c r="Q888" t="str" cm="1">
        <f t="array" ref="Q888">IFERROR(
  INDEX('GIR Log'!$E$2:$V$70,
    MATCH(1,
      ('GIR Log'!$A$2:$A$70=$A888)*
      ('GIR Log'!$B$2:$B$70=$B888)*
      ('GIR Log'!$C$2:$C$70=$C888),
    0),
    MATCH($G888,'GIR Log'!$E$1:$V$1,0)
  ),
"")</f>
        <v>→</v>
      </c>
    </row>
    <row r="889" spans="1:17" x14ac:dyDescent="0.25">
      <c r="A889" s="51" t="s">
        <v>130</v>
      </c>
      <c r="B889" s="2">
        <v>45514</v>
      </c>
      <c r="C889" t="s">
        <v>6</v>
      </c>
      <c r="D889" s="51" t="s">
        <v>75</v>
      </c>
      <c r="E889" s="51" t="s">
        <v>34</v>
      </c>
      <c r="F889">
        <v>90</v>
      </c>
      <c r="G889" t="s">
        <v>52</v>
      </c>
      <c r="H889" s="9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Log'!$E$2:$V$70,
    MATCH(1,
      ('Golf Log'!$A$2:$A$70=$A889)*
      ('Golf Log'!$B$2:$B$70=$B889)*
      ('Golf Log'!$C$2:$C$70=$C889),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Log'!$E$2:$V$70,
    MATCH(1,
      ('Putt Log'!$A$2:$A$70=$A889)*
      ('Putt Log'!$B$2:$B$70=$B889)*
      ('Putt Log'!$C$2:$C$70=$C889),
    0),
    MATCH($G889,'Putt Log'!$E$1:$V$1,0)
  ),
"")</f>
        <v>2</v>
      </c>
      <c r="P889" cm="1">
        <f t="array" ref="P889">IF(K889=3,"",
  IFERROR(
    INDEX('Fairway Log'!$E$2:$V$70,
      MATCH(1,
        ('Fairway Log'!$A$2:$A$70=$A889)*
        ('Fairway Log'!$B$2:$B$70=$B889)*
        ('Fairway Log'!$C$2:$C960=$C889),
      0),
      MATCH($G889,'Fairway Log'!$E$1:$V$1,0)
    ),
  "")
)</f>
        <v>1</v>
      </c>
      <c r="Q889" t="str" cm="1">
        <f t="array" ref="Q889">IFERROR(
  INDEX('GIR Log'!$E$2:$V$70,
    MATCH(1,
      ('GIR Log'!$A$2:$A$70=$A889)*
      ('GIR Log'!$B$2:$B$70=$B889)*
      ('GIR Log'!$C$2:$C$70=$C889),
    0),
    MATCH($G889,'GIR Log'!$E$1:$V$1,0)
  ),
"")</f>
        <v>↑</v>
      </c>
    </row>
    <row r="890" spans="1:17" x14ac:dyDescent="0.25">
      <c r="A890" s="51" t="s">
        <v>130</v>
      </c>
      <c r="B890" s="2">
        <v>45514</v>
      </c>
      <c r="C890" t="s">
        <v>6</v>
      </c>
      <c r="D890" s="51" t="s">
        <v>75</v>
      </c>
      <c r="E890" s="51" t="s">
        <v>34</v>
      </c>
      <c r="F890">
        <v>90</v>
      </c>
      <c r="G890" t="s">
        <v>53</v>
      </c>
      <c r="H890" s="9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Log'!$E$2:$V$70,
    MATCH(1,
      ('Golf Log'!$A$2:$A$70=$A890)*
      ('Golf Log'!$B$2:$B$70=$B890)*
      ('Golf Log'!$C$2:$C$70=$C890),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Log'!$E$2:$V$70,
    MATCH(1,
      ('Putt Log'!$A$2:$A$70=$A890)*
      ('Putt Log'!$B$2:$B$70=$B890)*
      ('Putt Log'!$C$2:$C$70=$C890),
    0),
    MATCH($G890,'Putt Log'!$E$1:$V$1,0)
  ),
"")</f>
        <v>2</v>
      </c>
      <c r="P890" t="str" cm="1">
        <f t="array" ref="P890">IF(K890=3,"",
  IFERROR(
    INDEX('Fairway Log'!$E$2:$V$70,
      MATCH(1,
        ('Fairway Log'!$A$2:$A$70=$A890)*
        ('Fairway Log'!$B$2:$B$70=$B890)*
        ('Fairway Log'!$C$2:$C961=$C890),
      0),
      MATCH($G890,'Fairway Log'!$E$1:$V$1,0)
    ),
  "")
)</f>
        <v>←</v>
      </c>
      <c r="Q890" cm="1">
        <f t="array" ref="Q890">IFERROR(
  INDEX('GIR Log'!$E$2:$V$70,
    MATCH(1,
      ('GIR Log'!$A$2:$A$70=$A890)*
      ('GIR Log'!$B$2:$B$70=$B890)*
      ('GIR Log'!$C$2:$C$70=$C890),
    0),
    MATCH($G890,'GIR Log'!$E$1:$V$1,0)
  ),
"")</f>
        <v>1</v>
      </c>
    </row>
    <row r="891" spans="1:17" x14ac:dyDescent="0.25">
      <c r="A891" s="51" t="s">
        <v>130</v>
      </c>
      <c r="B891" s="2">
        <v>45514</v>
      </c>
      <c r="C891" t="s">
        <v>6</v>
      </c>
      <c r="D891" s="51" t="s">
        <v>75</v>
      </c>
      <c r="E891" s="51" t="s">
        <v>34</v>
      </c>
      <c r="F891">
        <v>90</v>
      </c>
      <c r="G891" t="s">
        <v>54</v>
      </c>
      <c r="H891" s="9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Log'!$E$2:$V$70,
    MATCH(1,
      ('Golf Log'!$A$2:$A$70=$A891)*
      ('Golf Log'!$B$2:$B$70=$B891)*
      ('Golf Log'!$C$2:$C$70=$C891),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Log'!$E$2:$V$70,
    MATCH(1,
      ('Putt Log'!$A$2:$A$70=$A891)*
      ('Putt Log'!$B$2:$B$70=$B891)*
      ('Putt Log'!$C$2:$C$70=$C891),
    0),
    MATCH($G891,'Putt Log'!$E$1:$V$1,0)
  ),
"")</f>
        <v>1</v>
      </c>
      <c r="P891" t="str" cm="1">
        <f t="array" ref="P891">IF(K891=3,"",
  IFERROR(
    INDEX('Fairway Log'!$E$2:$V$70,
      MATCH(1,
        ('Fairway Log'!$A$2:$A$70=$A891)*
        ('Fairway Log'!$B$2:$B$70=$B891)*
        ('Fairway Log'!$C$2:$C962=$C891),
      0),
      MATCH($G891,'Fairway Log'!$E$1:$V$1,0)
    ),
  "")
)</f>
        <v>←</v>
      </c>
      <c r="Q891" t="str" cm="1">
        <f t="array" ref="Q891">IFERROR(
  INDEX('GIR Log'!$E$2:$V$70,
    MATCH(1,
      ('GIR Log'!$A$2:$A$70=$A891)*
      ('GIR Log'!$B$2:$B$70=$B891)*
      ('GIR Log'!$C$2:$C$70=$C891),
    0),
    MATCH($G891,'GIR Log'!$E$1:$V$1,0)
  ),
"")</f>
        <v>↑</v>
      </c>
    </row>
    <row r="892" spans="1:17" x14ac:dyDescent="0.25">
      <c r="A892" s="51" t="s">
        <v>130</v>
      </c>
      <c r="B892" s="2">
        <v>45514</v>
      </c>
      <c r="C892" t="s">
        <v>6</v>
      </c>
      <c r="D892" s="51" t="s">
        <v>75</v>
      </c>
      <c r="E892" s="51" t="s">
        <v>34</v>
      </c>
      <c r="F892">
        <v>90</v>
      </c>
      <c r="G892" t="s">
        <v>55</v>
      </c>
      <c r="H892" s="9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Log'!$E$2:$V$70,
    MATCH(1,
      ('Golf Log'!$A$2:$A$70=$A892)*
      ('Golf Log'!$B$2:$B$70=$B892)*
      ('Golf Log'!$C$2:$C$70=$C892),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Log'!$E$2:$V$70,
    MATCH(1,
      ('Putt Log'!$A$2:$A$70=$A892)*
      ('Putt Log'!$B$2:$B$70=$B892)*
      ('Putt Log'!$C$2:$C$70=$C892),
    0),
    MATCH($G892,'Putt Log'!$E$1:$V$1,0)
  ),
"")</f>
        <v>2</v>
      </c>
      <c r="P892" t="str" cm="1">
        <f t="array" ref="P892">IF(K892=3,"",
  IFERROR(
    INDEX('Fairway Log'!$E$2:$V$70,
      MATCH(1,
        ('Fairway Log'!$A$2:$A$70=$A892)*
        ('Fairway Log'!$B$2:$B$70=$B892)*
        ('Fairway Log'!$C$2:$C963=$C892),
      0),
      MATCH($G892,'Fairway Log'!$E$1:$V$1,0)
    ),
  "")
)</f>
        <v>←</v>
      </c>
      <c r="Q892" t="str" cm="1">
        <f t="array" ref="Q892">IFERROR(
  INDEX('GIR Log'!$E$2:$V$70,
    MATCH(1,
      ('GIR Log'!$A$2:$A$70=$A892)*
      ('GIR Log'!$B$2:$B$70=$B892)*
      ('GIR Log'!$C$2:$C$70=$C892),
    0),
    MATCH($G892,'GIR Log'!$E$1:$V$1,0)
  ),
"")</f>
        <v>↓</v>
      </c>
    </row>
    <row r="893" spans="1:17" x14ac:dyDescent="0.25">
      <c r="A893" s="51" t="s">
        <v>130</v>
      </c>
      <c r="B893" s="2">
        <v>45514</v>
      </c>
      <c r="C893" t="s">
        <v>6</v>
      </c>
      <c r="D893" s="51" t="s">
        <v>75</v>
      </c>
      <c r="E893" s="51" t="s">
        <v>34</v>
      </c>
      <c r="F893">
        <v>90</v>
      </c>
      <c r="G893" t="s">
        <v>56</v>
      </c>
      <c r="H893" s="9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Log'!$E$2:$V$70,
    MATCH(1,
      ('Golf Log'!$A$2:$A$70=$A893)*
      ('Golf Log'!$B$2:$B$70=$B893)*
      ('Golf Log'!$C$2:$C$70=$C893),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Log'!$E$2:$V$70,
    MATCH(1,
      ('Putt Log'!$A$2:$A$70=$A893)*
      ('Putt Log'!$B$2:$B$70=$B893)*
      ('Putt Log'!$C$2:$C$70=$C893),
    0),
    MATCH($G893,'Putt Log'!$E$1:$V$1,0)
  ),
"")</f>
        <v>2</v>
      </c>
      <c r="P893" t="str" cm="1">
        <f t="array" ref="P893">IF(K893=3,"",
  IFERROR(
    INDEX('Fairway Log'!$E$2:$V$70,
      MATCH(1,
        ('Fairway Log'!$A$2:$A$70=$A893)*
        ('Fairway Log'!$B$2:$B$70=$B893)*
        ('Fairway Log'!$C$2:$C964=$C893),
      0),
      MATCH($G893,'Fairway Log'!$E$1:$V$1,0)
    ),
  "")
)</f>
        <v>→</v>
      </c>
      <c r="Q893" t="str" cm="1">
        <f t="array" ref="Q893">IFERROR(
  INDEX('GIR Log'!$E$2:$V$70,
    MATCH(1,
      ('GIR Log'!$A$2:$A$70=$A893)*
      ('GIR Log'!$B$2:$B$70=$B893)*
      ('GIR Log'!$C$2:$C$70=$C893),
    0),
    MATCH($G893,'GIR Log'!$E$1:$V$1,0)
  ),
"")</f>
        <v>↓</v>
      </c>
    </row>
    <row r="894" spans="1:17" x14ac:dyDescent="0.25">
      <c r="A894" s="51" t="s">
        <v>130</v>
      </c>
      <c r="B894" s="2">
        <v>45514</v>
      </c>
      <c r="C894" t="s">
        <v>6</v>
      </c>
      <c r="D894" s="51" t="s">
        <v>75</v>
      </c>
      <c r="E894" s="51" t="s">
        <v>34</v>
      </c>
      <c r="F894">
        <v>90</v>
      </c>
      <c r="G894" t="s">
        <v>57</v>
      </c>
      <c r="H894" s="9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Log'!$E$2:$V$70,
    MATCH(1,
      ('Golf Log'!$A$2:$A$70=$A894)*
      ('Golf Log'!$B$2:$B$70=$B894)*
      ('Golf Log'!$C$2:$C$70=$C894),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Log'!$E$2:$V$70,
    MATCH(1,
      ('Putt Log'!$A$2:$A$70=$A894)*
      ('Putt Log'!$B$2:$B$70=$B894)*
      ('Putt Log'!$C$2:$C$70=$C894),
    0),
    MATCH($G894,'Putt Log'!$E$1:$V$1,0)
  ),
"")</f>
        <v>2</v>
      </c>
      <c r="P894" t="str" cm="1">
        <f t="array" ref="P894">IF(K894=3,"",
  IFERROR(
    INDEX('Fairway Log'!$E$2:$V$70,
      MATCH(1,
        ('Fairway Log'!$A$2:$A$70=$A894)*
        ('Fairway Log'!$B$2:$B$70=$B894)*
        ('Fairway Log'!$C$2:$C965=$C894),
      0),
      MATCH($G894,'Fairway Log'!$E$1:$V$1,0)
    ),
  "")
)</f>
        <v>←</v>
      </c>
      <c r="Q894" t="str" cm="1">
        <f t="array" ref="Q894">IFERROR(
  INDEX('GIR Log'!$E$2:$V$70,
    MATCH(1,
      ('GIR Log'!$A$2:$A$70=$A894)*
      ('GIR Log'!$B$2:$B$70=$B894)*
      ('GIR Log'!$C$2:$C$70=$C894),
    0),
    MATCH($G894,'GIR Log'!$E$1:$V$1,0)
  ),
"")</f>
        <v>→</v>
      </c>
    </row>
    <row r="895" spans="1:17" x14ac:dyDescent="0.25">
      <c r="A895" s="51" t="s">
        <v>130</v>
      </c>
      <c r="B895" s="2">
        <v>45514</v>
      </c>
      <c r="C895" t="s">
        <v>6</v>
      </c>
      <c r="D895" s="51" t="s">
        <v>75</v>
      </c>
      <c r="E895" s="51" t="s">
        <v>34</v>
      </c>
      <c r="F895">
        <v>90</v>
      </c>
      <c r="G895" t="s">
        <v>58</v>
      </c>
      <c r="H895" s="9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Log'!$E$2:$V$70,
    MATCH(1,
      ('Golf Log'!$A$2:$A$70=$A895)*
      ('Golf Log'!$B$2:$B$70=$B895)*
      ('Golf Log'!$C$2:$C$70=$C895),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Log'!$E$2:$V$70,
    MATCH(1,
      ('Putt Log'!$A$2:$A$70=$A895)*
      ('Putt Log'!$B$2:$B$70=$B895)*
      ('Putt Log'!$C$2:$C$70=$C895),
    0),
    MATCH($G895,'Putt Log'!$E$1:$V$1,0)
  ),
"")</f>
        <v>2</v>
      </c>
      <c r="P895" cm="1">
        <f t="array" ref="P895">IF(K895=3,"",
  IFERROR(
    INDEX('Fairway Log'!$E$2:$V$70,
      MATCH(1,
        ('Fairway Log'!$A$2:$A$70=$A895)*
        ('Fairway Log'!$B$2:$B$70=$B895)*
        ('Fairway Log'!$C$2:$C966=$C895),
      0),
      MATCH($G895,'Fairway Log'!$E$1:$V$1,0)
    ),
  "")
)</f>
        <v>1</v>
      </c>
      <c r="Q895" t="str" cm="1">
        <f t="array" ref="Q895">IFERROR(
  INDEX('GIR Log'!$E$2:$V$70,
    MATCH(1,
      ('GIR Log'!$A$2:$A$70=$A895)*
      ('GIR Log'!$B$2:$B$70=$B895)*
      ('GIR Log'!$C$2:$C$70=$C895),
    0),
    MATCH($G895,'GIR Log'!$E$1:$V$1,0)
  ),
"")</f>
        <v>→</v>
      </c>
    </row>
    <row r="896" spans="1:17" x14ac:dyDescent="0.25">
      <c r="A896" s="51" t="s">
        <v>130</v>
      </c>
      <c r="B896" s="2">
        <v>45514</v>
      </c>
      <c r="C896" t="s">
        <v>6</v>
      </c>
      <c r="D896" s="51" t="s">
        <v>75</v>
      </c>
      <c r="E896" s="51" t="s">
        <v>34</v>
      </c>
      <c r="F896">
        <v>90</v>
      </c>
      <c r="G896" t="s">
        <v>59</v>
      </c>
      <c r="H896" s="9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Log'!$E$2:$V$70,
    MATCH(1,
      ('Golf Log'!$A$2:$A$70=$A896)*
      ('Golf Log'!$B$2:$B$70=$B896)*
      ('Golf Log'!$C$2:$C$70=$C896),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Log'!$E$2:$V$70,
    MATCH(1,
      ('Putt Log'!$A$2:$A$70=$A896)*
      ('Putt Log'!$B$2:$B$70=$B896)*
      ('Putt Log'!$C$2:$C$70=$C896),
    0),
    MATCH($G896,'Putt Log'!$E$1:$V$1,0)
  ),
"")</f>
        <v>2</v>
      </c>
      <c r="P896" t="str" cm="1">
        <f t="array" ref="P896">IF(K896=3,"",
  IFERROR(
    INDEX('Fairway Log'!$E$2:$V$70,
      MATCH(1,
        ('Fairway Log'!$A$2:$A$70=$A896)*
        ('Fairway Log'!$B$2:$B$70=$B896)*
        ('Fairway Log'!$C$2:$C967=$C896),
      0),
      MATCH($G896,'Fairway Log'!$E$1:$V$1,0)
    ),
  "")
)</f>
        <v>←</v>
      </c>
      <c r="Q896" t="str" cm="1">
        <f t="array" ref="Q896">IFERROR(
  INDEX('GIR Log'!$E$2:$V$70,
    MATCH(1,
      ('GIR Log'!$A$2:$A$70=$A896)*
      ('GIR Log'!$B$2:$B$70=$B896)*
      ('GIR Log'!$C$2:$C$70=$C896),
    0),
    MATCH($G896,'GIR Log'!$E$1:$V$1,0)
  ),
"")</f>
        <v>←</v>
      </c>
    </row>
    <row r="897" spans="1:17" x14ac:dyDescent="0.25">
      <c r="A897" s="51" t="s">
        <v>130</v>
      </c>
      <c r="B897" s="2">
        <v>45514</v>
      </c>
      <c r="C897" t="s">
        <v>6</v>
      </c>
      <c r="D897" s="51" t="s">
        <v>75</v>
      </c>
      <c r="E897" s="51" t="s">
        <v>34</v>
      </c>
      <c r="F897">
        <v>90</v>
      </c>
      <c r="G897" t="s">
        <v>60</v>
      </c>
      <c r="H897" s="9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Log'!$E$2:$V$70,
    MATCH(1,
      ('Golf Log'!$A$2:$A$70=$A897)*
      ('Golf Log'!$B$2:$B$70=$B897)*
      ('Golf Log'!$C$2:$C$70=$C897),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Log'!$E$2:$V$70,
    MATCH(1,
      ('Putt Log'!$A$2:$A$70=$A897)*
      ('Putt Log'!$B$2:$B$70=$B897)*
      ('Putt Log'!$C$2:$C$70=$C897),
    0),
    MATCH($G897,'Putt Log'!$E$1:$V$1,0)
  ),
"")</f>
        <v>1</v>
      </c>
      <c r="P897" t="str" cm="1">
        <f t="array" ref="P897">IF(K897=3,"",
  IFERROR(
    INDEX('Fairway Log'!$E$2:$V$70,
      MATCH(1,
        ('Fairway Log'!$A$2:$A$70=$A897)*
        ('Fairway Log'!$B$2:$B$70=$B897)*
        ('Fairway Log'!$C$2:$C968=$C897),
      0),
      MATCH($G897,'Fairway Log'!$E$1:$V$1,0)
    ),
  "")
)</f>
        <v/>
      </c>
      <c r="Q897" t="str" cm="1">
        <f t="array" ref="Q897">IFERROR(
  INDEX('GIR Log'!$E$2:$V$70,
    MATCH(1,
      ('GIR Log'!$A$2:$A$70=$A897)*
      ('GIR Log'!$B$2:$B$70=$B897)*
      ('GIR Log'!$C$2:$C$70=$C897),
    0),
    MATCH($G897,'GIR Log'!$E$1:$V$1,0)
  ),
"")</f>
        <v>↓</v>
      </c>
    </row>
    <row r="898" spans="1:17" x14ac:dyDescent="0.25">
      <c r="A898" s="51" t="s">
        <v>130</v>
      </c>
      <c r="B898" s="2">
        <v>45514</v>
      </c>
      <c r="C898" t="s">
        <v>6</v>
      </c>
      <c r="D898" s="51" t="s">
        <v>75</v>
      </c>
      <c r="E898" s="51" t="s">
        <v>34</v>
      </c>
      <c r="F898">
        <v>90</v>
      </c>
      <c r="G898" t="s">
        <v>61</v>
      </c>
      <c r="H898" s="9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Log'!$E$2:$V$70,
    MATCH(1,
      ('Golf Log'!$A$2:$A$70=$A898)*
      ('Golf Log'!$B$2:$B$70=$B898)*
      ('Golf Log'!$C$2:$C$70=$C898),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Log'!$E$2:$V$70,
    MATCH(1,
      ('Putt Log'!$A$2:$A$70=$A898)*
      ('Putt Log'!$B$2:$B$70=$B898)*
      ('Putt Log'!$C$2:$C$70=$C898),
    0),
    MATCH($G898,'Putt Log'!$E$1:$V$1,0)
  ),
"")</f>
        <v>2</v>
      </c>
      <c r="P898" t="str" cm="1">
        <f t="array" ref="P898">IF(K898=3,"",
  IFERROR(
    INDEX('Fairway Log'!$E$2:$V$70,
      MATCH(1,
        ('Fairway Log'!$A$2:$A$70=$A898)*
        ('Fairway Log'!$B$2:$B$70=$B898)*
        ('Fairway Log'!$C$2:$C969=$C898),
      0),
      MATCH($G898,'Fairway Log'!$E$1:$V$1,0)
    ),
  "")
)</f>
        <v>→</v>
      </c>
      <c r="Q898" t="str" cm="1">
        <f t="array" ref="Q898">IFERROR(
  INDEX('GIR Log'!$E$2:$V$70,
    MATCH(1,
      ('GIR Log'!$A$2:$A$70=$A898)*
      ('GIR Log'!$B$2:$B$70=$B898)*
      ('GIR Log'!$C$2:$C$70=$C898),
    0),
    MATCH($G898,'GIR Log'!$E$1:$V$1,0)
  ),
"")</f>
        <v>↓</v>
      </c>
    </row>
    <row r="899" spans="1:17" x14ac:dyDescent="0.25">
      <c r="A899" s="51" t="s">
        <v>130</v>
      </c>
      <c r="B899" s="2">
        <v>45514</v>
      </c>
      <c r="C899" t="s">
        <v>6</v>
      </c>
      <c r="D899" s="51" t="s">
        <v>75</v>
      </c>
      <c r="E899" s="51" t="s">
        <v>34</v>
      </c>
      <c r="F899">
        <v>90</v>
      </c>
      <c r="G899" t="s">
        <v>62</v>
      </c>
      <c r="H899" s="9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Log'!$E$2:$V$70,
    MATCH(1,
      ('Golf Log'!$A$2:$A$70=$A899)*
      ('Golf Log'!$B$2:$B$70=$B899)*
      ('Golf Log'!$C$2:$C$70=$C899),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Log'!$E$2:$V$70,
    MATCH(1,
      ('Putt Log'!$A$2:$A$70=$A899)*
      ('Putt Log'!$B$2:$B$70=$B899)*
      ('Putt Log'!$C$2:$C$70=$C899),
    0),
    MATCH($G899,'Putt Log'!$E$1:$V$1,0)
  ),
"")</f>
        <v>1</v>
      </c>
      <c r="P899" t="str" cm="1">
        <f t="array" ref="P899">IF(K899=3,"",
  IFERROR(
    INDEX('Fairway Log'!$E$2:$V$70,
      MATCH(1,
        ('Fairway Log'!$A$2:$A$70=$A899)*
        ('Fairway Log'!$B$2:$B$70=$B899)*
        ('Fairway Log'!$C$2:$C970=$C899),
      0),
      MATCH($G899,'Fairway Log'!$E$1:$V$1,0)
    ),
  "")
)</f>
        <v>←</v>
      </c>
      <c r="Q899" t="str" cm="1">
        <f t="array" ref="Q899">IFERROR(
  INDEX('GIR Log'!$E$2:$V$70,
    MATCH(1,
      ('GIR Log'!$A$2:$A$70=$A899)*
      ('GIR Log'!$B$2:$B$70=$B899)*
      ('GIR Log'!$C$2:$C$70=$C899),
    0),
    MATCH($G899,'GIR Log'!$E$1:$V$1,0)
  ),
"")</f>
        <v>↓</v>
      </c>
    </row>
    <row r="900" spans="1:17" x14ac:dyDescent="0.25">
      <c r="A900" s="51" t="s">
        <v>130</v>
      </c>
      <c r="B900" s="2">
        <v>45514</v>
      </c>
      <c r="C900" t="s">
        <v>6</v>
      </c>
      <c r="D900" s="51" t="s">
        <v>75</v>
      </c>
      <c r="E900" s="51" t="s">
        <v>34</v>
      </c>
      <c r="F900">
        <v>90</v>
      </c>
      <c r="G900" t="s">
        <v>63</v>
      </c>
      <c r="H900" s="9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Log'!$E$2:$V$70,
    MATCH(1,
      ('Golf Log'!$A$2:$A$70=$A900)*
      ('Golf Log'!$B$2:$B$70=$B900)*
      ('Golf Log'!$C$2:$C$70=$C900),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Log'!$E$2:$V$70,
    MATCH(1,
      ('Putt Log'!$A$2:$A$70=$A900)*
      ('Putt Log'!$B$2:$B$70=$B900)*
      ('Putt Log'!$C$2:$C$70=$C900),
    0),
    MATCH($G900,'Putt Log'!$E$1:$V$1,0)
  ),
"")</f>
        <v>1</v>
      </c>
      <c r="P900" cm="1">
        <f t="array" ref="P900">IF(K900=3,"",
  IFERROR(
    INDEX('Fairway Log'!$E$2:$V$70,
      MATCH(1,
        ('Fairway Log'!$A$2:$A$70=$A900)*
        ('Fairway Log'!$B$2:$B$70=$B900)*
        ('Fairway Log'!$C$2:$C971=$C900),
      0),
      MATCH($G900,'Fairway Log'!$E$1:$V$1,0)
    ),
  "")
)</f>
        <v>1</v>
      </c>
      <c r="Q900" t="str" cm="1">
        <f t="array" ref="Q900">IFERROR(
  INDEX('GIR Log'!$E$2:$V$70,
    MATCH(1,
      ('GIR Log'!$A$2:$A$70=$A900)*
      ('GIR Log'!$B$2:$B$70=$B900)*
      ('GIR Log'!$C$2:$C$70=$C900),
    0),
    MATCH($G900,'GIR Log'!$E$1:$V$1,0)
  ),
"")</f>
        <v>↑</v>
      </c>
    </row>
    <row r="901" spans="1:17" x14ac:dyDescent="0.25">
      <c r="A901" s="51" t="s">
        <v>130</v>
      </c>
      <c r="B901" s="2">
        <v>45514</v>
      </c>
      <c r="C901" t="s">
        <v>6</v>
      </c>
      <c r="D901" s="51" t="s">
        <v>75</v>
      </c>
      <c r="E901" s="51" t="s">
        <v>34</v>
      </c>
      <c r="F901">
        <v>90</v>
      </c>
      <c r="G901" t="s">
        <v>64</v>
      </c>
      <c r="H901" s="9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Log'!$E$2:$V$70,
    MATCH(1,
      ('Golf Log'!$A$2:$A$70=$A901)*
      ('Golf Log'!$B$2:$B$70=$B901)*
      ('Golf Log'!$C$2:$C$70=$C901),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Log'!$E$2:$V$70,
    MATCH(1,
      ('Putt Log'!$A$2:$A$70=$A901)*
      ('Putt Log'!$B$2:$B$70=$B901)*
      ('Putt Log'!$C$2:$C$70=$C901),
    0),
    MATCH($G901,'Putt Log'!$E$1:$V$1,0)
  ),
"")</f>
        <v>2</v>
      </c>
      <c r="P901" t="str" cm="1">
        <f t="array" ref="P901">IF(K901=3,"",
  IFERROR(
    INDEX('Fairway Log'!$E$2:$V$70,
      MATCH(1,
        ('Fairway Log'!$A$2:$A$70=$A901)*
        ('Fairway Log'!$B$2:$B$70=$B901)*
        ('Fairway Log'!$C$2:$C972=$C901),
      0),
      MATCH($G901,'Fairway Log'!$E$1:$V$1,0)
    ),
  "")
)</f>
        <v>←</v>
      </c>
      <c r="Q901" t="str" cm="1">
        <f t="array" ref="Q901">IFERROR(
  INDEX('GIR Log'!$E$2:$V$70,
    MATCH(1,
      ('GIR Log'!$A$2:$A$70=$A901)*
      ('GIR Log'!$B$2:$B$70=$B901)*
      ('GIR Log'!$C$2:$C$70=$C901),
    0),
    MATCH($G901,'GIR Log'!$E$1:$V$1,0)
  ),
"")</f>
        <v>→</v>
      </c>
    </row>
    <row r="902" spans="1:17" x14ac:dyDescent="0.25">
      <c r="A902" s="51" t="s">
        <v>130</v>
      </c>
      <c r="B902" s="2">
        <v>45892</v>
      </c>
      <c r="C902" t="s">
        <v>41</v>
      </c>
      <c r="D902" s="51" t="s">
        <v>79</v>
      </c>
      <c r="E902" s="51" t="s">
        <v>34</v>
      </c>
      <c r="F902">
        <v>90</v>
      </c>
      <c r="G902" s="12" t="s">
        <v>47</v>
      </c>
      <c r="H902" s="9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Log'!$E$2:$V$70,
    MATCH(1,
      ('Golf Log'!$A$2:$A$70=$A902)*
      ('Golf Log'!$B$2:$B$70=$B902)*
      ('Golf Log'!$C$2:$C$70=$C902),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Log'!$E$2:$V$70,
    MATCH(1,
      ('Putt Log'!$A$2:$A$70=$A902)*
      ('Putt Log'!$B$2:$B$70=$B902)*
      ('Putt Log'!$C$2:$C$70=$C902),
    0),
    MATCH($G902,'Putt Log'!$E$1:$V$1,0)
  ),
"")</f>
        <v>2</v>
      </c>
      <c r="P902" t="str" cm="1">
        <f t="array" ref="P902">IF(K902=3,"",
  IFERROR(
    INDEX('Fairway Log'!$E$2:$V$70,
      MATCH(1,
        ('Fairway Log'!$A$2:$A$70=$A902)*
        ('Fairway Log'!$B$2:$B$70=$B902)*
        ('Fairway Log'!$C$2:$C973=$C902),
      0),
      MATCH($G902,'Fairway Log'!$E$1:$V$1,0)
    ),
  "")
)</f>
        <v>←</v>
      </c>
      <c r="Q902" cm="1">
        <f t="array" ref="Q902">IFERROR(
  INDEX('GIR Log'!$E$2:$V$70,
    MATCH(1,
      ('GIR Log'!$A$2:$A$70=$A902)*
      ('GIR Log'!$B$2:$B$70=$B902)*
      ('GIR Log'!$C$2:$C$70=$C902),
    0),
    MATCH($G902,'GIR Log'!$E$1:$V$1,0)
  ),
"")</f>
        <v>0</v>
      </c>
    </row>
    <row r="903" spans="1:17" x14ac:dyDescent="0.25">
      <c r="A903" s="51" t="s">
        <v>130</v>
      </c>
      <c r="B903" s="2">
        <v>45892</v>
      </c>
      <c r="C903" t="s">
        <v>41</v>
      </c>
      <c r="D903" s="51" t="s">
        <v>79</v>
      </c>
      <c r="E903" s="51" t="s">
        <v>34</v>
      </c>
      <c r="F903">
        <v>90</v>
      </c>
      <c r="G903" s="12" t="s">
        <v>48</v>
      </c>
      <c r="H903" s="9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Log'!$E$2:$V$70,
    MATCH(1,
      ('Golf Log'!$A$2:$A$70=$A903)*
      ('Golf Log'!$B$2:$B$70=$B903)*
      ('Golf Log'!$C$2:$C$70=$C903),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Log'!$E$2:$V$70,
    MATCH(1,
      ('Putt Log'!$A$2:$A$70=$A903)*
      ('Putt Log'!$B$2:$B$70=$B903)*
      ('Putt Log'!$C$2:$C$70=$C903),
    0),
    MATCH($G903,'Putt Log'!$E$1:$V$1,0)
  ),
"")</f>
        <v>2</v>
      </c>
      <c r="P903" cm="1">
        <f t="array" ref="P903">IF(K903=3,"",
  IFERROR(
    INDEX('Fairway Log'!$E$2:$V$70,
      MATCH(1,
        ('Fairway Log'!$A$2:$A$70=$A903)*
        ('Fairway Log'!$B$2:$B$70=$B903)*
        ('Fairway Log'!$C$2:$C974=$C903),
      0),
      MATCH($G903,'Fairway Log'!$E$1:$V$1,0)
    ),
  "")
)</f>
        <v>1</v>
      </c>
      <c r="Q903" cm="1">
        <f t="array" ref="Q903">IFERROR(
  INDEX('GIR Log'!$E$2:$V$70,
    MATCH(1,
      ('GIR Log'!$A$2:$A$70=$A903)*
      ('GIR Log'!$B$2:$B$70=$B903)*
      ('GIR Log'!$C$2:$C$70=$C903),
    0),
    MATCH($G903,'GIR Log'!$E$1:$V$1,0)
  ),
"")</f>
        <v>1</v>
      </c>
    </row>
    <row r="904" spans="1:17" x14ac:dyDescent="0.25">
      <c r="A904" s="51" t="s">
        <v>130</v>
      </c>
      <c r="B904" s="2">
        <v>45892</v>
      </c>
      <c r="C904" t="s">
        <v>41</v>
      </c>
      <c r="D904" s="51" t="s">
        <v>79</v>
      </c>
      <c r="E904" s="51" t="s">
        <v>34</v>
      </c>
      <c r="F904">
        <v>90</v>
      </c>
      <c r="G904" s="12" t="s">
        <v>49</v>
      </c>
      <c r="H904" s="9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Log'!$E$2:$V$70,
    MATCH(1,
      ('Golf Log'!$A$2:$A$70=$A904)*
      ('Golf Log'!$B$2:$B$70=$B904)*
      ('Golf Log'!$C$2:$C$70=$C904),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Log'!$E$2:$V$70,
    MATCH(1,
      ('Putt Log'!$A$2:$A$70=$A904)*
      ('Putt Log'!$B$2:$B$70=$B904)*
      ('Putt Log'!$C$2:$C$70=$C904),
    0),
    MATCH($G904,'Putt Log'!$E$1:$V$1,0)
  ),
"")</f>
        <v>2</v>
      </c>
      <c r="P904" t="str" cm="1">
        <f t="array" ref="P904">IF(K904=3,"",
  IFERROR(
    INDEX('Fairway Log'!$E$2:$V$70,
      MATCH(1,
        ('Fairway Log'!$A$2:$A$70=$A904)*
        ('Fairway Log'!$B$2:$B$70=$B904)*
        ('Fairway Log'!$C$2:$C975=$C904),
      0),
      MATCH($G904,'Fairway Log'!$E$1:$V$1,0)
    ),
  "")
)</f>
        <v/>
      </c>
      <c r="Q904" cm="1">
        <f t="array" ref="Q904">IFERROR(
  INDEX('GIR Log'!$E$2:$V$70,
    MATCH(1,
      ('GIR Log'!$A$2:$A$70=$A904)*
      ('GIR Log'!$B$2:$B$70=$B904)*
      ('GIR Log'!$C$2:$C$70=$C904),
    0),
    MATCH($G904,'GIR Log'!$E$1:$V$1,0)
  ),
"")</f>
        <v>0</v>
      </c>
    </row>
    <row r="905" spans="1:17" x14ac:dyDescent="0.25">
      <c r="A905" s="51" t="s">
        <v>130</v>
      </c>
      <c r="B905" s="2">
        <v>45892</v>
      </c>
      <c r="C905" t="s">
        <v>41</v>
      </c>
      <c r="D905" s="51" t="s">
        <v>79</v>
      </c>
      <c r="E905" s="51" t="s">
        <v>34</v>
      </c>
      <c r="F905">
        <v>90</v>
      </c>
      <c r="G905" s="12" t="s">
        <v>50</v>
      </c>
      <c r="H905" s="9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Log'!$E$2:$V$70,
    MATCH(1,
      ('Golf Log'!$A$2:$A$70=$A905)*
      ('Golf Log'!$B$2:$B$70=$B905)*
      ('Golf Log'!$C$2:$C$70=$C905),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Log'!$E$2:$V$70,
    MATCH(1,
      ('Putt Log'!$A$2:$A$70=$A905)*
      ('Putt Log'!$B$2:$B$70=$B905)*
      ('Putt Log'!$C$2:$C$70=$C905),
    0),
    MATCH($G905,'Putt Log'!$E$1:$V$1,0)
  ),
"")</f>
        <v>2</v>
      </c>
      <c r="P905" cm="1">
        <f t="array" ref="P905">IF(K905=3,"",
  IFERROR(
    INDEX('Fairway Log'!$E$2:$V$70,
      MATCH(1,
        ('Fairway Log'!$A$2:$A$70=$A905)*
        ('Fairway Log'!$B$2:$B$70=$B905)*
        ('Fairway Log'!$C$2:$C976=$C905),
      0),
      MATCH($G905,'Fairway Log'!$E$1:$V$1,0)
    ),
  "")
)</f>
        <v>1</v>
      </c>
      <c r="Q905" cm="1">
        <f t="array" ref="Q905">IFERROR(
  INDEX('GIR Log'!$E$2:$V$70,
    MATCH(1,
      ('GIR Log'!$A$2:$A$70=$A905)*
      ('GIR Log'!$B$2:$B$70=$B905)*
      ('GIR Log'!$C$2:$C$70=$C905),
    0),
    MATCH($G905,'GIR Log'!$E$1:$V$1,0)
  ),
"")</f>
        <v>0</v>
      </c>
    </row>
    <row r="906" spans="1:17" x14ac:dyDescent="0.25">
      <c r="A906" s="51" t="s">
        <v>130</v>
      </c>
      <c r="B906" s="2">
        <v>45892</v>
      </c>
      <c r="C906" t="s">
        <v>41</v>
      </c>
      <c r="D906" s="51" t="s">
        <v>79</v>
      </c>
      <c r="E906" s="51" t="s">
        <v>34</v>
      </c>
      <c r="F906">
        <v>90</v>
      </c>
      <c r="G906" s="12" t="s">
        <v>51</v>
      </c>
      <c r="H906" s="9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Log'!$E$2:$V$70,
    MATCH(1,
      ('Golf Log'!$A$2:$A$70=$A906)*
      ('Golf Log'!$B$2:$B$70=$B906)*
      ('Golf Log'!$C$2:$C$70=$C906),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Log'!$E$2:$V$70,
    MATCH(1,
      ('Putt Log'!$A$2:$A$70=$A906)*
      ('Putt Log'!$B$2:$B$70=$B906)*
      ('Putt Log'!$C$2:$C$70=$C906),
    0),
    MATCH($G906,'Putt Log'!$E$1:$V$1,0)
  ),
"")</f>
        <v>1</v>
      </c>
      <c r="P906" cm="1">
        <f t="array" ref="P906">IF(K906=3,"",
  IFERROR(
    INDEX('Fairway Log'!$E$2:$V$70,
      MATCH(1,
        ('Fairway Log'!$A$2:$A$70=$A906)*
        ('Fairway Log'!$B$2:$B$70=$B906)*
        ('Fairway Log'!$C$2:$C977=$C906),
      0),
      MATCH($G906,'Fairway Log'!$E$1:$V$1,0)
    ),
  "")
)</f>
        <v>1</v>
      </c>
      <c r="Q906" cm="1">
        <f t="array" ref="Q906">IFERROR(
  INDEX('GIR Log'!$E$2:$V$70,
    MATCH(1,
      ('GIR Log'!$A$2:$A$70=$A906)*
      ('GIR Log'!$B$2:$B$70=$B906)*
      ('GIR Log'!$C$2:$C$70=$C906),
    0),
    MATCH($G906,'GIR Log'!$E$1:$V$1,0)
  ),
"")</f>
        <v>0</v>
      </c>
    </row>
    <row r="907" spans="1:17" x14ac:dyDescent="0.25">
      <c r="A907" s="51" t="s">
        <v>130</v>
      </c>
      <c r="B907" s="2">
        <v>45892</v>
      </c>
      <c r="C907" t="s">
        <v>41</v>
      </c>
      <c r="D907" s="51" t="s">
        <v>79</v>
      </c>
      <c r="E907" s="51" t="s">
        <v>34</v>
      </c>
      <c r="F907">
        <v>90</v>
      </c>
      <c r="G907" s="12" t="s">
        <v>52</v>
      </c>
      <c r="H907" s="9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Log'!$E$2:$V$70,
    MATCH(1,
      ('Golf Log'!$A$2:$A$70=$A907)*
      ('Golf Log'!$B$2:$B$70=$B907)*
      ('Golf Log'!$C$2:$C$70=$C907),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Log'!$E$2:$V$70,
    MATCH(1,
      ('Putt Log'!$A$2:$A$70=$A907)*
      ('Putt Log'!$B$2:$B$70=$B907)*
      ('Putt Log'!$C$2:$C$70=$C907),
    0),
    MATCH($G907,'Putt Log'!$E$1:$V$1,0)
  ),
"")</f>
        <v>2</v>
      </c>
      <c r="P907" t="str" cm="1">
        <f t="array" ref="P907">IF(K907=3,"",
  IFERROR(
    INDEX('Fairway Log'!$E$2:$V$70,
      MATCH(1,
        ('Fairway Log'!$A$2:$A$70=$A907)*
        ('Fairway Log'!$B$2:$B$70=$B907)*
        ('Fairway Log'!$C$2:$C978=$C907),
      0),
      MATCH($G907,'Fairway Log'!$E$1:$V$1,0)
    ),
  "")
)</f>
        <v/>
      </c>
      <c r="Q907" cm="1">
        <f t="array" ref="Q907">IFERROR(
  INDEX('GIR Log'!$E$2:$V$70,
    MATCH(1,
      ('GIR Log'!$A$2:$A$70=$A907)*
      ('GIR Log'!$B$2:$B$70=$B907)*
      ('GIR Log'!$C$2:$C$70=$C907),
    0),
    MATCH($G907,'GIR Log'!$E$1:$V$1,0)
  ),
"")</f>
        <v>1</v>
      </c>
    </row>
    <row r="908" spans="1:17" x14ac:dyDescent="0.25">
      <c r="A908" s="51" t="s">
        <v>130</v>
      </c>
      <c r="B908" s="2">
        <v>45892</v>
      </c>
      <c r="C908" t="s">
        <v>41</v>
      </c>
      <c r="D908" s="51" t="s">
        <v>79</v>
      </c>
      <c r="E908" s="51" t="s">
        <v>34</v>
      </c>
      <c r="F908">
        <v>90</v>
      </c>
      <c r="G908" s="12" t="s">
        <v>53</v>
      </c>
      <c r="H908" s="9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Log'!$E$2:$V$70,
    MATCH(1,
      ('Golf Log'!$A$2:$A$70=$A908)*
      ('Golf Log'!$B$2:$B$70=$B908)*
      ('Golf Log'!$C$2:$C$70=$C908),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Log'!$E$2:$V$70,
    MATCH(1,
      ('Putt Log'!$A$2:$A$70=$A908)*
      ('Putt Log'!$B$2:$B$70=$B908)*
      ('Putt Log'!$C$2:$C$70=$C908),
    0),
    MATCH($G908,'Putt Log'!$E$1:$V$1,0)
  ),
"")</f>
        <v>2</v>
      </c>
      <c r="P908" t="str" cm="1">
        <f t="array" ref="P908">IF(K908=3,"",
  IFERROR(
    INDEX('Fairway Log'!$E$2:$V$70,
      MATCH(1,
        ('Fairway Log'!$A$2:$A$70=$A908)*
        ('Fairway Log'!$B$2:$B$70=$B908)*
        ('Fairway Log'!$C$2:$C979=$C908),
      0),
      MATCH($G908,'Fairway Log'!$E$1:$V$1,0)
    ),
  "")
)</f>
        <v>→</v>
      </c>
      <c r="Q908" cm="1">
        <f t="array" ref="Q908">IFERROR(
  INDEX('GIR Log'!$E$2:$V$70,
    MATCH(1,
      ('GIR Log'!$A$2:$A$70=$A908)*
      ('GIR Log'!$B$2:$B$70=$B908)*
      ('GIR Log'!$C$2:$C$70=$C908),
    0),
    MATCH($G908,'GIR Log'!$E$1:$V$1,0)
  ),
"")</f>
        <v>0</v>
      </c>
    </row>
    <row r="909" spans="1:17" x14ac:dyDescent="0.25">
      <c r="A909" s="51" t="s">
        <v>130</v>
      </c>
      <c r="B909" s="2">
        <v>45892</v>
      </c>
      <c r="C909" t="s">
        <v>41</v>
      </c>
      <c r="D909" s="51" t="s">
        <v>79</v>
      </c>
      <c r="E909" s="51" t="s">
        <v>34</v>
      </c>
      <c r="F909">
        <v>90</v>
      </c>
      <c r="G909" s="12" t="s">
        <v>54</v>
      </c>
      <c r="H909" s="9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Log'!$E$2:$V$70,
    MATCH(1,
      ('Golf Log'!$A$2:$A$70=$A909)*
      ('Golf Log'!$B$2:$B$70=$B909)*
      ('Golf Log'!$C$2:$C$70=$C909),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Log'!$E$2:$V$70,
    MATCH(1,
      ('Putt Log'!$A$2:$A$70=$A909)*
      ('Putt Log'!$B$2:$B$70=$B909)*
      ('Putt Log'!$C$2:$C$70=$C909),
    0),
    MATCH($G909,'Putt Log'!$E$1:$V$1,0)
  ),
"")</f>
        <v>3</v>
      </c>
      <c r="P909" cm="1">
        <f t="array" ref="P909">IF(K909=3,"",
  IFERROR(
    INDEX('Fairway Log'!$E$2:$V$70,
      MATCH(1,
        ('Fairway Log'!$A$2:$A$70=$A909)*
        ('Fairway Log'!$B$2:$B$70=$B909)*
        ('Fairway Log'!$C$2:$C980=$C909),
      0),
      MATCH($G909,'Fairway Log'!$E$1:$V$1,0)
    ),
  "")
)</f>
        <v>1</v>
      </c>
      <c r="Q909" cm="1">
        <f t="array" ref="Q909">IFERROR(
  INDEX('GIR Log'!$E$2:$V$70,
    MATCH(1,
      ('GIR Log'!$A$2:$A$70=$A909)*
      ('GIR Log'!$B$2:$B$70=$B909)*
      ('GIR Log'!$C$2:$C$70=$C909),
    0),
    MATCH($G909,'GIR Log'!$E$1:$V$1,0)
  ),
"")</f>
        <v>1</v>
      </c>
    </row>
    <row r="910" spans="1:17" x14ac:dyDescent="0.25">
      <c r="A910" s="51" t="s">
        <v>130</v>
      </c>
      <c r="B910" s="2">
        <v>45892</v>
      </c>
      <c r="C910" t="s">
        <v>41</v>
      </c>
      <c r="D910" s="51" t="s">
        <v>79</v>
      </c>
      <c r="E910" s="51" t="s">
        <v>34</v>
      </c>
      <c r="F910">
        <v>90</v>
      </c>
      <c r="G910" s="12" t="s">
        <v>55</v>
      </c>
      <c r="H910" s="9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Log'!$E$2:$V$70,
    MATCH(1,
      ('Golf Log'!$A$2:$A$70=$A910)*
      ('Golf Log'!$B$2:$B$70=$B910)*
      ('Golf Log'!$C$2:$C$70=$C910),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Log'!$E$2:$V$70,
    MATCH(1,
      ('Putt Log'!$A$2:$A$70=$A910)*
      ('Putt Log'!$B$2:$B$70=$B910)*
      ('Putt Log'!$C$2:$C$70=$C910),
    0),
    MATCH($G910,'Putt Log'!$E$1:$V$1,0)
  ),
"")</f>
        <v>2</v>
      </c>
      <c r="P910" cm="1">
        <f t="array" ref="P910">IF(K910=3,"",
  IFERROR(
    INDEX('Fairway Log'!$E$2:$V$70,
      MATCH(1,
        ('Fairway Log'!$A$2:$A$70=$A910)*
        ('Fairway Log'!$B$2:$B$70=$B910)*
        ('Fairway Log'!$C$2:$C981=$C910),
      0),
      MATCH($G910,'Fairway Log'!$E$1:$V$1,0)
    ),
  "")
)</f>
        <v>1</v>
      </c>
      <c r="Q910" cm="1">
        <f t="array" ref="Q910">IFERROR(
  INDEX('GIR Log'!$E$2:$V$70,
    MATCH(1,
      ('GIR Log'!$A$2:$A$70=$A910)*
      ('GIR Log'!$B$2:$B$70=$B910)*
      ('GIR Log'!$C$2:$C$70=$C910),
    0),
    MATCH($G910,'GIR Log'!$E$1:$V$1,0)
  ),
"")</f>
        <v>1</v>
      </c>
    </row>
    <row r="911" spans="1:17" x14ac:dyDescent="0.25">
      <c r="A911" s="51" t="s">
        <v>130</v>
      </c>
      <c r="B911" s="2">
        <v>45892</v>
      </c>
      <c r="C911" t="s">
        <v>41</v>
      </c>
      <c r="D911" s="51" t="s">
        <v>79</v>
      </c>
      <c r="E911" s="51" t="s">
        <v>34</v>
      </c>
      <c r="F911">
        <v>90</v>
      </c>
      <c r="G911" s="12" t="s">
        <v>56</v>
      </c>
      <c r="H911" s="9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Log'!$E$2:$V$70,
    MATCH(1,
      ('Golf Log'!$A$2:$A$70=$A911)*
      ('Golf Log'!$B$2:$B$70=$B911)*
      ('Golf Log'!$C$2:$C$70=$C911),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Log'!$E$2:$V$70,
    MATCH(1,
      ('Putt Log'!$A$2:$A$70=$A911)*
      ('Putt Log'!$B$2:$B$70=$B911)*
      ('Putt Log'!$C$2:$C$70=$C911),
    0),
    MATCH($G911,'Putt Log'!$E$1:$V$1,0)
  ),
"")</f>
        <v>3</v>
      </c>
      <c r="P911" t="str" cm="1">
        <f t="array" ref="P911">IF(K911=3,"",
  IFERROR(
    INDEX('Fairway Log'!$E$2:$V$70,
      MATCH(1,
        ('Fairway Log'!$A$2:$A$70=$A911)*
        ('Fairway Log'!$B$2:$B$70=$B911)*
        ('Fairway Log'!$C$2:$C982=$C911),
      0),
      MATCH($G911,'Fairway Log'!$E$1:$V$1,0)
    ),
  "")
)</f>
        <v>←</v>
      </c>
      <c r="Q911" cm="1">
        <f t="array" ref="Q911">IFERROR(
  INDEX('GIR Log'!$E$2:$V$70,
    MATCH(1,
      ('GIR Log'!$A$2:$A$70=$A911)*
      ('GIR Log'!$B$2:$B$70=$B911)*
      ('GIR Log'!$C$2:$C$70=$C911),
    0),
    MATCH($G911,'GIR Log'!$E$1:$V$1,0)
  ),
"")</f>
        <v>0</v>
      </c>
    </row>
    <row r="912" spans="1:17" x14ac:dyDescent="0.25">
      <c r="A912" s="51" t="s">
        <v>130</v>
      </c>
      <c r="B912" s="2">
        <v>45892</v>
      </c>
      <c r="C912" t="s">
        <v>41</v>
      </c>
      <c r="D912" s="51" t="s">
        <v>79</v>
      </c>
      <c r="E912" s="51" t="s">
        <v>34</v>
      </c>
      <c r="F912">
        <v>90</v>
      </c>
      <c r="G912" s="12" t="s">
        <v>57</v>
      </c>
      <c r="H912" s="9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Log'!$E$2:$V$70,
    MATCH(1,
      ('Golf Log'!$A$2:$A$70=$A912)*
      ('Golf Log'!$B$2:$B$70=$B912)*
      ('Golf Log'!$C$2:$C$70=$C912),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Log'!$E$2:$V$70,
    MATCH(1,
      ('Putt Log'!$A$2:$A$70=$A912)*
      ('Putt Log'!$B$2:$B$70=$B912)*
      ('Putt Log'!$C$2:$C$70=$C912),
    0),
    MATCH($G912,'Putt Log'!$E$1:$V$1,0)
  ),
"")</f>
        <v>2</v>
      </c>
      <c r="P912" cm="1">
        <f t="array" ref="P912">IF(K912=3,"",
  IFERROR(
    INDEX('Fairway Log'!$E$2:$V$70,
      MATCH(1,
        ('Fairway Log'!$A$2:$A$70=$A912)*
        ('Fairway Log'!$B$2:$B$70=$B912)*
        ('Fairway Log'!$C$2:$C983=$C912),
      0),
      MATCH($G912,'Fairway Log'!$E$1:$V$1,0)
    ),
  "")
)</f>
        <v>1</v>
      </c>
      <c r="Q912" cm="1">
        <f t="array" ref="Q912">IFERROR(
  INDEX('GIR Log'!$E$2:$V$70,
    MATCH(1,
      ('GIR Log'!$A$2:$A$70=$A912)*
      ('GIR Log'!$B$2:$B$70=$B912)*
      ('GIR Log'!$C$2:$C$70=$C912),
    0),
    MATCH($G912,'GIR Log'!$E$1:$V$1,0)
  ),
"")</f>
        <v>0</v>
      </c>
    </row>
    <row r="913" spans="1:17" x14ac:dyDescent="0.25">
      <c r="A913" s="51" t="s">
        <v>130</v>
      </c>
      <c r="B913" s="2">
        <v>45892</v>
      </c>
      <c r="C913" t="s">
        <v>41</v>
      </c>
      <c r="D913" s="51" t="s">
        <v>79</v>
      </c>
      <c r="E913" s="51" t="s">
        <v>34</v>
      </c>
      <c r="F913">
        <v>90</v>
      </c>
      <c r="G913" s="12" t="s">
        <v>58</v>
      </c>
      <c r="H913" s="9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Log'!$E$2:$V$70,
    MATCH(1,
      ('Golf Log'!$A$2:$A$70=$A913)*
      ('Golf Log'!$B$2:$B$70=$B913)*
      ('Golf Log'!$C$2:$C$70=$C913),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Log'!$E$2:$V$70,
    MATCH(1,
      ('Putt Log'!$A$2:$A$70=$A913)*
      ('Putt Log'!$B$2:$B$70=$B913)*
      ('Putt Log'!$C$2:$C$70=$C913),
    0),
    MATCH($G913,'Putt Log'!$E$1:$V$1,0)
  ),
"")</f>
        <v>2</v>
      </c>
      <c r="P913" t="str" cm="1">
        <f t="array" ref="P913">IF(K913=3,"",
  IFERROR(
    INDEX('Fairway Log'!$E$2:$V$70,
      MATCH(1,
        ('Fairway Log'!$A$2:$A$70=$A913)*
        ('Fairway Log'!$B$2:$B$70=$B913)*
        ('Fairway Log'!$C$2:$C984=$C913),
      0),
      MATCH($G913,'Fairway Log'!$E$1:$V$1,0)
    ),
  "")
)</f>
        <v>→</v>
      </c>
      <c r="Q913" cm="1">
        <f t="array" ref="Q913">IFERROR(
  INDEX('GIR Log'!$E$2:$V$70,
    MATCH(1,
      ('GIR Log'!$A$2:$A$70=$A913)*
      ('GIR Log'!$B$2:$B$70=$B913)*
      ('GIR Log'!$C$2:$C$70=$C913),
    0),
    MATCH($G913,'GIR Log'!$E$1:$V$1,0)
  ),
"")</f>
        <v>0</v>
      </c>
    </row>
    <row r="914" spans="1:17" x14ac:dyDescent="0.25">
      <c r="A914" s="51" t="s">
        <v>130</v>
      </c>
      <c r="B914" s="2">
        <v>45892</v>
      </c>
      <c r="C914" t="s">
        <v>41</v>
      </c>
      <c r="D914" s="51" t="s">
        <v>79</v>
      </c>
      <c r="E914" s="51" t="s">
        <v>34</v>
      </c>
      <c r="F914">
        <v>90</v>
      </c>
      <c r="G914" s="12" t="s">
        <v>59</v>
      </c>
      <c r="H914" s="9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Log'!$E$2:$V$70,
    MATCH(1,
      ('Golf Log'!$A$2:$A$70=$A914)*
      ('Golf Log'!$B$2:$B$70=$B914)*
      ('Golf Log'!$C$2:$C$70=$C914),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Log'!$E$2:$V$70,
    MATCH(1,
      ('Putt Log'!$A$2:$A$70=$A914)*
      ('Putt Log'!$B$2:$B$70=$B914)*
      ('Putt Log'!$C$2:$C$70=$C914),
    0),
    MATCH($G914,'Putt Log'!$E$1:$V$1,0)
  ),
"")</f>
        <v>2</v>
      </c>
      <c r="P914" t="str" cm="1">
        <f t="array" ref="P914">IF(K914=3,"",
  IFERROR(
    INDEX('Fairway Log'!$E$2:$V$70,
      MATCH(1,
        ('Fairway Log'!$A$2:$A$70=$A914)*
        ('Fairway Log'!$B$2:$B$70=$B914)*
        ('Fairway Log'!$C$2:$C985=$C914),
      0),
      MATCH($G914,'Fairway Log'!$E$1:$V$1,0)
    ),
  "")
)</f>
        <v/>
      </c>
      <c r="Q914" cm="1">
        <f t="array" ref="Q914">IFERROR(
  INDEX('GIR Log'!$E$2:$V$70,
    MATCH(1,
      ('GIR Log'!$A$2:$A$70=$A914)*
      ('GIR Log'!$B$2:$B$70=$B914)*
      ('GIR Log'!$C$2:$C$70=$C914),
    0),
    MATCH($G914,'GIR Log'!$E$1:$V$1,0)
  ),
"")</f>
        <v>1</v>
      </c>
    </row>
    <row r="915" spans="1:17" x14ac:dyDescent="0.25">
      <c r="A915" s="51" t="s">
        <v>130</v>
      </c>
      <c r="B915" s="2">
        <v>45892</v>
      </c>
      <c r="C915" t="s">
        <v>41</v>
      </c>
      <c r="D915" s="51" t="s">
        <v>79</v>
      </c>
      <c r="E915" s="51" t="s">
        <v>34</v>
      </c>
      <c r="F915">
        <v>90</v>
      </c>
      <c r="G915" s="12" t="s">
        <v>60</v>
      </c>
      <c r="H915" s="9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Log'!$E$2:$V$70,
    MATCH(1,
      ('Golf Log'!$A$2:$A$70=$A915)*
      ('Golf Log'!$B$2:$B$70=$B915)*
      ('Golf Log'!$C$2:$C$70=$C915),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Log'!$E$2:$V$70,
    MATCH(1,
      ('Putt Log'!$A$2:$A$70=$A915)*
      ('Putt Log'!$B$2:$B$70=$B915)*
      ('Putt Log'!$C$2:$C$70=$C915),
    0),
    MATCH($G915,'Putt Log'!$E$1:$V$1,0)
  ),
"")</f>
        <v>2</v>
      </c>
      <c r="P915" t="str" cm="1">
        <f t="array" ref="P915">IF(K915=3,"",
  IFERROR(
    INDEX('Fairway Log'!$E$2:$V$70,
      MATCH(1,
        ('Fairway Log'!$A$2:$A$70=$A915)*
        ('Fairway Log'!$B$2:$B$70=$B915)*
        ('Fairway Log'!$C$2:$C986=$C915),
      0),
      MATCH($G915,'Fairway Log'!$E$1:$V$1,0)
    ),
  "")
)</f>
        <v>↓</v>
      </c>
      <c r="Q915" cm="1">
        <f t="array" ref="Q915">IFERROR(
  INDEX('GIR Log'!$E$2:$V$70,
    MATCH(1,
      ('GIR Log'!$A$2:$A$70=$A915)*
      ('GIR Log'!$B$2:$B$70=$B915)*
      ('GIR Log'!$C$2:$C$70=$C915),
    0),
    MATCH($G915,'GIR Log'!$E$1:$V$1,0)
  ),
"")</f>
        <v>0</v>
      </c>
    </row>
    <row r="916" spans="1:17" x14ac:dyDescent="0.25">
      <c r="A916" s="51" t="s">
        <v>130</v>
      </c>
      <c r="B916" s="2">
        <v>45892</v>
      </c>
      <c r="C916" t="s">
        <v>41</v>
      </c>
      <c r="D916" s="51" t="s">
        <v>79</v>
      </c>
      <c r="E916" s="51" t="s">
        <v>34</v>
      </c>
      <c r="F916">
        <v>90</v>
      </c>
      <c r="G916" s="12" t="s">
        <v>61</v>
      </c>
      <c r="H916" s="9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Log'!$E$2:$V$70,
    MATCH(1,
      ('Golf Log'!$A$2:$A$70=$A916)*
      ('Golf Log'!$B$2:$B$70=$B916)*
      ('Golf Log'!$C$2:$C$70=$C916),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Log'!$E$2:$V$70,
    MATCH(1,
      ('Putt Log'!$A$2:$A$70=$A916)*
      ('Putt Log'!$B$2:$B$70=$B916)*
      ('Putt Log'!$C$2:$C$70=$C916),
    0),
    MATCH($G916,'Putt Log'!$E$1:$V$1,0)
  ),
"")</f>
        <v>3</v>
      </c>
      <c r="P916" t="str" cm="1">
        <f t="array" ref="P916">IF(K916=3,"",
  IFERROR(
    INDEX('Fairway Log'!$E$2:$V$70,
      MATCH(1,
        ('Fairway Log'!$A$2:$A$70=$A916)*
        ('Fairway Log'!$B$2:$B$70=$B916)*
        ('Fairway Log'!$C$2:$C987=$C916),
      0),
      MATCH($G916,'Fairway Log'!$E$1:$V$1,0)
    ),
  "")
)</f>
        <v>↓</v>
      </c>
      <c r="Q916" cm="1">
        <f t="array" ref="Q916">IFERROR(
  INDEX('GIR Log'!$E$2:$V$70,
    MATCH(1,
      ('GIR Log'!$A$2:$A$70=$A916)*
      ('GIR Log'!$B$2:$B$70=$B916)*
      ('GIR Log'!$C$2:$C$70=$C916),
    0),
    MATCH($G916,'GIR Log'!$E$1:$V$1,0)
  ),
"")</f>
        <v>0</v>
      </c>
    </row>
    <row r="917" spans="1:17" x14ac:dyDescent="0.25">
      <c r="A917" s="51" t="s">
        <v>130</v>
      </c>
      <c r="B917" s="2">
        <v>45892</v>
      </c>
      <c r="C917" t="s">
        <v>41</v>
      </c>
      <c r="D917" s="51" t="s">
        <v>79</v>
      </c>
      <c r="E917" s="51" t="s">
        <v>34</v>
      </c>
      <c r="F917">
        <v>90</v>
      </c>
      <c r="G917" s="12" t="s">
        <v>62</v>
      </c>
      <c r="H917" s="9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Log'!$E$2:$V$70,
    MATCH(1,
      ('Golf Log'!$A$2:$A$70=$A917)*
      ('Golf Log'!$B$2:$B$70=$B917)*
      ('Golf Log'!$C$2:$C$70=$C917),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Log'!$E$2:$V$70,
    MATCH(1,
      ('Putt Log'!$A$2:$A$70=$A917)*
      ('Putt Log'!$B$2:$B$70=$B917)*
      ('Putt Log'!$C$2:$C$70=$C917),
    0),
    MATCH($G917,'Putt Log'!$E$1:$V$1,0)
  ),
"")</f>
        <v>2</v>
      </c>
      <c r="P917" t="str" cm="1">
        <f t="array" ref="P917">IF(K917=3,"",
  IFERROR(
    INDEX('Fairway Log'!$E$2:$V$70,
      MATCH(1,
        ('Fairway Log'!$A$2:$A$70=$A917)*
        ('Fairway Log'!$B$2:$B$70=$B917)*
        ('Fairway Log'!$C$2:$C988=$C917),
      0),
      MATCH($G917,'Fairway Log'!$E$1:$V$1,0)
    ),
  "")
)</f>
        <v/>
      </c>
      <c r="Q917" cm="1">
        <f t="array" ref="Q917">IFERROR(
  INDEX('GIR Log'!$E$2:$V$70,
    MATCH(1,
      ('GIR Log'!$A$2:$A$70=$A917)*
      ('GIR Log'!$B$2:$B$70=$B917)*
      ('GIR Log'!$C$2:$C$70=$C917),
    0),
    MATCH($G917,'GIR Log'!$E$1:$V$1,0)
  ),
"")</f>
        <v>0</v>
      </c>
    </row>
    <row r="918" spans="1:17" x14ac:dyDescent="0.25">
      <c r="A918" s="51" t="s">
        <v>130</v>
      </c>
      <c r="B918" s="2">
        <v>45892</v>
      </c>
      <c r="C918" t="s">
        <v>41</v>
      </c>
      <c r="D918" s="51" t="s">
        <v>79</v>
      </c>
      <c r="E918" s="51" t="s">
        <v>34</v>
      </c>
      <c r="F918">
        <v>90</v>
      </c>
      <c r="G918" s="12" t="s">
        <v>63</v>
      </c>
      <c r="H918" s="9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Log'!$E$2:$V$70,
    MATCH(1,
      ('Golf Log'!$A$2:$A$70=$A918)*
      ('Golf Log'!$B$2:$B$70=$B918)*
      ('Golf Log'!$C$2:$C$70=$C918),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Log'!$E$2:$V$70,
    MATCH(1,
      ('Putt Log'!$A$2:$A$70=$A918)*
      ('Putt Log'!$B$2:$B$70=$B918)*
      ('Putt Log'!$C$2:$C$70=$C918),
    0),
    MATCH($G918,'Putt Log'!$E$1:$V$1,0)
  ),
"")</f>
        <v>2</v>
      </c>
      <c r="P918" cm="1">
        <f t="array" ref="P918">IF(K918=3,"",
  IFERROR(
    INDEX('Fairway Log'!$E$2:$V$70,
      MATCH(1,
        ('Fairway Log'!$A$2:$A$70=$A918)*
        ('Fairway Log'!$B$2:$B$70=$B918)*
        ('Fairway Log'!$C$2:$C989=$C918),
      0),
      MATCH($G918,'Fairway Log'!$E$1:$V$1,0)
    ),
  "")
)</f>
        <v>1</v>
      </c>
      <c r="Q918" cm="1">
        <f t="array" ref="Q918">IFERROR(
  INDEX('GIR Log'!$E$2:$V$70,
    MATCH(1,
      ('GIR Log'!$A$2:$A$70=$A918)*
      ('GIR Log'!$B$2:$B$70=$B918)*
      ('GIR Log'!$C$2:$C$70=$C918),
    0),
    MATCH($G918,'GIR Log'!$E$1:$V$1,0)
  ),
"")</f>
        <v>1</v>
      </c>
    </row>
    <row r="919" spans="1:17" x14ac:dyDescent="0.25">
      <c r="A919" s="51" t="s">
        <v>130</v>
      </c>
      <c r="B919" s="2">
        <v>45892</v>
      </c>
      <c r="C919" t="s">
        <v>41</v>
      </c>
      <c r="D919" s="51" t="s">
        <v>79</v>
      </c>
      <c r="E919" s="51" t="s">
        <v>34</v>
      </c>
      <c r="F919">
        <v>90</v>
      </c>
      <c r="G919" s="12" t="s">
        <v>64</v>
      </c>
      <c r="H919" s="9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Log'!$E$2:$V$70,
    MATCH(1,
      ('Golf Log'!$A$2:$A$70=$A919)*
      ('Golf Log'!$B$2:$B$70=$B919)*
      ('Golf Log'!$C$2:$C$70=$C919),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Log'!$E$2:$V$70,
    MATCH(1,
      ('Putt Log'!$A$2:$A$70=$A919)*
      ('Putt Log'!$B$2:$B$70=$B919)*
      ('Putt Log'!$C$2:$C$70=$C919),
    0),
    MATCH($G919,'Putt Log'!$E$1:$V$1,0)
  ),
"")</f>
        <v>2</v>
      </c>
      <c r="P919" cm="1">
        <f t="array" ref="P919">IF(K919=3,"",
  IFERROR(
    INDEX('Fairway Log'!$E$2:$V$70,
      MATCH(1,
        ('Fairway Log'!$A$2:$A$70=$A919)*
        ('Fairway Log'!$B$2:$B$70=$B919)*
        ('Fairway Log'!$C$2:$C990=$C919),
      0),
      MATCH($G919,'Fairway Log'!$E$1:$V$1,0)
    ),
  "")
)</f>
        <v>1</v>
      </c>
      <c r="Q919" cm="1">
        <f t="array" ref="Q919">IFERROR(
  INDEX('GIR Log'!$E$2:$V$70,
    MATCH(1,
      ('GIR Log'!$A$2:$A$70=$A919)*
      ('GIR Log'!$B$2:$B$70=$B919)*
      ('GIR Log'!$C$2:$C$70=$C919),
    0),
    MATCH($G919,'GIR Log'!$E$1:$V$1,0)
  ),
"")</f>
        <v>0</v>
      </c>
    </row>
    <row r="920" spans="1:17" x14ac:dyDescent="0.25">
      <c r="A920" s="51" t="s">
        <v>130</v>
      </c>
      <c r="B920" s="2">
        <v>45886</v>
      </c>
      <c r="C920" t="s">
        <v>41</v>
      </c>
      <c r="D920" s="51" t="s">
        <v>79</v>
      </c>
      <c r="E920" s="51" t="s">
        <v>34</v>
      </c>
      <c r="F920">
        <v>89</v>
      </c>
      <c r="G920" t="s">
        <v>47</v>
      </c>
      <c r="H920" s="9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Log'!$E$2:$V$70,
    MATCH(1,
      ('Golf Log'!$A$2:$A$70=$A920)*
      ('Golf Log'!$B$2:$B$70=$B920)*
      ('Golf Log'!$C$2:$C$70=$C920),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Log'!$E$2:$V$70,
    MATCH(1,
      ('Putt Log'!$A$2:$A$70=$A920)*
      ('Putt Log'!$B$2:$B$70=$B920)*
      ('Putt Log'!$C$2:$C$70=$C920),
    0),
    MATCH($G920,'Putt Log'!$E$1:$V$1,0)
  ),
"")</f>
        <v>3</v>
      </c>
      <c r="P920" t="str" cm="1">
        <f t="array" ref="P920">IF(K920=3,"",
  IFERROR(
    INDEX('Fairway Log'!$E$2:$V$70,
      MATCH(1,
        ('Fairway Log'!$A$2:$A$70=$A920)*
        ('Fairway Log'!$B$2:$B$70=$B920)*
        ('Fairway Log'!$C$2:$C991=$C920),
      0),
      MATCH($G920,'Fairway Log'!$E$1:$V$1,0)
    ),
  "")
)</f>
        <v>←</v>
      </c>
      <c r="Q920" t="str" cm="1">
        <f t="array" ref="Q920">IFERROR(
  INDEX('GIR Log'!$E$2:$V$70,
    MATCH(1,
      ('GIR Log'!$A$2:$A$70=$A920)*
      ('GIR Log'!$B$2:$B$70=$B920)*
      ('GIR Log'!$C$2:$C$70=$C920),
    0),
    MATCH($G920,'GIR Log'!$E$1:$V$1,0)
  ),
"")</f>
        <v>↓</v>
      </c>
    </row>
    <row r="921" spans="1:17" x14ac:dyDescent="0.25">
      <c r="A921" s="51" t="s">
        <v>130</v>
      </c>
      <c r="B921" s="2">
        <v>45886</v>
      </c>
      <c r="C921" t="s">
        <v>41</v>
      </c>
      <c r="D921" s="51" t="s">
        <v>79</v>
      </c>
      <c r="E921" s="51" t="s">
        <v>34</v>
      </c>
      <c r="F921">
        <v>89</v>
      </c>
      <c r="G921" t="s">
        <v>48</v>
      </c>
      <c r="H921" s="9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Log'!$E$2:$V$70,
    MATCH(1,
      ('Golf Log'!$A$2:$A$70=$A921)*
      ('Golf Log'!$B$2:$B$70=$B921)*
      ('Golf Log'!$C$2:$C$70=$C921),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Log'!$E$2:$V$70,
    MATCH(1,
      ('Putt Log'!$A$2:$A$70=$A921)*
      ('Putt Log'!$B$2:$B$70=$B921)*
      ('Putt Log'!$C$2:$C$70=$C921),
    0),
    MATCH($G921,'Putt Log'!$E$1:$V$1,0)
  ),
"")</f>
        <v>3</v>
      </c>
      <c r="P921" t="str" cm="1">
        <f t="array" ref="P921">IF(K921=3,"",
  IFERROR(
    INDEX('Fairway Log'!$E$2:$V$70,
      MATCH(1,
        ('Fairway Log'!$A$2:$A$70=$A921)*
        ('Fairway Log'!$B$2:$B$70=$B921)*
        ('Fairway Log'!$C$2:$C992=$C921),
      0),
      MATCH($G921,'Fairway Log'!$E$1:$V$1,0)
    ),
  "")
)</f>
        <v>↓</v>
      </c>
      <c r="Q921" t="str" cm="1">
        <f t="array" ref="Q921">IFERROR(
  INDEX('GIR Log'!$E$2:$V$70,
    MATCH(1,
      ('GIR Log'!$A$2:$A$70=$A921)*
      ('GIR Log'!$B$2:$B$70=$B921)*
      ('GIR Log'!$C$2:$C$70=$C921),
    0),
    MATCH($G921,'GIR Log'!$E$1:$V$1,0)
  ),
"")</f>
        <v>↓</v>
      </c>
    </row>
    <row r="922" spans="1:17" x14ac:dyDescent="0.25">
      <c r="A922" s="51" t="s">
        <v>130</v>
      </c>
      <c r="B922" s="2">
        <v>45886</v>
      </c>
      <c r="C922" t="s">
        <v>41</v>
      </c>
      <c r="D922" s="51" t="s">
        <v>79</v>
      </c>
      <c r="E922" s="51" t="s">
        <v>34</v>
      </c>
      <c r="F922">
        <v>89</v>
      </c>
      <c r="G922" t="s">
        <v>49</v>
      </c>
      <c r="H922" s="9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Log'!$E$2:$V$70,
    MATCH(1,
      ('Golf Log'!$A$2:$A$70=$A922)*
      ('Golf Log'!$B$2:$B$70=$B922)*
      ('Golf Log'!$C$2:$C$70=$C922),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Log'!$E$2:$V$70,
    MATCH(1,
      ('Putt Log'!$A$2:$A$70=$A922)*
      ('Putt Log'!$B$2:$B$70=$B922)*
      ('Putt Log'!$C$2:$C$70=$C922),
    0),
    MATCH($G922,'Putt Log'!$E$1:$V$1,0)
  ),
"")</f>
        <v>2</v>
      </c>
      <c r="P922" t="str" cm="1">
        <f t="array" ref="P922">IF(K922=3,"",
  IFERROR(
    INDEX('Fairway Log'!$E$2:$V$70,
      MATCH(1,
        ('Fairway Log'!$A$2:$A$70=$A922)*
        ('Fairway Log'!$B$2:$B$70=$B922)*
        ('Fairway Log'!$C$2:$C993=$C922),
      0),
      MATCH($G922,'Fairway Log'!$E$1:$V$1,0)
    ),
  "")
)</f>
        <v/>
      </c>
      <c r="Q922" t="str" cm="1">
        <f t="array" ref="Q922">IFERROR(
  INDEX('GIR Log'!$E$2:$V$70,
    MATCH(1,
      ('GIR Log'!$A$2:$A$70=$A922)*
      ('GIR Log'!$B$2:$B$70=$B922)*
      ('GIR Log'!$C$2:$C$70=$C922),
    0),
    MATCH($G922,'GIR Log'!$E$1:$V$1,0)
  ),
"")</f>
        <v>→</v>
      </c>
    </row>
    <row r="923" spans="1:17" x14ac:dyDescent="0.25">
      <c r="A923" s="51" t="s">
        <v>130</v>
      </c>
      <c r="B923" s="2">
        <v>45886</v>
      </c>
      <c r="C923" t="s">
        <v>41</v>
      </c>
      <c r="D923" s="51" t="s">
        <v>79</v>
      </c>
      <c r="E923" s="51" t="s">
        <v>34</v>
      </c>
      <c r="F923">
        <v>89</v>
      </c>
      <c r="G923" t="s">
        <v>50</v>
      </c>
      <c r="H923" s="9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Log'!$E$2:$V$70,
    MATCH(1,
      ('Golf Log'!$A$2:$A$70=$A923)*
      ('Golf Log'!$B$2:$B$70=$B923)*
      ('Golf Log'!$C$2:$C$70=$C923),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Log'!$E$2:$V$70,
    MATCH(1,
      ('Putt Log'!$A$2:$A$70=$A923)*
      ('Putt Log'!$B$2:$B$70=$B923)*
      ('Putt Log'!$C$2:$C$70=$C923),
    0),
    MATCH($G923,'Putt Log'!$E$1:$V$1,0)
  ),
"")</f>
        <v>3</v>
      </c>
      <c r="P923" cm="1">
        <f t="array" ref="P923">IF(K923=3,"",
  IFERROR(
    INDEX('Fairway Log'!$E$2:$V$70,
      MATCH(1,
        ('Fairway Log'!$A$2:$A$70=$A923)*
        ('Fairway Log'!$B$2:$B$70=$B923)*
        ('Fairway Log'!$C$2:$C994=$C923),
      0),
      MATCH($G923,'Fairway Log'!$E$1:$V$1,0)
    ),
  "")
)</f>
        <v>1</v>
      </c>
      <c r="Q923" cm="1">
        <f t="array" ref="Q923">IFERROR(
  INDEX('GIR Log'!$E$2:$V$70,
    MATCH(1,
      ('GIR Log'!$A$2:$A$70=$A923)*
      ('GIR Log'!$B$2:$B$70=$B923)*
      ('GIR Log'!$C$2:$C$70=$C923),
    0),
    MATCH($G923,'GIR Log'!$E$1:$V$1,0)
  ),
"")</f>
        <v>1</v>
      </c>
    </row>
    <row r="924" spans="1:17" x14ac:dyDescent="0.25">
      <c r="A924" s="51" t="s">
        <v>130</v>
      </c>
      <c r="B924" s="2">
        <v>45886</v>
      </c>
      <c r="C924" t="s">
        <v>41</v>
      </c>
      <c r="D924" s="51" t="s">
        <v>79</v>
      </c>
      <c r="E924" s="51" t="s">
        <v>34</v>
      </c>
      <c r="F924">
        <v>89</v>
      </c>
      <c r="G924" t="s">
        <v>51</v>
      </c>
      <c r="H924" s="9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Log'!$E$2:$V$70,
    MATCH(1,
      ('Golf Log'!$A$2:$A$70=$A924)*
      ('Golf Log'!$B$2:$B$70=$B924)*
      ('Golf Log'!$C$2:$C$70=$C924),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Log'!$E$2:$V$70,
    MATCH(1,
      ('Putt Log'!$A$2:$A$70=$A924)*
      ('Putt Log'!$B$2:$B$70=$B924)*
      ('Putt Log'!$C$2:$C$70=$C924),
    0),
    MATCH($G924,'Putt Log'!$E$1:$V$1,0)
  ),
"")</f>
        <v>2</v>
      </c>
      <c r="P924" t="str" cm="1">
        <f t="array" ref="P924">IF(K924=3,"",
  IFERROR(
    INDEX('Fairway Log'!$E$2:$V$70,
      MATCH(1,
        ('Fairway Log'!$A$2:$A$70=$A924)*
        ('Fairway Log'!$B$2:$B$70=$B924)*
        ('Fairway Log'!$C$2:$C995=$C924),
      0),
      MATCH($G924,'Fairway Log'!$E$1:$V$1,0)
    ),
  "")
)</f>
        <v>↓</v>
      </c>
      <c r="Q924" t="str" cm="1">
        <f t="array" ref="Q924">IFERROR(
  INDEX('GIR Log'!$E$2:$V$70,
    MATCH(1,
      ('GIR Log'!$A$2:$A$70=$A924)*
      ('GIR Log'!$B$2:$B$70=$B924)*
      ('GIR Log'!$C$2:$C$70=$C924),
    0),
    MATCH($G924,'GIR Log'!$E$1:$V$1,0)
  ),
"")</f>
        <v>↓</v>
      </c>
    </row>
    <row r="925" spans="1:17" x14ac:dyDescent="0.25">
      <c r="A925" s="51" t="s">
        <v>130</v>
      </c>
      <c r="B925" s="2">
        <v>45886</v>
      </c>
      <c r="C925" t="s">
        <v>41</v>
      </c>
      <c r="D925" s="51" t="s">
        <v>79</v>
      </c>
      <c r="E925" s="51" t="s">
        <v>34</v>
      </c>
      <c r="F925">
        <v>89</v>
      </c>
      <c r="G925" t="s">
        <v>52</v>
      </c>
      <c r="H925" s="9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Log'!$E$2:$V$70,
    MATCH(1,
      ('Golf Log'!$A$2:$A$70=$A925)*
      ('Golf Log'!$B$2:$B$70=$B925)*
      ('Golf Log'!$C$2:$C$70=$C925),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Log'!$E$2:$V$70,
    MATCH(1,
      ('Putt Log'!$A$2:$A$70=$A925)*
      ('Putt Log'!$B$2:$B$70=$B925)*
      ('Putt Log'!$C$2:$C$70=$C925),
    0),
    MATCH($G925,'Putt Log'!$E$1:$V$1,0)
  ),
"")</f>
        <v>2</v>
      </c>
      <c r="P925" t="str" cm="1">
        <f t="array" ref="P925">IF(K925=3,"",
  IFERROR(
    INDEX('Fairway Log'!$E$2:$V$70,
      MATCH(1,
        ('Fairway Log'!$A$2:$A$70=$A925)*
        ('Fairway Log'!$B$2:$B$70=$B925)*
        ('Fairway Log'!$C$2:$C996=$C925),
      0),
      MATCH($G925,'Fairway Log'!$E$1:$V$1,0)
    ),
  "")
)</f>
        <v/>
      </c>
      <c r="Q925" cm="1">
        <f t="array" ref="Q925">IFERROR(
  INDEX('GIR Log'!$E$2:$V$70,
    MATCH(1,
      ('GIR Log'!$A$2:$A$70=$A925)*
      ('GIR Log'!$B$2:$B$70=$B925)*
      ('GIR Log'!$C$2:$C$70=$C925),
    0),
    MATCH($G925,'GIR Log'!$E$1:$V$1,0)
  ),
"")</f>
        <v>1</v>
      </c>
    </row>
    <row r="926" spans="1:17" x14ac:dyDescent="0.25">
      <c r="A926" s="51" t="s">
        <v>130</v>
      </c>
      <c r="B926" s="2">
        <v>45886</v>
      </c>
      <c r="C926" t="s">
        <v>41</v>
      </c>
      <c r="D926" s="51" t="s">
        <v>79</v>
      </c>
      <c r="E926" s="51" t="s">
        <v>34</v>
      </c>
      <c r="F926">
        <v>89</v>
      </c>
      <c r="G926" t="s">
        <v>53</v>
      </c>
      <c r="H926" s="9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Log'!$E$2:$V$70,
    MATCH(1,
      ('Golf Log'!$A$2:$A$70=$A926)*
      ('Golf Log'!$B$2:$B$70=$B926)*
      ('Golf Log'!$C$2:$C$70=$C926),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Log'!$E$2:$V$70,
    MATCH(1,
      ('Putt Log'!$A$2:$A$70=$A926)*
      ('Putt Log'!$B$2:$B$70=$B926)*
      ('Putt Log'!$C$2:$C$70=$C926),
    0),
    MATCH($G926,'Putt Log'!$E$1:$V$1,0)
  ),
"")</f>
        <v>2</v>
      </c>
      <c r="P926" cm="1">
        <f t="array" ref="P926">IF(K926=3,"",
  IFERROR(
    INDEX('Fairway Log'!$E$2:$V$70,
      MATCH(1,
        ('Fairway Log'!$A$2:$A$70=$A926)*
        ('Fairway Log'!$B$2:$B$70=$B926)*
        ('Fairway Log'!$C$2:$C997=$C926),
      0),
      MATCH($G926,'Fairway Log'!$E$1:$V$1,0)
    ),
  "")
)</f>
        <v>1</v>
      </c>
      <c r="Q926" cm="1">
        <f t="array" ref="Q926">IFERROR(
  INDEX('GIR Log'!$E$2:$V$70,
    MATCH(1,
      ('GIR Log'!$A$2:$A$70=$A926)*
      ('GIR Log'!$B$2:$B$70=$B926)*
      ('GIR Log'!$C$2:$C$70=$C926),
    0),
    MATCH($G926,'GIR Log'!$E$1:$V$1,0)
  ),
"")</f>
        <v>1</v>
      </c>
    </row>
    <row r="927" spans="1:17" x14ac:dyDescent="0.25">
      <c r="A927" s="51" t="s">
        <v>130</v>
      </c>
      <c r="B927" s="2">
        <v>45886</v>
      </c>
      <c r="C927" t="s">
        <v>41</v>
      </c>
      <c r="D927" s="51" t="s">
        <v>79</v>
      </c>
      <c r="E927" s="51" t="s">
        <v>34</v>
      </c>
      <c r="F927">
        <v>89</v>
      </c>
      <c r="G927" t="s">
        <v>54</v>
      </c>
      <c r="H927" s="9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Log'!$E$2:$V$70,
    MATCH(1,
      ('Golf Log'!$A$2:$A$70=$A927)*
      ('Golf Log'!$B$2:$B$70=$B927)*
      ('Golf Log'!$C$2:$C$70=$C927),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Log'!$E$2:$V$70,
    MATCH(1,
      ('Putt Log'!$A$2:$A$70=$A927)*
      ('Putt Log'!$B$2:$B$70=$B927)*
      ('Putt Log'!$C$2:$C$70=$C927),
    0),
    MATCH($G927,'Putt Log'!$E$1:$V$1,0)
  ),
"")</f>
        <v>2</v>
      </c>
      <c r="P927" cm="1">
        <f t="array" ref="P927">IF(K927=3,"",
  IFERROR(
    INDEX('Fairway Log'!$E$2:$V$70,
      MATCH(1,
        ('Fairway Log'!$A$2:$A$70=$A927)*
        ('Fairway Log'!$B$2:$B$70=$B927)*
        ('Fairway Log'!$C$2:$C998=$C927),
      0),
      MATCH($G927,'Fairway Log'!$E$1:$V$1,0)
    ),
  "")
)</f>
        <v>1</v>
      </c>
      <c r="Q927" cm="1">
        <f t="array" ref="Q927">IFERROR(
  INDEX('GIR Log'!$E$2:$V$70,
    MATCH(1,
      ('GIR Log'!$A$2:$A$70=$A927)*
      ('GIR Log'!$B$2:$B$70=$B927)*
      ('GIR Log'!$C$2:$C$70=$C927),
    0),
    MATCH($G927,'GIR Log'!$E$1:$V$1,0)
  ),
"")</f>
        <v>1</v>
      </c>
    </row>
    <row r="928" spans="1:17" x14ac:dyDescent="0.25">
      <c r="A928" s="51" t="s">
        <v>130</v>
      </c>
      <c r="B928" s="2">
        <v>45886</v>
      </c>
      <c r="C928" t="s">
        <v>41</v>
      </c>
      <c r="D928" s="51" t="s">
        <v>79</v>
      </c>
      <c r="E928" s="51" t="s">
        <v>34</v>
      </c>
      <c r="F928">
        <v>89</v>
      </c>
      <c r="G928" t="s">
        <v>55</v>
      </c>
      <c r="H928" s="9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Log'!$E$2:$V$70,
    MATCH(1,
      ('Golf Log'!$A$2:$A$70=$A928)*
      ('Golf Log'!$B$2:$B$70=$B928)*
      ('Golf Log'!$C$2:$C$70=$C928),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Log'!$E$2:$V$70,
    MATCH(1,
      ('Putt Log'!$A$2:$A$70=$A928)*
      ('Putt Log'!$B$2:$B$70=$B928)*
      ('Putt Log'!$C$2:$C$70=$C928),
    0),
    MATCH($G928,'Putt Log'!$E$1:$V$1,0)
  ),
"")</f>
        <v>2</v>
      </c>
      <c r="P928" t="str" cm="1">
        <f t="array" ref="P928">IF(K928=3,"",
  IFERROR(
    INDEX('Fairway Log'!$E$2:$V$70,
      MATCH(1,
        ('Fairway Log'!$A$2:$A$70=$A928)*
        ('Fairway Log'!$B$2:$B$70=$B928)*
        ('Fairway Log'!$C$2:$C999=$C928),
      0),
      MATCH($G928,'Fairway Log'!$E$1:$V$1,0)
    ),
  "")
)</f>
        <v>←</v>
      </c>
      <c r="Q928" t="str" cm="1">
        <f t="array" ref="Q928">IFERROR(
  INDEX('GIR Log'!$E$2:$V$70,
    MATCH(1,
      ('GIR Log'!$A$2:$A$70=$A928)*
      ('GIR Log'!$B$2:$B$70=$B928)*
      ('GIR Log'!$C$2:$C$70=$C928),
    0),
    MATCH($G928,'GIR Log'!$E$1:$V$1,0)
  ),
"")</f>
        <v>↓</v>
      </c>
    </row>
    <row r="929" spans="1:17" x14ac:dyDescent="0.25">
      <c r="A929" s="51" t="s">
        <v>130</v>
      </c>
      <c r="B929" s="2">
        <v>45886</v>
      </c>
      <c r="C929" t="s">
        <v>41</v>
      </c>
      <c r="D929" s="51" t="s">
        <v>79</v>
      </c>
      <c r="E929" s="51" t="s">
        <v>34</v>
      </c>
      <c r="F929">
        <v>89</v>
      </c>
      <c r="G929" t="s">
        <v>56</v>
      </c>
      <c r="H929" s="9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Log'!$E$2:$V$70,
    MATCH(1,
      ('Golf Log'!$A$2:$A$70=$A929)*
      ('Golf Log'!$B$2:$B$70=$B929)*
      ('Golf Log'!$C$2:$C$70=$C929),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Log'!$E$2:$V$70,
    MATCH(1,
      ('Putt Log'!$A$2:$A$70=$A929)*
      ('Putt Log'!$B$2:$B$70=$B929)*
      ('Putt Log'!$C$2:$C$70=$C929),
    0),
    MATCH($G929,'Putt Log'!$E$1:$V$1,0)
  ),
"")</f>
        <v>2</v>
      </c>
      <c r="P929" cm="1">
        <f t="array" ref="P929">IF(K929=3,"",
  IFERROR(
    INDEX('Fairway Log'!$E$2:$V$70,
      MATCH(1,
        ('Fairway Log'!$A$2:$A$70=$A929)*
        ('Fairway Log'!$B$2:$B$70=$B929)*
        ('Fairway Log'!$C$2:$C1000=$C929),
      0),
      MATCH($G929,'Fairway Log'!$E$1:$V$1,0)
    ),
  "")
)</f>
        <v>1</v>
      </c>
      <c r="Q929" cm="1">
        <f t="array" ref="Q929">IFERROR(
  INDEX('GIR Log'!$E$2:$V$70,
    MATCH(1,
      ('GIR Log'!$A$2:$A$70=$A929)*
      ('GIR Log'!$B$2:$B$70=$B929)*
      ('GIR Log'!$C$2:$C$70=$C929),
    0),
    MATCH($G929,'GIR Log'!$E$1:$V$1,0)
  ),
"")</f>
        <v>1</v>
      </c>
    </row>
    <row r="930" spans="1:17" x14ac:dyDescent="0.25">
      <c r="A930" s="51" t="s">
        <v>130</v>
      </c>
      <c r="B930" s="2">
        <v>45886</v>
      </c>
      <c r="C930" t="s">
        <v>41</v>
      </c>
      <c r="D930" s="51" t="s">
        <v>79</v>
      </c>
      <c r="E930" s="51" t="s">
        <v>34</v>
      </c>
      <c r="F930">
        <v>89</v>
      </c>
      <c r="G930" t="s">
        <v>57</v>
      </c>
      <c r="H930" s="9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Log'!$E$2:$V$70,
    MATCH(1,
      ('Golf Log'!$A$2:$A$70=$A930)*
      ('Golf Log'!$B$2:$B$70=$B930)*
      ('Golf Log'!$C$2:$C$70=$C930),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Log'!$E$2:$V$70,
    MATCH(1,
      ('Putt Log'!$A$2:$A$70=$A930)*
      ('Putt Log'!$B$2:$B$70=$B930)*
      ('Putt Log'!$C$2:$C$70=$C930),
    0),
    MATCH($G930,'Putt Log'!$E$1:$V$1,0)
  ),
"")</f>
        <v>2</v>
      </c>
      <c r="P930" cm="1">
        <f t="array" ref="P930">IF(K930=3,"",
  IFERROR(
    INDEX('Fairway Log'!$E$2:$V$70,
      MATCH(1,
        ('Fairway Log'!$A$2:$A$70=$A930)*
        ('Fairway Log'!$B$2:$B$70=$B930)*
        ('Fairway Log'!$C$2:$C1001=$C930),
      0),
      MATCH($G930,'Fairway Log'!$E$1:$V$1,0)
    ),
  "")
)</f>
        <v>1</v>
      </c>
      <c r="Q930" cm="1">
        <f t="array" ref="Q930">IFERROR(
  INDEX('GIR Log'!$E$2:$V$70,
    MATCH(1,
      ('GIR Log'!$A$2:$A$70=$A930)*
      ('GIR Log'!$B$2:$B$70=$B930)*
      ('GIR Log'!$C$2:$C$70=$C930),
    0),
    MATCH($G930,'GIR Log'!$E$1:$V$1,0)
  ),
"")</f>
        <v>1</v>
      </c>
    </row>
    <row r="931" spans="1:17" x14ac:dyDescent="0.25">
      <c r="A931" s="51" t="s">
        <v>130</v>
      </c>
      <c r="B931" s="2">
        <v>45886</v>
      </c>
      <c r="C931" t="s">
        <v>41</v>
      </c>
      <c r="D931" s="51" t="s">
        <v>79</v>
      </c>
      <c r="E931" s="51" t="s">
        <v>34</v>
      </c>
      <c r="F931">
        <v>89</v>
      </c>
      <c r="G931" t="s">
        <v>58</v>
      </c>
      <c r="H931" s="9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Log'!$E$2:$V$70,
    MATCH(1,
      ('Golf Log'!$A$2:$A$70=$A931)*
      ('Golf Log'!$B$2:$B$70=$B931)*
      ('Golf Log'!$C$2:$C$70=$C931),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Log'!$E$2:$V$70,
    MATCH(1,
      ('Putt Log'!$A$2:$A$70=$A931)*
      ('Putt Log'!$B$2:$B$70=$B931)*
      ('Putt Log'!$C$2:$C$70=$C931),
    0),
    MATCH($G931,'Putt Log'!$E$1:$V$1,0)
  ),
"")</f>
        <v>1</v>
      </c>
      <c r="P931" cm="1">
        <f t="array" ref="P931">IF(K931=3,"",
  IFERROR(
    INDEX('Fairway Log'!$E$2:$V$70,
      MATCH(1,
        ('Fairway Log'!$A$2:$A$70=$A931)*
        ('Fairway Log'!$B$2:$B$70=$B931)*
        ('Fairway Log'!$C$2:$C1002=$C931),
      0),
      MATCH($G931,'Fairway Log'!$E$1:$V$1,0)
    ),
  "")
)</f>
        <v>1</v>
      </c>
      <c r="Q931" t="str" cm="1">
        <f t="array" ref="Q931">IFERROR(
  INDEX('GIR Log'!$E$2:$V$70,
    MATCH(1,
      ('GIR Log'!$A$2:$A$70=$A931)*
      ('GIR Log'!$B$2:$B$70=$B931)*
      ('GIR Log'!$C$2:$C$70=$C931),
    0),
    MATCH($G931,'GIR Log'!$E$1:$V$1,0)
  ),
"")</f>
        <v>↑</v>
      </c>
    </row>
    <row r="932" spans="1:17" x14ac:dyDescent="0.25">
      <c r="A932" s="51" t="s">
        <v>130</v>
      </c>
      <c r="B932" s="2">
        <v>45886</v>
      </c>
      <c r="C932" t="s">
        <v>41</v>
      </c>
      <c r="D932" s="51" t="s">
        <v>79</v>
      </c>
      <c r="E932" s="51" t="s">
        <v>34</v>
      </c>
      <c r="F932">
        <v>89</v>
      </c>
      <c r="G932" t="s">
        <v>59</v>
      </c>
      <c r="H932" s="9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Log'!$E$2:$V$70,
    MATCH(1,
      ('Golf Log'!$A$2:$A$70=$A932)*
      ('Golf Log'!$B$2:$B$70=$B932)*
      ('Golf Log'!$C$2:$C$70=$C932),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Log'!$E$2:$V$70,
    MATCH(1,
      ('Putt Log'!$A$2:$A$70=$A932)*
      ('Putt Log'!$B$2:$B$70=$B932)*
      ('Putt Log'!$C$2:$C$70=$C932),
    0),
    MATCH($G932,'Putt Log'!$E$1:$V$1,0)
  ),
"")</f>
        <v>2</v>
      </c>
      <c r="P932" t="str" cm="1">
        <f t="array" ref="P932">IF(K932=3,"",
  IFERROR(
    INDEX('Fairway Log'!$E$2:$V$70,
      MATCH(1,
        ('Fairway Log'!$A$2:$A$70=$A932)*
        ('Fairway Log'!$B$2:$B$70=$B932)*
        ('Fairway Log'!$C$2:$C1003=$C932),
      0),
      MATCH($G932,'Fairway Log'!$E$1:$V$1,0)
    ),
  "")
)</f>
        <v/>
      </c>
      <c r="Q932" t="str" cm="1">
        <f t="array" ref="Q932">IFERROR(
  INDEX('GIR Log'!$E$2:$V$70,
    MATCH(1,
      ('GIR Log'!$A$2:$A$70=$A932)*
      ('GIR Log'!$B$2:$B$70=$B932)*
      ('GIR Log'!$C$2:$C$70=$C932),
    0),
    MATCH($G932,'GIR Log'!$E$1:$V$1,0)
  ),
"")</f>
        <v>↓</v>
      </c>
    </row>
    <row r="933" spans="1:17" x14ac:dyDescent="0.25">
      <c r="A933" s="51" t="s">
        <v>130</v>
      </c>
      <c r="B933" s="2">
        <v>45886</v>
      </c>
      <c r="C933" t="s">
        <v>41</v>
      </c>
      <c r="D933" s="51" t="s">
        <v>79</v>
      </c>
      <c r="E933" s="51" t="s">
        <v>34</v>
      </c>
      <c r="F933">
        <v>89</v>
      </c>
      <c r="G933" t="s">
        <v>60</v>
      </c>
      <c r="H933" s="9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Log'!$E$2:$V$70,
    MATCH(1,
      ('Golf Log'!$A$2:$A$70=$A933)*
      ('Golf Log'!$B$2:$B$70=$B933)*
      ('Golf Log'!$C$2:$C$70=$C933),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Log'!$E$2:$V$70,
    MATCH(1,
      ('Putt Log'!$A$2:$A$70=$A933)*
      ('Putt Log'!$B$2:$B$70=$B933)*
      ('Putt Log'!$C$2:$C$70=$C933),
    0),
    MATCH($G933,'Putt Log'!$E$1:$V$1,0)
  ),
"")</f>
        <v>2</v>
      </c>
      <c r="P933" cm="1">
        <f t="array" ref="P933">IF(K933=3,"",
  IFERROR(
    INDEX('Fairway Log'!$E$2:$V$70,
      MATCH(1,
        ('Fairway Log'!$A$2:$A$70=$A933)*
        ('Fairway Log'!$B$2:$B$70=$B933)*
        ('Fairway Log'!$C$2:$C1004=$C933),
      0),
      MATCH($G933,'Fairway Log'!$E$1:$V$1,0)
    ),
  "")
)</f>
        <v>1</v>
      </c>
      <c r="Q933" cm="1">
        <f t="array" ref="Q933">IFERROR(
  INDEX('GIR Log'!$E$2:$V$70,
    MATCH(1,
      ('GIR Log'!$A$2:$A$70=$A933)*
      ('GIR Log'!$B$2:$B$70=$B933)*
      ('GIR Log'!$C$2:$C$70=$C933),
    0),
    MATCH($G933,'GIR Log'!$E$1:$V$1,0)
  ),
"")</f>
        <v>1</v>
      </c>
    </row>
    <row r="934" spans="1:17" x14ac:dyDescent="0.25">
      <c r="A934" s="51" t="s">
        <v>130</v>
      </c>
      <c r="B934" s="2">
        <v>45886</v>
      </c>
      <c r="C934" t="s">
        <v>41</v>
      </c>
      <c r="D934" s="51" t="s">
        <v>79</v>
      </c>
      <c r="E934" s="51" t="s">
        <v>34</v>
      </c>
      <c r="F934">
        <v>89</v>
      </c>
      <c r="G934" t="s">
        <v>61</v>
      </c>
      <c r="H934" s="9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Log'!$E$2:$V$70,
    MATCH(1,
      ('Golf Log'!$A$2:$A$70=$A934)*
      ('Golf Log'!$B$2:$B$70=$B934)*
      ('Golf Log'!$C$2:$C$70=$C934),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Log'!$E$2:$V$70,
    MATCH(1,
      ('Putt Log'!$A$2:$A$70=$A934)*
      ('Putt Log'!$B$2:$B$70=$B934)*
      ('Putt Log'!$C$2:$C$70=$C934),
    0),
    MATCH($G934,'Putt Log'!$E$1:$V$1,0)
  ),
"")</f>
        <v>2</v>
      </c>
      <c r="P934" t="str" cm="1">
        <f t="array" ref="P934">IF(K934=3,"",
  IFERROR(
    INDEX('Fairway Log'!$E$2:$V$70,
      MATCH(1,
        ('Fairway Log'!$A$2:$A$70=$A934)*
        ('Fairway Log'!$B$2:$B$70=$B934)*
        ('Fairway Log'!$C$2:$C1005=$C934),
      0),
      MATCH($G934,'Fairway Log'!$E$1:$V$1,0)
    ),
  "")
)</f>
        <v>←</v>
      </c>
      <c r="Q934" t="str" cm="1">
        <f t="array" ref="Q934">IFERROR(
  INDEX('GIR Log'!$E$2:$V$70,
    MATCH(1,
      ('GIR Log'!$A$2:$A$70=$A934)*
      ('GIR Log'!$B$2:$B$70=$B934)*
      ('GIR Log'!$C$2:$C$70=$C934),
    0),
    MATCH($G934,'GIR Log'!$E$1:$V$1,0)
  ),
"")</f>
        <v>↓</v>
      </c>
    </row>
    <row r="935" spans="1:17" x14ac:dyDescent="0.25">
      <c r="A935" s="51" t="s">
        <v>130</v>
      </c>
      <c r="B935" s="2">
        <v>45886</v>
      </c>
      <c r="C935" t="s">
        <v>41</v>
      </c>
      <c r="D935" s="51" t="s">
        <v>79</v>
      </c>
      <c r="E935" s="51" t="s">
        <v>34</v>
      </c>
      <c r="F935">
        <v>89</v>
      </c>
      <c r="G935" t="s">
        <v>62</v>
      </c>
      <c r="H935" s="9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Log'!$E$2:$V$70,
    MATCH(1,
      ('Golf Log'!$A$2:$A$70=$A935)*
      ('Golf Log'!$B$2:$B$70=$B935)*
      ('Golf Log'!$C$2:$C$70=$C935),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Log'!$E$2:$V$70,
    MATCH(1,
      ('Putt Log'!$A$2:$A$70=$A935)*
      ('Putt Log'!$B$2:$B$70=$B935)*
      ('Putt Log'!$C$2:$C$70=$C935),
    0),
    MATCH($G935,'Putt Log'!$E$1:$V$1,0)
  ),
"")</f>
        <v>2</v>
      </c>
      <c r="P935" t="str" cm="1">
        <f t="array" ref="P935">IF(K935=3,"",
  IFERROR(
    INDEX('Fairway Log'!$E$2:$V$70,
      MATCH(1,
        ('Fairway Log'!$A$2:$A$70=$A935)*
        ('Fairway Log'!$B$2:$B$70=$B935)*
        ('Fairway Log'!$C$2:$C1006=$C935),
      0),
      MATCH($G935,'Fairway Log'!$E$1:$V$1,0)
    ),
  "")
)</f>
        <v/>
      </c>
      <c r="Q935" cm="1">
        <f t="array" ref="Q935">IFERROR(
  INDEX('GIR Log'!$E$2:$V$70,
    MATCH(1,
      ('GIR Log'!$A$2:$A$70=$A935)*
      ('GIR Log'!$B$2:$B$70=$B935)*
      ('GIR Log'!$C$2:$C$70=$C935),
    0),
    MATCH($G935,'GIR Log'!$E$1:$V$1,0)
  ),
"")</f>
        <v>1</v>
      </c>
    </row>
    <row r="936" spans="1:17" x14ac:dyDescent="0.25">
      <c r="A936" s="51" t="s">
        <v>130</v>
      </c>
      <c r="B936" s="2">
        <v>45886</v>
      </c>
      <c r="C936" t="s">
        <v>41</v>
      </c>
      <c r="D936" s="51" t="s">
        <v>79</v>
      </c>
      <c r="E936" s="51" t="s">
        <v>34</v>
      </c>
      <c r="F936">
        <v>89</v>
      </c>
      <c r="G936" t="s">
        <v>63</v>
      </c>
      <c r="H936" s="9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Log'!$E$2:$V$70,
    MATCH(1,
      ('Golf Log'!$A$2:$A$70=$A936)*
      ('Golf Log'!$B$2:$B$70=$B936)*
      ('Golf Log'!$C$2:$C$70=$C936),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Log'!$E$2:$V$70,
    MATCH(1,
      ('Putt Log'!$A$2:$A$70=$A936)*
      ('Putt Log'!$B$2:$B$70=$B936)*
      ('Putt Log'!$C$2:$C$70=$C936),
    0),
    MATCH($G936,'Putt Log'!$E$1:$V$1,0)
  ),
"")</f>
        <v>3</v>
      </c>
      <c r="P936" t="str" cm="1">
        <f t="array" ref="P936">IF(K936=3,"",
  IFERROR(
    INDEX('Fairway Log'!$E$2:$V$70,
      MATCH(1,
        ('Fairway Log'!$A$2:$A$70=$A936)*
        ('Fairway Log'!$B$2:$B$70=$B936)*
        ('Fairway Log'!$C$2:$C1007=$C936),
      0),
      MATCH($G936,'Fairway Log'!$E$1:$V$1,0)
    ),
  "")
)</f>
        <v>→</v>
      </c>
      <c r="Q936" t="str" cm="1">
        <f t="array" ref="Q936">IFERROR(
  INDEX('GIR Log'!$E$2:$V$70,
    MATCH(1,
      ('GIR Log'!$A$2:$A$70=$A936)*
      ('GIR Log'!$B$2:$B$70=$B936)*
      ('GIR Log'!$C$2:$C$70=$C936),
    0),
    MATCH($G936,'GIR Log'!$E$1:$V$1,0)
  ),
"")</f>
        <v>↓</v>
      </c>
    </row>
    <row r="937" spans="1:17" x14ac:dyDescent="0.25">
      <c r="A937" s="51" t="s">
        <v>130</v>
      </c>
      <c r="B937" s="2">
        <v>45886</v>
      </c>
      <c r="C937" t="s">
        <v>41</v>
      </c>
      <c r="D937" s="51" t="s">
        <v>79</v>
      </c>
      <c r="E937" s="51" t="s">
        <v>34</v>
      </c>
      <c r="F937">
        <v>89</v>
      </c>
      <c r="G937" t="s">
        <v>64</v>
      </c>
      <c r="H937" s="9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Log'!$E$2:$V$70,
    MATCH(1,
      ('Golf Log'!$A$2:$A$70=$A937)*
      ('Golf Log'!$B$2:$B$70=$B937)*
      ('Golf Log'!$C$2:$C$70=$C937),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Log'!$E$2:$V$70,
    MATCH(1,
      ('Putt Log'!$A$2:$A$70=$A937)*
      ('Putt Log'!$B$2:$B$70=$B937)*
      ('Putt Log'!$C$2:$C$70=$C937),
    0),
    MATCH($G937,'Putt Log'!$E$1:$V$1,0)
  ),
"")</f>
        <v>2</v>
      </c>
      <c r="P937" cm="1">
        <f t="array" ref="P937">IF(K937=3,"",
  IFERROR(
    INDEX('Fairway Log'!$E$2:$V$70,
      MATCH(1,
        ('Fairway Log'!$A$2:$A$70=$A937)*
        ('Fairway Log'!$B$2:$B$70=$B937)*
        ('Fairway Log'!$C$2:$C1008=$C937),
      0),
      MATCH($G937,'Fairway Log'!$E$1:$V$1,0)
    ),
  "")
)</f>
        <v>1</v>
      </c>
      <c r="Q937" t="str" cm="1">
        <f t="array" ref="Q937">IFERROR(
  INDEX('GIR Log'!$E$2:$V$70,
    MATCH(1,
      ('GIR Log'!$A$2:$A$70=$A937)*
      ('GIR Log'!$B$2:$B$70=$B937)*
      ('GIR Log'!$C$2:$C$70=$C937),
    0),
    MATCH($G937,'GIR Log'!$E$1:$V$1,0)
  ),
"")</f>
        <v>↓</v>
      </c>
    </row>
    <row r="938" spans="1:17" x14ac:dyDescent="0.25">
      <c r="A938" s="51" t="s">
        <v>130</v>
      </c>
      <c r="B938" s="2">
        <v>45897</v>
      </c>
      <c r="C938" t="s">
        <v>41</v>
      </c>
      <c r="D938" s="51" t="s">
        <v>79</v>
      </c>
      <c r="E938" s="51" t="s">
        <v>34</v>
      </c>
      <c r="F938">
        <v>90</v>
      </c>
      <c r="G938" s="12" t="s">
        <v>47</v>
      </c>
      <c r="H938" s="9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Log'!$E$2:$V$70,
    MATCH(1,
      ('Golf Log'!$A$2:$A$70=$A938)*
      ('Golf Log'!$B$2:$B$70=$B938)*
      ('Golf Log'!$C$2:$C$70=$C938),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Log'!$E$2:$V$70,
    MATCH(1,
      ('Putt Log'!$A$2:$A$70=$A938)*
      ('Putt Log'!$B$2:$B$70=$B938)*
      ('Putt Log'!$C$2:$C$70=$C938),
    0),
    MATCH($G938,'Putt Log'!$E$1:$V$1,0)
  ),
"")</f>
        <v>2</v>
      </c>
      <c r="P938" t="str" cm="1">
        <f t="array" ref="P938">IF(K938=3,"",
  IFERROR(
    INDEX('Fairway Log'!$E$2:$V$70,
      MATCH(1,
        ('Fairway Log'!$A$2:$A$70=$A938)*
        ('Fairway Log'!$B$2:$B$70=$B938)*
        ('Fairway Log'!$C$2:$C1009=$C938),
      0),
      MATCH($G938,'Fairway Log'!$E$1:$V$1,0)
    ),
  "")
)</f>
        <v>←</v>
      </c>
      <c r="Q938" t="str" cm="1">
        <f t="array" ref="Q938">IFERROR(
  INDEX('GIR Log'!$E$2:$V$70,
    MATCH(1,
      ('GIR Log'!$A$2:$A$70=$A938)*
      ('GIR Log'!$B$2:$B$70=$B938)*
      ('GIR Log'!$C$2:$C$70=$C938),
    0),
    MATCH($G938,'GIR Log'!$E$1:$V$1,0)
  ),
"")</f>
        <v>←</v>
      </c>
    </row>
    <row r="939" spans="1:17" x14ac:dyDescent="0.25">
      <c r="A939" s="51" t="s">
        <v>130</v>
      </c>
      <c r="B939" s="2">
        <v>45897</v>
      </c>
      <c r="C939" t="s">
        <v>41</v>
      </c>
      <c r="D939" s="51" t="s">
        <v>79</v>
      </c>
      <c r="E939" s="51" t="s">
        <v>34</v>
      </c>
      <c r="F939">
        <v>90</v>
      </c>
      <c r="G939" s="12" t="s">
        <v>48</v>
      </c>
      <c r="H939" s="9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Log'!$E$2:$V$70,
    MATCH(1,
      ('Golf Log'!$A$2:$A$70=$A939)*
      ('Golf Log'!$B$2:$B$70=$B939)*
      ('Golf Log'!$C$2:$C$70=$C939),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Log'!$E$2:$V$70,
    MATCH(1,
      ('Putt Log'!$A$2:$A$70=$A939)*
      ('Putt Log'!$B$2:$B$70=$B939)*
      ('Putt Log'!$C$2:$C$70=$C939),
    0),
    MATCH($G939,'Putt Log'!$E$1:$V$1,0)
  ),
"")</f>
        <v>1</v>
      </c>
      <c r="P939" t="str" cm="1">
        <f t="array" ref="P939">IF(K939=3,"",
  IFERROR(
    INDEX('Fairway Log'!$E$2:$V$70,
      MATCH(1,
        ('Fairway Log'!$A$2:$A$70=$A939)*
        ('Fairway Log'!$B$2:$B$70=$B939)*
        ('Fairway Log'!$C$2:$C1010=$C939),
      0),
      MATCH($G939,'Fairway Log'!$E$1:$V$1,0)
    ),
  "")
)</f>
        <v>←</v>
      </c>
      <c r="Q939" t="str" cm="1">
        <f t="array" ref="Q939">IFERROR(
  INDEX('GIR Log'!$E$2:$V$70,
    MATCH(1,
      ('GIR Log'!$A$2:$A$70=$A939)*
      ('GIR Log'!$B$2:$B$70=$B939)*
      ('GIR Log'!$C$2:$C$70=$C939),
    0),
    MATCH($G939,'GIR Log'!$E$1:$V$1,0)
  ),
"")</f>
        <v>↓</v>
      </c>
    </row>
    <row r="940" spans="1:17" x14ac:dyDescent="0.25">
      <c r="A940" s="51" t="s">
        <v>130</v>
      </c>
      <c r="B940" s="2">
        <v>45897</v>
      </c>
      <c r="C940" t="s">
        <v>41</v>
      </c>
      <c r="D940" s="51" t="s">
        <v>79</v>
      </c>
      <c r="E940" s="51" t="s">
        <v>34</v>
      </c>
      <c r="F940">
        <v>90</v>
      </c>
      <c r="G940" s="12" t="s">
        <v>49</v>
      </c>
      <c r="H940" s="9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Log'!$E$2:$V$70,
    MATCH(1,
      ('Golf Log'!$A$2:$A$70=$A940)*
      ('Golf Log'!$B$2:$B$70=$B940)*
      ('Golf Log'!$C$2:$C$70=$C940),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Log'!$E$2:$V$70,
    MATCH(1,
      ('Putt Log'!$A$2:$A$70=$A940)*
      ('Putt Log'!$B$2:$B$70=$B940)*
      ('Putt Log'!$C$2:$C$70=$C940),
    0),
    MATCH($G940,'Putt Log'!$E$1:$V$1,0)
  ),
"")</f>
        <v>2</v>
      </c>
      <c r="P940" t="str" cm="1">
        <f t="array" ref="P940">IF(K940=3,"",
  IFERROR(
    INDEX('Fairway Log'!$E$2:$V$70,
      MATCH(1,
        ('Fairway Log'!$A$2:$A$70=$A940)*
        ('Fairway Log'!$B$2:$B$70=$B940)*
        ('Fairway Log'!$C$2:$C1011=$C940),
      0),
      MATCH($G940,'Fairway Log'!$E$1:$V$1,0)
    ),
  "")
)</f>
        <v/>
      </c>
      <c r="Q940" t="str" cm="1">
        <f t="array" ref="Q940">IFERROR(
  INDEX('GIR Log'!$E$2:$V$70,
    MATCH(1,
      ('GIR Log'!$A$2:$A$70=$A940)*
      ('GIR Log'!$B$2:$B$70=$B940)*
      ('GIR Log'!$C$2:$C$70=$C940),
    0),
    MATCH($G940,'GIR Log'!$E$1:$V$1,0)
  ),
"")</f>
        <v>←</v>
      </c>
    </row>
    <row r="941" spans="1:17" x14ac:dyDescent="0.25">
      <c r="A941" s="51" t="s">
        <v>130</v>
      </c>
      <c r="B941" s="2">
        <v>45897</v>
      </c>
      <c r="C941" t="s">
        <v>41</v>
      </c>
      <c r="D941" s="51" t="s">
        <v>79</v>
      </c>
      <c r="E941" s="51" t="s">
        <v>34</v>
      </c>
      <c r="F941">
        <v>90</v>
      </c>
      <c r="G941" s="12" t="s">
        <v>50</v>
      </c>
      <c r="H941" s="9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Log'!$E$2:$V$70,
    MATCH(1,
      ('Golf Log'!$A$2:$A$70=$A941)*
      ('Golf Log'!$B$2:$B$70=$B941)*
      ('Golf Log'!$C$2:$C$70=$C941),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Log'!$E$2:$V$70,
    MATCH(1,
      ('Putt Log'!$A$2:$A$70=$A941)*
      ('Putt Log'!$B$2:$B$70=$B941)*
      ('Putt Log'!$C$2:$C$70=$C941),
    0),
    MATCH($G941,'Putt Log'!$E$1:$V$1,0)
  ),
"")</f>
        <v>2</v>
      </c>
      <c r="P941" cm="1">
        <f t="array" ref="P941">IF(K941=3,"",
  IFERROR(
    INDEX('Fairway Log'!$E$2:$V$70,
      MATCH(1,
        ('Fairway Log'!$A$2:$A$70=$A941)*
        ('Fairway Log'!$B$2:$B$70=$B941)*
        ('Fairway Log'!$C$2:$C1012=$C941),
      0),
      MATCH($G941,'Fairway Log'!$E$1:$V$1,0)
    ),
  "")
)</f>
        <v>1</v>
      </c>
      <c r="Q941" t="str" cm="1">
        <f t="array" ref="Q941">IFERROR(
  INDEX('GIR Log'!$E$2:$V$70,
    MATCH(1,
      ('GIR Log'!$A$2:$A$70=$A941)*
      ('GIR Log'!$B$2:$B$70=$B941)*
      ('GIR Log'!$C$2:$C$70=$C941),
    0),
    MATCH($G941,'GIR Log'!$E$1:$V$1,0)
  ),
"")</f>
        <v>↓</v>
      </c>
    </row>
    <row r="942" spans="1:17" x14ac:dyDescent="0.25">
      <c r="A942" s="51" t="s">
        <v>130</v>
      </c>
      <c r="B942" s="2">
        <v>45897</v>
      </c>
      <c r="C942" t="s">
        <v>41</v>
      </c>
      <c r="D942" s="51" t="s">
        <v>79</v>
      </c>
      <c r="E942" s="51" t="s">
        <v>34</v>
      </c>
      <c r="F942">
        <v>90</v>
      </c>
      <c r="G942" s="12" t="s">
        <v>51</v>
      </c>
      <c r="H942" s="9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Log'!$E$2:$V$70,
    MATCH(1,
      ('Golf Log'!$A$2:$A$70=$A942)*
      ('Golf Log'!$B$2:$B$70=$B942)*
      ('Golf Log'!$C$2:$C$70=$C942),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Log'!$E$2:$V$70,
    MATCH(1,
      ('Putt Log'!$A$2:$A$70=$A942)*
      ('Putt Log'!$B$2:$B$70=$B942)*
      ('Putt Log'!$C$2:$C$70=$C942),
    0),
    MATCH($G942,'Putt Log'!$E$1:$V$1,0)
  ),
"")</f>
        <v>2</v>
      </c>
      <c r="P942" t="str" cm="1">
        <f t="array" ref="P942">IF(K942=3,"",
  IFERROR(
    INDEX('Fairway Log'!$E$2:$V$70,
      MATCH(1,
        ('Fairway Log'!$A$2:$A$70=$A942)*
        ('Fairway Log'!$B$2:$B$70=$B942)*
        ('Fairway Log'!$C$2:$C1013=$C942),
      0),
      MATCH($G942,'Fairway Log'!$E$1:$V$1,0)
    ),
  "")
)</f>
        <v>←</v>
      </c>
      <c r="Q942" t="str" cm="1">
        <f t="array" ref="Q942">IFERROR(
  INDEX('GIR Log'!$E$2:$V$70,
    MATCH(1,
      ('GIR Log'!$A$2:$A$70=$A942)*
      ('GIR Log'!$B$2:$B$70=$B942)*
      ('GIR Log'!$C$2:$C$70=$C942),
    0),
    MATCH($G942,'GIR Log'!$E$1:$V$1,0)
  ),
"")</f>
        <v>←</v>
      </c>
    </row>
    <row r="943" spans="1:17" x14ac:dyDescent="0.25">
      <c r="A943" s="51" t="s">
        <v>130</v>
      </c>
      <c r="B943" s="2">
        <v>45897</v>
      </c>
      <c r="C943" t="s">
        <v>41</v>
      </c>
      <c r="D943" s="51" t="s">
        <v>79</v>
      </c>
      <c r="E943" s="51" t="s">
        <v>34</v>
      </c>
      <c r="F943">
        <v>90</v>
      </c>
      <c r="G943" s="12" t="s">
        <v>52</v>
      </c>
      <c r="H943" s="9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Log'!$E$2:$V$70,
    MATCH(1,
      ('Golf Log'!$A$2:$A$70=$A943)*
      ('Golf Log'!$B$2:$B$70=$B943)*
      ('Golf Log'!$C$2:$C$70=$C943),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Log'!$E$2:$V$70,
    MATCH(1,
      ('Putt Log'!$A$2:$A$70=$A943)*
      ('Putt Log'!$B$2:$B$70=$B943)*
      ('Putt Log'!$C$2:$C$70=$C943),
    0),
    MATCH($G943,'Putt Log'!$E$1:$V$1,0)
  ),
"")</f>
        <v>1</v>
      </c>
      <c r="P943" t="str" cm="1">
        <f t="array" ref="P943">IF(K943=3,"",
  IFERROR(
    INDEX('Fairway Log'!$E$2:$V$70,
      MATCH(1,
        ('Fairway Log'!$A$2:$A$70=$A943)*
        ('Fairway Log'!$B$2:$B$70=$B943)*
        ('Fairway Log'!$C$2:$C1014=$C943),
      0),
      MATCH($G943,'Fairway Log'!$E$1:$V$1,0)
    ),
  "")
)</f>
        <v/>
      </c>
      <c r="Q943" t="str" cm="1">
        <f t="array" ref="Q943">IFERROR(
  INDEX('GIR Log'!$E$2:$V$70,
    MATCH(1,
      ('GIR Log'!$A$2:$A$70=$A943)*
      ('GIR Log'!$B$2:$B$70=$B943)*
      ('GIR Log'!$C$2:$C$70=$C943),
    0),
    MATCH($G943,'GIR Log'!$E$1:$V$1,0)
  ),
"")</f>
        <v>←</v>
      </c>
    </row>
    <row r="944" spans="1:17" x14ac:dyDescent="0.25">
      <c r="A944" s="51" t="s">
        <v>130</v>
      </c>
      <c r="B944" s="2">
        <v>45897</v>
      </c>
      <c r="C944" t="s">
        <v>41</v>
      </c>
      <c r="D944" s="51" t="s">
        <v>79</v>
      </c>
      <c r="E944" s="51" t="s">
        <v>34</v>
      </c>
      <c r="F944">
        <v>90</v>
      </c>
      <c r="G944" s="12" t="s">
        <v>53</v>
      </c>
      <c r="H944" s="9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Log'!$E$2:$V$70,
    MATCH(1,
      ('Golf Log'!$A$2:$A$70=$A944)*
      ('Golf Log'!$B$2:$B$70=$B944)*
      ('Golf Log'!$C$2:$C$70=$C944),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Log'!$E$2:$V$70,
    MATCH(1,
      ('Putt Log'!$A$2:$A$70=$A944)*
      ('Putt Log'!$B$2:$B$70=$B944)*
      ('Putt Log'!$C$2:$C$70=$C944),
    0),
    MATCH($G944,'Putt Log'!$E$1:$V$1,0)
  ),
"")</f>
        <v>1</v>
      </c>
      <c r="P944" t="str" cm="1">
        <f t="array" ref="P944">IF(K944=3,"",
  IFERROR(
    INDEX('Fairway Log'!$E$2:$V$70,
      MATCH(1,
        ('Fairway Log'!$A$2:$A$70=$A944)*
        ('Fairway Log'!$B$2:$B$70=$B944)*
        ('Fairway Log'!$C$2:$C1015=$C944),
      0),
      MATCH($G944,'Fairway Log'!$E$1:$V$1,0)
    ),
  "")
)</f>
        <v>←</v>
      </c>
      <c r="Q944" t="str" cm="1">
        <f t="array" ref="Q944">IFERROR(
  INDEX('GIR Log'!$E$2:$V$70,
    MATCH(1,
      ('GIR Log'!$A$2:$A$70=$A944)*
      ('GIR Log'!$B$2:$B$70=$B944)*
      ('GIR Log'!$C$2:$C$70=$C944),
    0),
    MATCH($G944,'GIR Log'!$E$1:$V$1,0)
  ),
"")</f>
        <v>↑</v>
      </c>
    </row>
    <row r="945" spans="1:17" x14ac:dyDescent="0.25">
      <c r="A945" s="51" t="s">
        <v>130</v>
      </c>
      <c r="B945" s="2">
        <v>45897</v>
      </c>
      <c r="C945" t="s">
        <v>41</v>
      </c>
      <c r="D945" s="51" t="s">
        <v>79</v>
      </c>
      <c r="E945" s="51" t="s">
        <v>34</v>
      </c>
      <c r="F945">
        <v>90</v>
      </c>
      <c r="G945" s="12" t="s">
        <v>54</v>
      </c>
      <c r="H945" s="9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Log'!$E$2:$V$70,
    MATCH(1,
      ('Golf Log'!$A$2:$A$70=$A945)*
      ('Golf Log'!$B$2:$B$70=$B945)*
      ('Golf Log'!$C$2:$C$70=$C945),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Log'!$E$2:$V$70,
    MATCH(1,
      ('Putt Log'!$A$2:$A$70=$A945)*
      ('Putt Log'!$B$2:$B$70=$B945)*
      ('Putt Log'!$C$2:$C$70=$C945),
    0),
    MATCH($G945,'Putt Log'!$E$1:$V$1,0)
  ),
"")</f>
        <v>2</v>
      </c>
      <c r="P945" cm="1">
        <f t="array" ref="P945">IF(K945=3,"",
  IFERROR(
    INDEX('Fairway Log'!$E$2:$V$70,
      MATCH(1,
        ('Fairway Log'!$A$2:$A$70=$A945)*
        ('Fairway Log'!$B$2:$B$70=$B945)*
        ('Fairway Log'!$C$2:$C1016=$C945),
      0),
      MATCH($G945,'Fairway Log'!$E$1:$V$1,0)
    ),
  "")
)</f>
        <v>1</v>
      </c>
      <c r="Q945" t="str" cm="1">
        <f t="array" ref="Q945">IFERROR(
  INDEX('GIR Log'!$E$2:$V$70,
    MATCH(1,
      ('GIR Log'!$A$2:$A$70=$A945)*
      ('GIR Log'!$B$2:$B$70=$B945)*
      ('GIR Log'!$C$2:$C$70=$C945),
    0),
    MATCH($G945,'GIR Log'!$E$1:$V$1,0)
  ),
"")</f>
        <v>→</v>
      </c>
    </row>
    <row r="946" spans="1:17" x14ac:dyDescent="0.25">
      <c r="A946" s="51" t="s">
        <v>130</v>
      </c>
      <c r="B946" s="2">
        <v>45897</v>
      </c>
      <c r="C946" t="s">
        <v>41</v>
      </c>
      <c r="D946" s="51" t="s">
        <v>79</v>
      </c>
      <c r="E946" s="51" t="s">
        <v>34</v>
      </c>
      <c r="F946">
        <v>90</v>
      </c>
      <c r="G946" s="12" t="s">
        <v>55</v>
      </c>
      <c r="H946" s="9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Log'!$E$2:$V$70,
    MATCH(1,
      ('Golf Log'!$A$2:$A$70=$A946)*
      ('Golf Log'!$B$2:$B$70=$B946)*
      ('Golf Log'!$C$2:$C$70=$C946),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Log'!$E$2:$V$70,
    MATCH(1,
      ('Putt Log'!$A$2:$A$70=$A946)*
      ('Putt Log'!$B$2:$B$70=$B946)*
      ('Putt Log'!$C$2:$C$70=$C946),
    0),
    MATCH($G946,'Putt Log'!$E$1:$V$1,0)
  ),
"")</f>
        <v>2</v>
      </c>
      <c r="P946" cm="1">
        <f t="array" ref="P946">IF(K946=3,"",
  IFERROR(
    INDEX('Fairway Log'!$E$2:$V$70,
      MATCH(1,
        ('Fairway Log'!$A$2:$A$70=$A946)*
        ('Fairway Log'!$B$2:$B$70=$B946)*
        ('Fairway Log'!$C$2:$C1017=$C946),
      0),
      MATCH($G946,'Fairway Log'!$E$1:$V$1,0)
    ),
  "")
)</f>
        <v>1</v>
      </c>
      <c r="Q946" t="str" cm="1">
        <f t="array" ref="Q946">IFERROR(
  INDEX('GIR Log'!$E$2:$V$70,
    MATCH(1,
      ('GIR Log'!$A$2:$A$70=$A946)*
      ('GIR Log'!$B$2:$B$70=$B946)*
      ('GIR Log'!$C$2:$C$70=$C946),
    0),
    MATCH($G946,'GIR Log'!$E$1:$V$1,0)
  ),
"")</f>
        <v>↓</v>
      </c>
    </row>
    <row r="947" spans="1:17" x14ac:dyDescent="0.25">
      <c r="A947" s="51" t="s">
        <v>130</v>
      </c>
      <c r="B947" s="2">
        <v>45897</v>
      </c>
      <c r="C947" t="s">
        <v>41</v>
      </c>
      <c r="D947" s="51" t="s">
        <v>79</v>
      </c>
      <c r="E947" s="51" t="s">
        <v>34</v>
      </c>
      <c r="F947">
        <v>90</v>
      </c>
      <c r="G947" s="12" t="s">
        <v>56</v>
      </c>
      <c r="H947" s="9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Log'!$E$2:$V$70,
    MATCH(1,
      ('Golf Log'!$A$2:$A$70=$A947)*
      ('Golf Log'!$B$2:$B$70=$B947)*
      ('Golf Log'!$C$2:$C$70=$C947),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Log'!$E$2:$V$70,
    MATCH(1,
      ('Putt Log'!$A$2:$A$70=$A947)*
      ('Putt Log'!$B$2:$B$70=$B947)*
      ('Putt Log'!$C$2:$C$70=$C947),
    0),
    MATCH($G947,'Putt Log'!$E$1:$V$1,0)
  ),
"")</f>
        <v>2</v>
      </c>
      <c r="P947" t="str" cm="1">
        <f t="array" ref="P947">IF(K947=3,"",
  IFERROR(
    INDEX('Fairway Log'!$E$2:$V$70,
      MATCH(1,
        ('Fairway Log'!$A$2:$A$70=$A947)*
        ('Fairway Log'!$B$2:$B$70=$B947)*
        ('Fairway Log'!$C$2:$C1018=$C947),
      0),
      MATCH($G947,'Fairway Log'!$E$1:$V$1,0)
    ),
  "")
)</f>
        <v>←</v>
      </c>
      <c r="Q947" t="str" cm="1">
        <f t="array" ref="Q947">IFERROR(
  INDEX('GIR Log'!$E$2:$V$70,
    MATCH(1,
      ('GIR Log'!$A$2:$A$70=$A947)*
      ('GIR Log'!$B$2:$B$70=$B947)*
      ('GIR Log'!$C$2:$C$70=$C947),
    0),
    MATCH($G947,'GIR Log'!$E$1:$V$1,0)
  ),
"")</f>
        <v>↓</v>
      </c>
    </row>
    <row r="948" spans="1:17" x14ac:dyDescent="0.25">
      <c r="A948" s="51" t="s">
        <v>130</v>
      </c>
      <c r="B948" s="2">
        <v>45897</v>
      </c>
      <c r="C948" t="s">
        <v>41</v>
      </c>
      <c r="D948" s="51" t="s">
        <v>79</v>
      </c>
      <c r="E948" s="51" t="s">
        <v>34</v>
      </c>
      <c r="F948">
        <v>90</v>
      </c>
      <c r="G948" s="12" t="s">
        <v>57</v>
      </c>
      <c r="H948" s="9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Log'!$E$2:$V$70,
    MATCH(1,
      ('Golf Log'!$A$2:$A$70=$A948)*
      ('Golf Log'!$B$2:$B$70=$B948)*
      ('Golf Log'!$C$2:$C$70=$C948),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Log'!$E$2:$V$70,
    MATCH(1,
      ('Putt Log'!$A$2:$A$70=$A948)*
      ('Putt Log'!$B$2:$B$70=$B948)*
      ('Putt Log'!$C$2:$C$70=$C948),
    0),
    MATCH($G948,'Putt Log'!$E$1:$V$1,0)
  ),
"")</f>
        <v>2</v>
      </c>
      <c r="P948" t="str" cm="1">
        <f t="array" ref="P948">IF(K948=3,"",
  IFERROR(
    INDEX('Fairway Log'!$E$2:$V$70,
      MATCH(1,
        ('Fairway Log'!$A$2:$A$70=$A948)*
        ('Fairway Log'!$B$2:$B$70=$B948)*
        ('Fairway Log'!$C$2:$C1019=$C948),
      0),
      MATCH($G948,'Fairway Log'!$E$1:$V$1,0)
    ),
  "")
)</f>
        <v>→</v>
      </c>
      <c r="Q948" t="str" cm="1">
        <f t="array" ref="Q948">IFERROR(
  INDEX('GIR Log'!$E$2:$V$70,
    MATCH(1,
      ('GIR Log'!$A$2:$A$70=$A948)*
      ('GIR Log'!$B$2:$B$70=$B948)*
      ('GIR Log'!$C$2:$C$70=$C948),
    0),
    MATCH($G948,'GIR Log'!$E$1:$V$1,0)
  ),
"")</f>
        <v>↓</v>
      </c>
    </row>
    <row r="949" spans="1:17" x14ac:dyDescent="0.25">
      <c r="A949" s="51" t="s">
        <v>130</v>
      </c>
      <c r="B949" s="2">
        <v>45897</v>
      </c>
      <c r="C949" t="s">
        <v>41</v>
      </c>
      <c r="D949" s="51" t="s">
        <v>79</v>
      </c>
      <c r="E949" s="51" t="s">
        <v>34</v>
      </c>
      <c r="F949">
        <v>90</v>
      </c>
      <c r="G949" s="12" t="s">
        <v>58</v>
      </c>
      <c r="H949" s="9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Log'!$E$2:$V$70,
    MATCH(1,
      ('Golf Log'!$A$2:$A$70=$A949)*
      ('Golf Log'!$B$2:$B$70=$B949)*
      ('Golf Log'!$C$2:$C$70=$C949),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Log'!$E$2:$V$70,
    MATCH(1,
      ('Putt Log'!$A$2:$A$70=$A949)*
      ('Putt Log'!$B$2:$B$70=$B949)*
      ('Putt Log'!$C$2:$C$70=$C949),
    0),
    MATCH($G949,'Putt Log'!$E$1:$V$1,0)
  ),
"")</f>
        <v>2</v>
      </c>
      <c r="P949" t="str" cm="1">
        <f t="array" ref="P949">IF(K949=3,"",
  IFERROR(
    INDEX('Fairway Log'!$E$2:$V$70,
      MATCH(1,
        ('Fairway Log'!$A$2:$A$70=$A949)*
        ('Fairway Log'!$B$2:$B$70=$B949)*
        ('Fairway Log'!$C$2:$C1020=$C949),
      0),
      MATCH($G949,'Fairway Log'!$E$1:$V$1,0)
    ),
  "")
)</f>
        <v>→</v>
      </c>
      <c r="Q949" t="str" cm="1">
        <f t="array" ref="Q949">IFERROR(
  INDEX('GIR Log'!$E$2:$V$70,
    MATCH(1,
      ('GIR Log'!$A$2:$A$70=$A949)*
      ('GIR Log'!$B$2:$B$70=$B949)*
      ('GIR Log'!$C$2:$C$70=$C949),
    0),
    MATCH($G949,'GIR Log'!$E$1:$V$1,0)
  ),
"")</f>
        <v>↓</v>
      </c>
    </row>
    <row r="950" spans="1:17" x14ac:dyDescent="0.25">
      <c r="A950" s="51" t="s">
        <v>130</v>
      </c>
      <c r="B950" s="2">
        <v>45897</v>
      </c>
      <c r="C950" t="s">
        <v>41</v>
      </c>
      <c r="D950" s="51" t="s">
        <v>79</v>
      </c>
      <c r="E950" s="51" t="s">
        <v>34</v>
      </c>
      <c r="F950">
        <v>90</v>
      </c>
      <c r="G950" s="12" t="s">
        <v>59</v>
      </c>
      <c r="H950" s="9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Log'!$E$2:$V$70,
    MATCH(1,
      ('Golf Log'!$A$2:$A$70=$A950)*
      ('Golf Log'!$B$2:$B$70=$B950)*
      ('Golf Log'!$C$2:$C$70=$C950),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Log'!$E$2:$V$70,
    MATCH(1,
      ('Putt Log'!$A$2:$A$70=$A950)*
      ('Putt Log'!$B$2:$B$70=$B950)*
      ('Putt Log'!$C$2:$C$70=$C950),
    0),
    MATCH($G950,'Putt Log'!$E$1:$V$1,0)
  ),
"")</f>
        <v>2</v>
      </c>
      <c r="P950" t="str" cm="1">
        <f t="array" ref="P950">IF(K950=3,"",
  IFERROR(
    INDEX('Fairway Log'!$E$2:$V$70,
      MATCH(1,
        ('Fairway Log'!$A$2:$A$70=$A950)*
        ('Fairway Log'!$B$2:$B$70=$B950)*
        ('Fairway Log'!$C$2:$C1021=$C950),
      0),
      MATCH($G950,'Fairway Log'!$E$1:$V$1,0)
    ),
  "")
)</f>
        <v/>
      </c>
      <c r="Q950" t="str" cm="1">
        <f t="array" ref="Q950">IFERROR(
  INDEX('GIR Log'!$E$2:$V$70,
    MATCH(1,
      ('GIR Log'!$A$2:$A$70=$A950)*
      ('GIR Log'!$B$2:$B$70=$B950)*
      ('GIR Log'!$C$2:$C$70=$C950),
    0),
    MATCH($G950,'GIR Log'!$E$1:$V$1,0)
  ),
"")</f>
        <v>→</v>
      </c>
    </row>
    <row r="951" spans="1:17" x14ac:dyDescent="0.25">
      <c r="A951" s="51" t="s">
        <v>130</v>
      </c>
      <c r="B951" s="2">
        <v>45897</v>
      </c>
      <c r="C951" t="s">
        <v>41</v>
      </c>
      <c r="D951" s="51" t="s">
        <v>79</v>
      </c>
      <c r="E951" s="51" t="s">
        <v>34</v>
      </c>
      <c r="F951">
        <v>90</v>
      </c>
      <c r="G951" s="12" t="s">
        <v>60</v>
      </c>
      <c r="H951" s="9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Log'!$E$2:$V$70,
    MATCH(1,
      ('Golf Log'!$A$2:$A$70=$A951)*
      ('Golf Log'!$B$2:$B$70=$B951)*
      ('Golf Log'!$C$2:$C$70=$C951),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Log'!$E$2:$V$70,
    MATCH(1,
      ('Putt Log'!$A$2:$A$70=$A951)*
      ('Putt Log'!$B$2:$B$70=$B951)*
      ('Putt Log'!$C$2:$C$70=$C951),
    0),
    MATCH($G951,'Putt Log'!$E$1:$V$1,0)
  ),
"")</f>
        <v>1</v>
      </c>
      <c r="P951" t="str" cm="1">
        <f t="array" ref="P951">IF(K951=3,"",
  IFERROR(
    INDEX('Fairway Log'!$E$2:$V$70,
      MATCH(1,
        ('Fairway Log'!$A$2:$A$70=$A951)*
        ('Fairway Log'!$B$2:$B$70=$B951)*
        ('Fairway Log'!$C$2:$C1022=$C951),
      0),
      MATCH($G951,'Fairway Log'!$E$1:$V$1,0)
    ),
  "")
)</f>
        <v>←</v>
      </c>
      <c r="Q951" t="str" cm="1">
        <f t="array" ref="Q951">IFERROR(
  INDEX('GIR Log'!$E$2:$V$70,
    MATCH(1,
      ('GIR Log'!$A$2:$A$70=$A951)*
      ('GIR Log'!$B$2:$B$70=$B951)*
      ('GIR Log'!$C$2:$C$70=$C951),
    0),
    MATCH($G951,'GIR Log'!$E$1:$V$1,0)
  ),
"")</f>
        <v>↓</v>
      </c>
    </row>
    <row r="952" spans="1:17" x14ac:dyDescent="0.25">
      <c r="A952" s="51" t="s">
        <v>130</v>
      </c>
      <c r="B952" s="2">
        <v>45897</v>
      </c>
      <c r="C952" t="s">
        <v>41</v>
      </c>
      <c r="D952" s="51" t="s">
        <v>79</v>
      </c>
      <c r="E952" s="51" t="s">
        <v>34</v>
      </c>
      <c r="F952">
        <v>90</v>
      </c>
      <c r="G952" s="12" t="s">
        <v>61</v>
      </c>
      <c r="H952" s="9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Log'!$E$2:$V$70,
    MATCH(1,
      ('Golf Log'!$A$2:$A$70=$A952)*
      ('Golf Log'!$B$2:$B$70=$B952)*
      ('Golf Log'!$C$2:$C$70=$C952),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Log'!$E$2:$V$70,
    MATCH(1,
      ('Putt Log'!$A$2:$A$70=$A952)*
      ('Putt Log'!$B$2:$B$70=$B952)*
      ('Putt Log'!$C$2:$C$70=$C952),
    0),
    MATCH($G952,'Putt Log'!$E$1:$V$1,0)
  ),
"")</f>
        <v>2</v>
      </c>
      <c r="P952" t="str" cm="1">
        <f t="array" ref="P952">IF(K952=3,"",
  IFERROR(
    INDEX('Fairway Log'!$E$2:$V$70,
      MATCH(1,
        ('Fairway Log'!$A$2:$A$70=$A952)*
        ('Fairway Log'!$B$2:$B$70=$B952)*
        ('Fairway Log'!$C$2:$C1023=$C952),
      0),
      MATCH($G952,'Fairway Log'!$E$1:$V$1,0)
    ),
  "")
)</f>
        <v>↑</v>
      </c>
      <c r="Q952" t="str" cm="1">
        <f t="array" ref="Q952">IFERROR(
  INDEX('GIR Log'!$E$2:$V$70,
    MATCH(1,
      ('GIR Log'!$A$2:$A$70=$A952)*
      ('GIR Log'!$B$2:$B$70=$B952)*
      ('GIR Log'!$C$2:$C$70=$C952),
    0),
    MATCH($G952,'GIR Log'!$E$1:$V$1,0)
  ),
"")</f>
        <v>↓</v>
      </c>
    </row>
    <row r="953" spans="1:17" x14ac:dyDescent="0.25">
      <c r="A953" s="51" t="s">
        <v>130</v>
      </c>
      <c r="B953" s="2">
        <v>45897</v>
      </c>
      <c r="C953" t="s">
        <v>41</v>
      </c>
      <c r="D953" s="51" t="s">
        <v>79</v>
      </c>
      <c r="E953" s="51" t="s">
        <v>34</v>
      </c>
      <c r="F953">
        <v>90</v>
      </c>
      <c r="G953" s="12" t="s">
        <v>62</v>
      </c>
      <c r="H953" s="9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Log'!$E$2:$V$70,
    MATCH(1,
      ('Golf Log'!$A$2:$A$70=$A953)*
      ('Golf Log'!$B$2:$B$70=$B953)*
      ('Golf Log'!$C$2:$C$70=$C953),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Log'!$E$2:$V$70,
    MATCH(1,
      ('Putt Log'!$A$2:$A$70=$A953)*
      ('Putt Log'!$B$2:$B$70=$B953)*
      ('Putt Log'!$C$2:$C$70=$C953),
    0),
    MATCH($G953,'Putt Log'!$E$1:$V$1,0)
  ),
"")</f>
        <v>2</v>
      </c>
      <c r="P953" t="str" cm="1">
        <f t="array" ref="P953">IF(K953=3,"",
  IFERROR(
    INDEX('Fairway Log'!$E$2:$V$70,
      MATCH(1,
        ('Fairway Log'!$A$2:$A$70=$A953)*
        ('Fairway Log'!$B$2:$B$70=$B953)*
        ('Fairway Log'!$C$2:$C1024=$C953),
      0),
      MATCH($G953,'Fairway Log'!$E$1:$V$1,0)
    ),
  "")
)</f>
        <v/>
      </c>
      <c r="Q953" t="str" cm="1">
        <f t="array" ref="Q953">IFERROR(
  INDEX('GIR Log'!$E$2:$V$70,
    MATCH(1,
      ('GIR Log'!$A$2:$A$70=$A953)*
      ('GIR Log'!$B$2:$B$70=$B953)*
      ('GIR Log'!$C$2:$C$70=$C953),
    0),
    MATCH($G953,'GIR Log'!$E$1:$V$1,0)
  ),
"")</f>
        <v>←</v>
      </c>
    </row>
    <row r="954" spans="1:17" x14ac:dyDescent="0.25">
      <c r="A954" s="51" t="s">
        <v>130</v>
      </c>
      <c r="B954" s="2">
        <v>45897</v>
      </c>
      <c r="C954" t="s">
        <v>41</v>
      </c>
      <c r="D954" s="51" t="s">
        <v>79</v>
      </c>
      <c r="E954" s="51" t="s">
        <v>34</v>
      </c>
      <c r="F954">
        <v>90</v>
      </c>
      <c r="G954" s="12" t="s">
        <v>63</v>
      </c>
      <c r="H954" s="9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Log'!$E$2:$V$70,
    MATCH(1,
      ('Golf Log'!$A$2:$A$70=$A954)*
      ('Golf Log'!$B$2:$B$70=$B954)*
      ('Golf Log'!$C$2:$C$70=$C954),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Log'!$E$2:$V$70,
    MATCH(1,
      ('Putt Log'!$A$2:$A$70=$A954)*
      ('Putt Log'!$B$2:$B$70=$B954)*
      ('Putt Log'!$C$2:$C$70=$C954),
    0),
    MATCH($G954,'Putt Log'!$E$1:$V$1,0)
  ),
"")</f>
        <v>2</v>
      </c>
      <c r="P954" cm="1">
        <f t="array" ref="P954">IF(K954=3,"",
  IFERROR(
    INDEX('Fairway Log'!$E$2:$V$70,
      MATCH(1,
        ('Fairway Log'!$A$2:$A$70=$A954)*
        ('Fairway Log'!$B$2:$B$70=$B954)*
        ('Fairway Log'!$C$2:$C1025=$C954),
      0),
      MATCH($G954,'Fairway Log'!$E$1:$V$1,0)
    ),
  "")
)</f>
        <v>1</v>
      </c>
      <c r="Q954" t="str" cm="1">
        <f t="array" ref="Q954">IFERROR(
  INDEX('GIR Log'!$E$2:$V$70,
    MATCH(1,
      ('GIR Log'!$A$2:$A$70=$A954)*
      ('GIR Log'!$B$2:$B$70=$B954)*
      ('GIR Log'!$C$2:$C$70=$C954),
    0),
    MATCH($G954,'GIR Log'!$E$1:$V$1,0)
  ),
"")</f>
        <v>←</v>
      </c>
    </row>
    <row r="955" spans="1:17" x14ac:dyDescent="0.25">
      <c r="A955" s="51" t="s">
        <v>130</v>
      </c>
      <c r="B955" s="2">
        <v>45897</v>
      </c>
      <c r="C955" t="s">
        <v>41</v>
      </c>
      <c r="D955" s="51" t="s">
        <v>79</v>
      </c>
      <c r="E955" s="51" t="s">
        <v>34</v>
      </c>
      <c r="F955">
        <v>90</v>
      </c>
      <c r="G955" s="12" t="s">
        <v>64</v>
      </c>
      <c r="H955" s="9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Log'!$E$2:$V$70,
    MATCH(1,
      ('Golf Log'!$A$2:$A$70=$A955)*
      ('Golf Log'!$B$2:$B$70=$B955)*
      ('Golf Log'!$C$2:$C$70=$C955),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Log'!$E$2:$V$70,
    MATCH(1,
      ('Putt Log'!$A$2:$A$70=$A955)*
      ('Putt Log'!$B$2:$B$70=$B955)*
      ('Putt Log'!$C$2:$C$70=$C955),
    0),
    MATCH($G955,'Putt Log'!$E$1:$V$1,0)
  ),
"")</f>
        <v>2</v>
      </c>
      <c r="P955" cm="1">
        <f t="array" ref="P955">IF(K955=3,"",
  IFERROR(
    INDEX('Fairway Log'!$E$2:$V$70,
      MATCH(1,
        ('Fairway Log'!$A$2:$A$70=$A955)*
        ('Fairway Log'!$B$2:$B$70=$B955)*
        ('Fairway Log'!$C$2:$C1026=$C955),
      0),
      MATCH($G955,'Fairway Log'!$E$1:$V$1,0)
    ),
  "")
)</f>
        <v>1</v>
      </c>
      <c r="Q955" t="str" cm="1">
        <f t="array" ref="Q955">IFERROR(
  INDEX('GIR Log'!$E$2:$V$70,
    MATCH(1,
      ('GIR Log'!$A$2:$A$70=$A955)*
      ('GIR Log'!$B$2:$B$70=$B955)*
      ('GIR Log'!$C$2:$C$70=$C955),
    0),
    MATCH($G955,'GIR Log'!$E$1:$V$1,0)
  ),
"")</f>
        <v>↓</v>
      </c>
    </row>
    <row r="956" spans="1:17" x14ac:dyDescent="0.25">
      <c r="A956" s="51" t="s">
        <v>130</v>
      </c>
      <c r="B956" s="2">
        <v>45829</v>
      </c>
      <c r="C956" t="s">
        <v>6</v>
      </c>
      <c r="D956" s="51" t="s">
        <v>75</v>
      </c>
      <c r="E956" s="51" t="s">
        <v>36</v>
      </c>
      <c r="F956">
        <v>83</v>
      </c>
      <c r="G956" t="s">
        <v>47</v>
      </c>
      <c r="H956" s="9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Log'!$E$2:$V$70,
    MATCH(1,
      ('Golf Log'!$A$2:$A$70=$A956)*
      ('Golf Log'!$B$2:$B$70=$B956)*
      ('Golf Log'!$C$2:$C$70=$C956),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Log'!$E$2:$V$70,
    MATCH(1,
      ('Putt Log'!$A$2:$A$70=$A956)*
      ('Putt Log'!$B$2:$B$70=$B956)*
      ('Putt Log'!$C$2:$C$70=$C956),
    0),
    MATCH($G956,'Putt Log'!$E$1:$V$1,0)
  ),
"")</f>
        <v>2</v>
      </c>
      <c r="P956" t="str" cm="1">
        <f t="array" ref="P956">IF(K956=3,"",
  IFERROR(
    INDEX('Fairway Log'!$E$2:$V$70,
      MATCH(1,
        ('Fairway Log'!$A$2:$A$70=$A956)*
        ('Fairway Log'!$B$2:$B$70=$B956)*
        ('Fairway Log'!$C$2:$C1027=$C956),
      0),
      MATCH($G956,'Fairway Log'!$E$1:$V$1,0)
    ),
  "")
)</f>
        <v>↓</v>
      </c>
      <c r="Q956" t="str" cm="1">
        <f t="array" ref="Q956">IFERROR(
  INDEX('GIR Log'!$E$2:$V$70,
    MATCH(1,
      ('GIR Log'!$A$2:$A$70=$A956)*
      ('GIR Log'!$B$2:$B$70=$B956)*
      ('GIR Log'!$C$2:$C$70=$C956),
    0),
    MATCH($G956,'GIR Log'!$E$1:$V$1,0)
  ),
"")</f>
        <v>←</v>
      </c>
    </row>
    <row r="957" spans="1:17" x14ac:dyDescent="0.25">
      <c r="A957" s="51" t="s">
        <v>130</v>
      </c>
      <c r="B957" s="2">
        <v>45829</v>
      </c>
      <c r="C957" t="s">
        <v>6</v>
      </c>
      <c r="D957" s="51" t="s">
        <v>75</v>
      </c>
      <c r="E957" s="51" t="s">
        <v>36</v>
      </c>
      <c r="F957">
        <v>83</v>
      </c>
      <c r="G957" t="s">
        <v>48</v>
      </c>
      <c r="H957" s="9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Log'!$E$2:$V$70,
    MATCH(1,
      ('Golf Log'!$A$2:$A$70=$A957)*
      ('Golf Log'!$B$2:$B$70=$B957)*
      ('Golf Log'!$C$2:$C$70=$C957),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Log'!$E$2:$V$70,
    MATCH(1,
      ('Putt Log'!$A$2:$A$70=$A957)*
      ('Putt Log'!$B$2:$B$70=$B957)*
      ('Putt Log'!$C$2:$C$70=$C957),
    0),
    MATCH($G957,'Putt Log'!$E$1:$V$1,0)
  ),
"")</f>
        <v>1</v>
      </c>
      <c r="P957" t="str" cm="1">
        <f t="array" ref="P957">IF(K957=3,"",
  IFERROR(
    INDEX('Fairway Log'!$E$2:$V$70,
      MATCH(1,
        ('Fairway Log'!$A$2:$A$70=$A957)*
        ('Fairway Log'!$B$2:$B$70=$B957)*
        ('Fairway Log'!$C$2:$C1028=$C957),
      0),
      MATCH($G957,'Fairway Log'!$E$1:$V$1,0)
    ),
  "")
)</f>
        <v>←</v>
      </c>
      <c r="Q957" t="str" cm="1">
        <f t="array" ref="Q957">IFERROR(
  INDEX('GIR Log'!$E$2:$V$70,
    MATCH(1,
      ('GIR Log'!$A$2:$A$70=$A957)*
      ('GIR Log'!$B$2:$B$70=$B957)*
      ('GIR Log'!$C$2:$C$70=$C957),
    0),
    MATCH($G957,'GIR Log'!$E$1:$V$1,0)
  ),
"")</f>
        <v>↓</v>
      </c>
    </row>
    <row r="958" spans="1:17" x14ac:dyDescent="0.25">
      <c r="A958" s="51" t="s">
        <v>130</v>
      </c>
      <c r="B958" s="2">
        <v>45829</v>
      </c>
      <c r="C958" t="s">
        <v>6</v>
      </c>
      <c r="D958" s="51" t="s">
        <v>75</v>
      </c>
      <c r="E958" s="51" t="s">
        <v>36</v>
      </c>
      <c r="F958">
        <v>83</v>
      </c>
      <c r="G958" t="s">
        <v>49</v>
      </c>
      <c r="H958" s="9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Log'!$E$2:$V$70,
    MATCH(1,
      ('Golf Log'!$A$2:$A$70=$A958)*
      ('Golf Log'!$B$2:$B$70=$B958)*
      ('Golf Log'!$C$2:$C$70=$C958),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Log'!$E$2:$V$70,
    MATCH(1,
      ('Putt Log'!$A$2:$A$70=$A958)*
      ('Putt Log'!$B$2:$B$70=$B958)*
      ('Putt Log'!$C$2:$C$70=$C958),
    0),
    MATCH($G958,'Putt Log'!$E$1:$V$1,0)
  ),
"")</f>
        <v>2</v>
      </c>
      <c r="P958" t="str" cm="1">
        <f t="array" ref="P958">IF(K958=3,"",
  IFERROR(
    INDEX('Fairway Log'!$E$2:$V$70,
      MATCH(1,
        ('Fairway Log'!$A$2:$A$70=$A958)*
        ('Fairway Log'!$B$2:$B$70=$B958)*
        ('Fairway Log'!$C$2:$C1029=$C958),
      0),
      MATCH($G958,'Fairway Log'!$E$1:$V$1,0)
    ),
  "")
)</f>
        <v/>
      </c>
      <c r="Q958" t="str" cm="1">
        <f t="array" ref="Q958">IFERROR(
  INDEX('GIR Log'!$E$2:$V$70,
    MATCH(1,
      ('GIR Log'!$A$2:$A$70=$A958)*
      ('GIR Log'!$B$2:$B$70=$B958)*
      ('GIR Log'!$C$2:$C$70=$C958),
    0),
    MATCH($G958,'GIR Log'!$E$1:$V$1,0)
  ),
"")</f>
        <v>←</v>
      </c>
    </row>
    <row r="959" spans="1:17" x14ac:dyDescent="0.25">
      <c r="A959" s="51" t="s">
        <v>130</v>
      </c>
      <c r="B959" s="2">
        <v>45829</v>
      </c>
      <c r="C959" t="s">
        <v>6</v>
      </c>
      <c r="D959" s="51" t="s">
        <v>75</v>
      </c>
      <c r="E959" s="51" t="s">
        <v>36</v>
      </c>
      <c r="F959">
        <v>83</v>
      </c>
      <c r="G959" t="s">
        <v>50</v>
      </c>
      <c r="H959" s="9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Log'!$E$2:$V$70,
    MATCH(1,
      ('Golf Log'!$A$2:$A$70=$A959)*
      ('Golf Log'!$B$2:$B$70=$B959)*
      ('Golf Log'!$C$2:$C$70=$C959),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Log'!$E$2:$V$70,
    MATCH(1,
      ('Putt Log'!$A$2:$A$70=$A959)*
      ('Putt Log'!$B$2:$B$70=$B959)*
      ('Putt Log'!$C$2:$C$70=$C959),
    0),
    MATCH($G959,'Putt Log'!$E$1:$V$1,0)
  ),
"")</f>
        <v>2</v>
      </c>
      <c r="P959" t="str" cm="1">
        <f t="array" ref="P959">IF(K959=3,"",
  IFERROR(
    INDEX('Fairway Log'!$E$2:$V$70,
      MATCH(1,
        ('Fairway Log'!$A$2:$A$70=$A959)*
        ('Fairway Log'!$B$2:$B$70=$B959)*
        ('Fairway Log'!$C$2:$C1030=$C959),
      0),
      MATCH($G959,'Fairway Log'!$E$1:$V$1,0)
    ),
  "")
)</f>
        <v>←</v>
      </c>
      <c r="Q959" t="str" cm="1">
        <f t="array" ref="Q959">IFERROR(
  INDEX('GIR Log'!$E$2:$V$70,
    MATCH(1,
      ('GIR Log'!$A$2:$A$70=$A959)*
      ('GIR Log'!$B$2:$B$70=$B959)*
      ('GIR Log'!$C$2:$C$70=$C959),
    0),
    MATCH($G959,'GIR Log'!$E$1:$V$1,0)
  ),
"")</f>
        <v>↓</v>
      </c>
    </row>
    <row r="960" spans="1:17" x14ac:dyDescent="0.25">
      <c r="A960" s="51" t="s">
        <v>130</v>
      </c>
      <c r="B960" s="2">
        <v>45829</v>
      </c>
      <c r="C960" t="s">
        <v>6</v>
      </c>
      <c r="D960" s="51" t="s">
        <v>75</v>
      </c>
      <c r="E960" s="51" t="s">
        <v>36</v>
      </c>
      <c r="F960">
        <v>83</v>
      </c>
      <c r="G960" t="s">
        <v>51</v>
      </c>
      <c r="H960" s="9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Log'!$E$2:$V$70,
    MATCH(1,
      ('Golf Log'!$A$2:$A$70=$A960)*
      ('Golf Log'!$B$2:$B$70=$B960)*
      ('Golf Log'!$C$2:$C$70=$C960),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Log'!$E$2:$V$70,
    MATCH(1,
      ('Putt Log'!$A$2:$A$70=$A960)*
      ('Putt Log'!$B$2:$B$70=$B960)*
      ('Putt Log'!$C$2:$C$70=$C960),
    0),
    MATCH($G960,'Putt Log'!$E$1:$V$1,0)
  ),
"")</f>
        <v>2</v>
      </c>
      <c r="P960" t="str" cm="1">
        <f t="array" ref="P960">IF(K960=3,"",
  IFERROR(
    INDEX('Fairway Log'!$E$2:$V$70,
      MATCH(1,
        ('Fairway Log'!$A$2:$A$70=$A960)*
        ('Fairway Log'!$B$2:$B$70=$B960)*
        ('Fairway Log'!$C$2:$C1031=$C960),
      0),
      MATCH($G960,'Fairway Log'!$E$1:$V$1,0)
    ),
  "")
)</f>
        <v/>
      </c>
      <c r="Q960" t="str" cm="1">
        <f t="array" ref="Q960">IFERROR(
  INDEX('GIR Log'!$E$2:$V$70,
    MATCH(1,
      ('GIR Log'!$A$2:$A$70=$A960)*
      ('GIR Log'!$B$2:$B$70=$B960)*
      ('GIR Log'!$C$2:$C$70=$C960),
    0),
    MATCH($G960,'GIR Log'!$E$1:$V$1,0)
  ),
"")</f>
        <v>←</v>
      </c>
    </row>
    <row r="961" spans="1:17" x14ac:dyDescent="0.25">
      <c r="A961" s="51" t="s">
        <v>130</v>
      </c>
      <c r="B961" s="2">
        <v>45829</v>
      </c>
      <c r="C961" t="s">
        <v>6</v>
      </c>
      <c r="D961" s="51" t="s">
        <v>75</v>
      </c>
      <c r="E961" s="51" t="s">
        <v>36</v>
      </c>
      <c r="F961">
        <v>83</v>
      </c>
      <c r="G961" t="s">
        <v>52</v>
      </c>
      <c r="H961" s="9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Log'!$E$2:$V$70,
    MATCH(1,
      ('Golf Log'!$A$2:$A$70=$A961)*
      ('Golf Log'!$B$2:$B$70=$B961)*
      ('Golf Log'!$C$2:$C$70=$C961),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Log'!$E$2:$V$70,
    MATCH(1,
      ('Putt Log'!$A$2:$A$70=$A961)*
      ('Putt Log'!$B$2:$B$70=$B961)*
      ('Putt Log'!$C$2:$C$70=$C961),
    0),
    MATCH($G961,'Putt Log'!$E$1:$V$1,0)
  ),
"")</f>
        <v>2</v>
      </c>
      <c r="P961" t="str" cm="1">
        <f t="array" ref="P961">IF(K961=3,"",
  IFERROR(
    INDEX('Fairway Log'!$E$2:$V$70,
      MATCH(1,
        ('Fairway Log'!$A$2:$A$70=$A961)*
        ('Fairway Log'!$B$2:$B$70=$B961)*
        ('Fairway Log'!$C$2:$C1032=$C961),
      0),
      MATCH($G961,'Fairway Log'!$E$1:$V$1,0)
    ),
  "")
)</f>
        <v>←</v>
      </c>
      <c r="Q961" t="str" cm="1">
        <f t="array" ref="Q961">IFERROR(
  INDEX('GIR Log'!$E$2:$V$70,
    MATCH(1,
      ('GIR Log'!$A$2:$A$70=$A961)*
      ('GIR Log'!$B$2:$B$70=$B961)*
      ('GIR Log'!$C$2:$C$70=$C961),
    0),
    MATCH($G961,'GIR Log'!$E$1:$V$1,0)
  ),
"")</f>
        <v>↓</v>
      </c>
    </row>
    <row r="962" spans="1:17" x14ac:dyDescent="0.25">
      <c r="A962" s="51" t="s">
        <v>130</v>
      </c>
      <c r="B962" s="2">
        <v>45829</v>
      </c>
      <c r="C962" t="s">
        <v>6</v>
      </c>
      <c r="D962" s="51" t="s">
        <v>75</v>
      </c>
      <c r="E962" s="51" t="s">
        <v>36</v>
      </c>
      <c r="F962">
        <v>83</v>
      </c>
      <c r="G962" t="s">
        <v>53</v>
      </c>
      <c r="H962" s="9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Log'!$E$2:$V$70,
    MATCH(1,
      ('Golf Log'!$A$2:$A$70=$A962)*
      ('Golf Log'!$B$2:$B$70=$B962)*
      ('Golf Log'!$C$2:$C$70=$C962),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Log'!$E$2:$V$70,
    MATCH(1,
      ('Putt Log'!$A$2:$A$70=$A962)*
      ('Putt Log'!$B$2:$B$70=$B962)*
      ('Putt Log'!$C$2:$C$70=$C962),
    0),
    MATCH($G962,'Putt Log'!$E$1:$V$1,0)
  ),
"")</f>
        <v>2</v>
      </c>
      <c r="P962" t="str" cm="1">
        <f t="array" ref="P962">IF(K962=3,"",
  IFERROR(
    INDEX('Fairway Log'!$E$2:$V$70,
      MATCH(1,
        ('Fairway Log'!$A$2:$A$70=$A962)*
        ('Fairway Log'!$B$2:$B$70=$B962)*
        ('Fairway Log'!$C$2:$C1033=$C962),
      0),
      MATCH($G962,'Fairway Log'!$E$1:$V$1,0)
    ),
  "")
)</f>
        <v>←</v>
      </c>
      <c r="Q962" t="str" cm="1">
        <f t="array" ref="Q962">IFERROR(
  INDEX('GIR Log'!$E$2:$V$70,
    MATCH(1,
      ('GIR Log'!$A$2:$A$70=$A962)*
      ('GIR Log'!$B$2:$B$70=$B962)*
      ('GIR Log'!$C$2:$C$70=$C962),
    0),
    MATCH($G962,'GIR Log'!$E$1:$V$1,0)
  ),
"")</f>
        <v>↓</v>
      </c>
    </row>
    <row r="963" spans="1:17" x14ac:dyDescent="0.25">
      <c r="A963" s="51" t="s">
        <v>130</v>
      </c>
      <c r="B963" s="2">
        <v>45829</v>
      </c>
      <c r="C963" t="s">
        <v>6</v>
      </c>
      <c r="D963" s="51" t="s">
        <v>75</v>
      </c>
      <c r="E963" s="51" t="s">
        <v>36</v>
      </c>
      <c r="F963">
        <v>83</v>
      </c>
      <c r="G963" t="s">
        <v>54</v>
      </c>
      <c r="H963" s="9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Log'!$E$2:$V$70,
    MATCH(1,
      ('Golf Log'!$A$2:$A$70=$A963)*
      ('Golf Log'!$B$2:$B$70=$B963)*
      ('Golf Log'!$C$2:$C$70=$C963),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Log'!$E$2:$V$70,
    MATCH(1,
      ('Putt Log'!$A$2:$A$70=$A963)*
      ('Putt Log'!$B$2:$B$70=$B963)*
      ('Putt Log'!$C$2:$C$70=$C963),
    0),
    MATCH($G963,'Putt Log'!$E$1:$V$1,0)
  ),
"")</f>
        <v>2</v>
      </c>
      <c r="P963" t="str" cm="1">
        <f t="array" ref="P963">IF(K963=3,"",
  IFERROR(
    INDEX('Fairway Log'!$E$2:$V$70,
      MATCH(1,
        ('Fairway Log'!$A$2:$A$70=$A963)*
        ('Fairway Log'!$B$2:$B$70=$B963)*
        ('Fairway Log'!$C$2:$C1034=$C963),
      0),
      MATCH($G963,'Fairway Log'!$E$1:$V$1,0)
    ),
  "")
)</f>
        <v>←</v>
      </c>
      <c r="Q963" t="str" cm="1">
        <f t="array" ref="Q963">IFERROR(
  INDEX('GIR Log'!$E$2:$V$70,
    MATCH(1,
      ('GIR Log'!$A$2:$A$70=$A963)*
      ('GIR Log'!$B$2:$B$70=$B963)*
      ('GIR Log'!$C$2:$C$70=$C963),
    0),
    MATCH($G963,'GIR Log'!$E$1:$V$1,0)
  ),
"")</f>
        <v>←</v>
      </c>
    </row>
    <row r="964" spans="1:17" x14ac:dyDescent="0.25">
      <c r="A964" s="51" t="s">
        <v>130</v>
      </c>
      <c r="B964" s="2">
        <v>45829</v>
      </c>
      <c r="C964" t="s">
        <v>6</v>
      </c>
      <c r="D964" s="51" t="s">
        <v>75</v>
      </c>
      <c r="E964" s="51" t="s">
        <v>36</v>
      </c>
      <c r="F964">
        <v>83</v>
      </c>
      <c r="G964" t="s">
        <v>55</v>
      </c>
      <c r="H964" s="9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Log'!$E$2:$V$70,
    MATCH(1,
      ('Golf Log'!$A$2:$A$70=$A964)*
      ('Golf Log'!$B$2:$B$70=$B964)*
      ('Golf Log'!$C$2:$C$70=$C964),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Log'!$E$2:$V$70,
    MATCH(1,
      ('Putt Log'!$A$2:$A$70=$A964)*
      ('Putt Log'!$B$2:$B$70=$B964)*
      ('Putt Log'!$C$2:$C$70=$C964),
    0),
    MATCH($G964,'Putt Log'!$E$1:$V$1,0)
  ),
"")</f>
        <v>2</v>
      </c>
      <c r="P964" t="str" cm="1">
        <f t="array" ref="P964">IF(K964=3,"",
  IFERROR(
    INDEX('Fairway Log'!$E$2:$V$70,
      MATCH(1,
        ('Fairway Log'!$A$2:$A$70=$A964)*
        ('Fairway Log'!$B$2:$B$70=$B964)*
        ('Fairway Log'!$C$2:$C1035=$C964),
      0),
      MATCH($G964,'Fairway Log'!$E$1:$V$1,0)
    ),
  "")
)</f>
        <v>←</v>
      </c>
      <c r="Q964" cm="1">
        <f t="array" ref="Q964">IFERROR(
  INDEX('GIR Log'!$E$2:$V$70,
    MATCH(1,
      ('GIR Log'!$A$2:$A$70=$A964)*
      ('GIR Log'!$B$2:$B$70=$B964)*
      ('GIR Log'!$C$2:$C$70=$C964),
    0),
    MATCH($G964,'GIR Log'!$E$1:$V$1,0)
  ),
"")</f>
        <v>1</v>
      </c>
    </row>
    <row r="965" spans="1:17" x14ac:dyDescent="0.25">
      <c r="A965" s="51" t="s">
        <v>130</v>
      </c>
      <c r="B965" s="2">
        <v>45829</v>
      </c>
      <c r="C965" t="s">
        <v>6</v>
      </c>
      <c r="D965" s="51" t="s">
        <v>75</v>
      </c>
      <c r="E965" s="51" t="s">
        <v>36</v>
      </c>
      <c r="F965">
        <v>83</v>
      </c>
      <c r="G965" t="s">
        <v>56</v>
      </c>
      <c r="H965" s="9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Log'!$E$2:$V$70,
    MATCH(1,
      ('Golf Log'!$A$2:$A$70=$A965)*
      ('Golf Log'!$B$2:$B$70=$B965)*
      ('Golf Log'!$C$2:$C$70=$C965),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Log'!$E$2:$V$70,
    MATCH(1,
      ('Putt Log'!$A$2:$A$70=$A965)*
      ('Putt Log'!$B$2:$B$70=$B965)*
      ('Putt Log'!$C$2:$C$70=$C965),
    0),
    MATCH($G965,'Putt Log'!$E$1:$V$1,0)
  ),
"")</f>
        <v>2</v>
      </c>
      <c r="P965" t="str" cm="1">
        <f t="array" ref="P965">IF(K965=3,"",
  IFERROR(
    INDEX('Fairway Log'!$E$2:$V$70,
      MATCH(1,
        ('Fairway Log'!$A$2:$A$70=$A965)*
        ('Fairway Log'!$B$2:$B$70=$B965)*
        ('Fairway Log'!$C$2:$C1036=$C965),
      0),
      MATCH($G965,'Fairway Log'!$E$1:$V$1,0)
    ),
  "")
)</f>
        <v>←</v>
      </c>
      <c r="Q965" t="str" cm="1">
        <f t="array" ref="Q965">IFERROR(
  INDEX('GIR Log'!$E$2:$V$70,
    MATCH(1,
      ('GIR Log'!$A$2:$A$70=$A965)*
      ('GIR Log'!$B$2:$B$70=$B965)*
      ('GIR Log'!$C$2:$C$70=$C965),
    0),
    MATCH($G965,'GIR Log'!$E$1:$V$1,0)
  ),
"")</f>
        <v>↓</v>
      </c>
    </row>
    <row r="966" spans="1:17" x14ac:dyDescent="0.25">
      <c r="A966" s="51" t="s">
        <v>130</v>
      </c>
      <c r="B966" s="2">
        <v>45829</v>
      </c>
      <c r="C966" t="s">
        <v>6</v>
      </c>
      <c r="D966" s="51" t="s">
        <v>75</v>
      </c>
      <c r="E966" s="51" t="s">
        <v>36</v>
      </c>
      <c r="F966">
        <v>83</v>
      </c>
      <c r="G966" t="s">
        <v>57</v>
      </c>
      <c r="H966" s="9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Log'!$E$2:$V$70,
    MATCH(1,
      ('Golf Log'!$A$2:$A$70=$A966)*
      ('Golf Log'!$B$2:$B$70=$B966)*
      ('Golf Log'!$C$2:$C$70=$C966),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Log'!$E$2:$V$70,
    MATCH(1,
      ('Putt Log'!$A$2:$A$70=$A966)*
      ('Putt Log'!$B$2:$B$70=$B966)*
      ('Putt Log'!$C$2:$C$70=$C966),
    0),
    MATCH($G966,'Putt Log'!$E$1:$V$1,0)
  ),
"")</f>
        <v>2</v>
      </c>
      <c r="P966" t="str" cm="1">
        <f t="array" ref="P966">IF(K966=3,"",
  IFERROR(
    INDEX('Fairway Log'!$E$2:$V$70,
      MATCH(1,
        ('Fairway Log'!$A$2:$A$70=$A966)*
        ('Fairway Log'!$B$2:$B$70=$B966)*
        ('Fairway Log'!$C$2:$C1037=$C966),
      0),
      MATCH($G966,'Fairway Log'!$E$1:$V$1,0)
    ),
  "")
)</f>
        <v>←</v>
      </c>
      <c r="Q966" t="str" cm="1">
        <f t="array" ref="Q966">IFERROR(
  INDEX('GIR Log'!$E$2:$V$70,
    MATCH(1,
      ('GIR Log'!$A$2:$A$70=$A966)*
      ('GIR Log'!$B$2:$B$70=$B966)*
      ('GIR Log'!$C$2:$C$70=$C966),
    0),
    MATCH($G966,'GIR Log'!$E$1:$V$1,0)
  ),
"")</f>
        <v>↑</v>
      </c>
    </row>
    <row r="967" spans="1:17" x14ac:dyDescent="0.25">
      <c r="A967" s="51" t="s">
        <v>130</v>
      </c>
      <c r="B967" s="2">
        <v>45829</v>
      </c>
      <c r="C967" t="s">
        <v>6</v>
      </c>
      <c r="D967" s="51" t="s">
        <v>75</v>
      </c>
      <c r="E967" s="51" t="s">
        <v>36</v>
      </c>
      <c r="F967">
        <v>83</v>
      </c>
      <c r="G967" t="s">
        <v>58</v>
      </c>
      <c r="H967" s="9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Log'!$E$2:$V$70,
    MATCH(1,
      ('Golf Log'!$A$2:$A$70=$A967)*
      ('Golf Log'!$B$2:$B$70=$B967)*
      ('Golf Log'!$C$2:$C$70=$C967),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Log'!$E$2:$V$70,
    MATCH(1,
      ('Putt Log'!$A$2:$A$70=$A967)*
      ('Putt Log'!$B$2:$B$70=$B967)*
      ('Putt Log'!$C$2:$C$70=$C967),
    0),
    MATCH($G967,'Putt Log'!$E$1:$V$1,0)
  ),
"")</f>
        <v>2</v>
      </c>
      <c r="P967" t="str" cm="1">
        <f t="array" ref="P967">IF(K967=3,"",
  IFERROR(
    INDEX('Fairway Log'!$E$2:$V$70,
      MATCH(1,
        ('Fairway Log'!$A$2:$A$70=$A967)*
        ('Fairway Log'!$B$2:$B$70=$B967)*
        ('Fairway Log'!$C$2:$C1038=$C967),
      0),
      MATCH($G967,'Fairway Log'!$E$1:$V$1,0)
    ),
  "")
)</f>
        <v>↑</v>
      </c>
      <c r="Q967" cm="1">
        <f t="array" ref="Q967">IFERROR(
  INDEX('GIR Log'!$E$2:$V$70,
    MATCH(1,
      ('GIR Log'!$A$2:$A$70=$A967)*
      ('GIR Log'!$B$2:$B$70=$B967)*
      ('GIR Log'!$C$2:$C$70=$C967),
    0),
    MATCH($G967,'GIR Log'!$E$1:$V$1,0)
  ),
"")</f>
        <v>1</v>
      </c>
    </row>
    <row r="968" spans="1:17" x14ac:dyDescent="0.25">
      <c r="A968" s="51" t="s">
        <v>130</v>
      </c>
      <c r="B968" s="2">
        <v>45829</v>
      </c>
      <c r="C968" t="s">
        <v>6</v>
      </c>
      <c r="D968" s="51" t="s">
        <v>75</v>
      </c>
      <c r="E968" s="51" t="s">
        <v>36</v>
      </c>
      <c r="F968">
        <v>83</v>
      </c>
      <c r="G968" t="s">
        <v>59</v>
      </c>
      <c r="H968" s="9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Log'!$E$2:$V$70,
    MATCH(1,
      ('Golf Log'!$A$2:$A$70=$A968)*
      ('Golf Log'!$B$2:$B$70=$B968)*
      ('Golf Log'!$C$2:$C$70=$C968),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Log'!$E$2:$V$70,
    MATCH(1,
      ('Putt Log'!$A$2:$A$70=$A968)*
      ('Putt Log'!$B$2:$B$70=$B968)*
      ('Putt Log'!$C$2:$C$70=$C968),
    0),
    MATCH($G968,'Putt Log'!$E$1:$V$1,0)
  ),
"")</f>
        <v>2</v>
      </c>
      <c r="P968" t="str" cm="1">
        <f t="array" ref="P968">IF(K968=3,"",
  IFERROR(
    INDEX('Fairway Log'!$E$2:$V$70,
      MATCH(1,
        ('Fairway Log'!$A$2:$A$70=$A968)*
        ('Fairway Log'!$B$2:$B$70=$B968)*
        ('Fairway Log'!$C$2:$C1039=$C968),
      0),
      MATCH($G968,'Fairway Log'!$E$1:$V$1,0)
    ),
  "")
)</f>
        <v>↑</v>
      </c>
      <c r="Q968" cm="1">
        <f t="array" ref="Q968">IFERROR(
  INDEX('GIR Log'!$E$2:$V$70,
    MATCH(1,
      ('GIR Log'!$A$2:$A$70=$A968)*
      ('GIR Log'!$B$2:$B$70=$B968)*
      ('GIR Log'!$C$2:$C$70=$C968),
    0),
    MATCH($G968,'GIR Log'!$E$1:$V$1,0)
  ),
"")</f>
        <v>1</v>
      </c>
    </row>
    <row r="969" spans="1:17" x14ac:dyDescent="0.25">
      <c r="A969" s="51" t="s">
        <v>130</v>
      </c>
      <c r="B969" s="2">
        <v>45829</v>
      </c>
      <c r="C969" t="s">
        <v>6</v>
      </c>
      <c r="D969" s="51" t="s">
        <v>75</v>
      </c>
      <c r="E969" s="51" t="s">
        <v>36</v>
      </c>
      <c r="F969">
        <v>83</v>
      </c>
      <c r="G969" t="s">
        <v>60</v>
      </c>
      <c r="H969" s="9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Log'!$E$2:$V$70,
    MATCH(1,
      ('Golf Log'!$A$2:$A$70=$A969)*
      ('Golf Log'!$B$2:$B$70=$B969)*
      ('Golf Log'!$C$2:$C$70=$C969),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Log'!$E$2:$V$70,
    MATCH(1,
      ('Putt Log'!$A$2:$A$70=$A969)*
      ('Putt Log'!$B$2:$B$70=$B969)*
      ('Putt Log'!$C$2:$C$70=$C969),
    0),
    MATCH($G969,'Putt Log'!$E$1:$V$1,0)
  ),
"")</f>
        <v>1</v>
      </c>
      <c r="P969" t="str" cm="1">
        <f t="array" ref="P969">IF(K969=3,"",
  IFERROR(
    INDEX('Fairway Log'!$E$2:$V$70,
      MATCH(1,
        ('Fairway Log'!$A$2:$A$70=$A969)*
        ('Fairway Log'!$B$2:$B$70=$B969)*
        ('Fairway Log'!$C$2:$C1040=$C969),
      0),
      MATCH($G969,'Fairway Log'!$E$1:$V$1,0)
    ),
  "")
)</f>
        <v/>
      </c>
      <c r="Q969" t="str" cm="1">
        <f t="array" ref="Q969">IFERROR(
  INDEX('GIR Log'!$E$2:$V$70,
    MATCH(1,
      ('GIR Log'!$A$2:$A$70=$A969)*
      ('GIR Log'!$B$2:$B$70=$B969)*
      ('GIR Log'!$C$2:$C$70=$C969),
    0),
    MATCH($G969,'GIR Log'!$E$1:$V$1,0)
  ),
"")</f>
        <v>←</v>
      </c>
    </row>
    <row r="970" spans="1:17" x14ac:dyDescent="0.25">
      <c r="A970" s="51" t="s">
        <v>130</v>
      </c>
      <c r="B970" s="2">
        <v>45829</v>
      </c>
      <c r="C970" t="s">
        <v>6</v>
      </c>
      <c r="D970" s="51" t="s">
        <v>75</v>
      </c>
      <c r="E970" s="51" t="s">
        <v>36</v>
      </c>
      <c r="F970">
        <v>83</v>
      </c>
      <c r="G970" t="s">
        <v>61</v>
      </c>
      <c r="H970" s="9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Log'!$E$2:$V$70,
    MATCH(1,
      ('Golf Log'!$A$2:$A$70=$A970)*
      ('Golf Log'!$B$2:$B$70=$B970)*
      ('Golf Log'!$C$2:$C$70=$C970),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Log'!$E$2:$V$70,
    MATCH(1,
      ('Putt Log'!$A$2:$A$70=$A970)*
      ('Putt Log'!$B$2:$B$70=$B970)*
      ('Putt Log'!$C$2:$C$70=$C970),
    0),
    MATCH($G970,'Putt Log'!$E$1:$V$1,0)
  ),
"")</f>
        <v>2</v>
      </c>
      <c r="P970" t="str" cm="1">
        <f t="array" ref="P970">IF(K970=3,"",
  IFERROR(
    INDEX('Fairway Log'!$E$2:$V$70,
      MATCH(1,
        ('Fairway Log'!$A$2:$A$70=$A970)*
        ('Fairway Log'!$B$2:$B$70=$B970)*
        ('Fairway Log'!$C$2:$C1041=$C970),
      0),
      MATCH($G970,'Fairway Log'!$E$1:$V$1,0)
    ),
  "")
)</f>
        <v>←</v>
      </c>
      <c r="Q970" cm="1">
        <f t="array" ref="Q970">IFERROR(
  INDEX('GIR Log'!$E$2:$V$70,
    MATCH(1,
      ('GIR Log'!$A$2:$A$70=$A970)*
      ('GIR Log'!$B$2:$B$70=$B970)*
      ('GIR Log'!$C$2:$C$70=$C970),
    0),
    MATCH($G970,'GIR Log'!$E$1:$V$1,0)
  ),
"")</f>
        <v>1</v>
      </c>
    </row>
    <row r="971" spans="1:17" x14ac:dyDescent="0.25">
      <c r="A971" s="51" t="s">
        <v>130</v>
      </c>
      <c r="B971" s="2">
        <v>45829</v>
      </c>
      <c r="C971" t="s">
        <v>6</v>
      </c>
      <c r="D971" s="51" t="s">
        <v>75</v>
      </c>
      <c r="E971" s="51" t="s">
        <v>36</v>
      </c>
      <c r="F971">
        <v>83</v>
      </c>
      <c r="G971" t="s">
        <v>62</v>
      </c>
      <c r="H971" s="9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Log'!$E$2:$V$70,
    MATCH(1,
      ('Golf Log'!$A$2:$A$70=$A971)*
      ('Golf Log'!$B$2:$B$70=$B971)*
      ('Golf Log'!$C$2:$C$70=$C971),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Log'!$E$2:$V$70,
    MATCH(1,
      ('Putt Log'!$A$2:$A$70=$A971)*
      ('Putt Log'!$B$2:$B$70=$B971)*
      ('Putt Log'!$C$2:$C$70=$C971),
    0),
    MATCH($G971,'Putt Log'!$E$1:$V$1,0)
  ),
"")</f>
        <v>2</v>
      </c>
      <c r="P971" cm="1">
        <f t="array" ref="P971">IF(K971=3,"",
  IFERROR(
    INDEX('Fairway Log'!$E$2:$V$70,
      MATCH(1,
        ('Fairway Log'!$A$2:$A$70=$A971)*
        ('Fairway Log'!$B$2:$B$70=$B971)*
        ('Fairway Log'!$C$2:$C1042=$C971),
      0),
      MATCH($G971,'Fairway Log'!$E$1:$V$1,0)
    ),
  "")
)</f>
        <v>1</v>
      </c>
      <c r="Q971" cm="1">
        <f t="array" ref="Q971">IFERROR(
  INDEX('GIR Log'!$E$2:$V$70,
    MATCH(1,
      ('GIR Log'!$A$2:$A$70=$A971)*
      ('GIR Log'!$B$2:$B$70=$B971)*
      ('GIR Log'!$C$2:$C$70=$C971),
    0),
    MATCH($G971,'GIR Log'!$E$1:$V$1,0)
  ),
"")</f>
        <v>1</v>
      </c>
    </row>
    <row r="972" spans="1:17" x14ac:dyDescent="0.25">
      <c r="A972" s="51" t="s">
        <v>130</v>
      </c>
      <c r="B972" s="2">
        <v>45829</v>
      </c>
      <c r="C972" t="s">
        <v>6</v>
      </c>
      <c r="D972" s="51" t="s">
        <v>75</v>
      </c>
      <c r="E972" s="51" t="s">
        <v>36</v>
      </c>
      <c r="F972">
        <v>83</v>
      </c>
      <c r="G972" t="s">
        <v>63</v>
      </c>
      <c r="H972" s="9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Log'!$E$2:$V$70,
    MATCH(1,
      ('Golf Log'!$A$2:$A$70=$A972)*
      ('Golf Log'!$B$2:$B$70=$B972)*
      ('Golf Log'!$C$2:$C$70=$C972),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Log'!$E$2:$V$70,
    MATCH(1,
      ('Putt Log'!$A$2:$A$70=$A972)*
      ('Putt Log'!$B$2:$B$70=$B972)*
      ('Putt Log'!$C$2:$C$70=$C972),
    0),
    MATCH($G972,'Putt Log'!$E$1:$V$1,0)
  ),
"")</f>
        <v>2</v>
      </c>
      <c r="P972" t="str" cm="1">
        <f t="array" ref="P972">IF(K972=3,"",
  IFERROR(
    INDEX('Fairway Log'!$E$2:$V$70,
      MATCH(1,
        ('Fairway Log'!$A$2:$A$70=$A972)*
        ('Fairway Log'!$B$2:$B$70=$B972)*
        ('Fairway Log'!$C$2:$C1043=$C972),
      0),
      MATCH($G972,'Fairway Log'!$E$1:$V$1,0)
    ),
  "")
)</f>
        <v>←</v>
      </c>
      <c r="Q972" cm="1">
        <f t="array" ref="Q972">IFERROR(
  INDEX('GIR Log'!$E$2:$V$70,
    MATCH(1,
      ('GIR Log'!$A$2:$A$70=$A972)*
      ('GIR Log'!$B$2:$B$70=$B972)*
      ('GIR Log'!$C$2:$C$70=$C972),
    0),
    MATCH($G972,'GIR Log'!$E$1:$V$1,0)
  ),
"")</f>
        <v>1</v>
      </c>
    </row>
    <row r="973" spans="1:17" x14ac:dyDescent="0.25">
      <c r="A973" s="51" t="s">
        <v>130</v>
      </c>
      <c r="B973" s="2">
        <v>45829</v>
      </c>
      <c r="C973" t="s">
        <v>6</v>
      </c>
      <c r="D973" s="51" t="s">
        <v>75</v>
      </c>
      <c r="E973" s="51" t="s">
        <v>36</v>
      </c>
      <c r="F973">
        <v>83</v>
      </c>
      <c r="G973" t="s">
        <v>64</v>
      </c>
      <c r="H973" s="9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Log'!$E$2:$V$70,
    MATCH(1,
      ('Golf Log'!$A$2:$A$70=$A973)*
      ('Golf Log'!$B$2:$B$70=$B973)*
      ('Golf Log'!$C$2:$C$70=$C973),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Log'!$E$2:$V$70,
    MATCH(1,
      ('Putt Log'!$A$2:$A$70=$A973)*
      ('Putt Log'!$B$2:$B$70=$B973)*
      ('Putt Log'!$C$2:$C$70=$C973),
    0),
    MATCH($G973,'Putt Log'!$E$1:$V$1,0)
  ),
"")</f>
        <v>2</v>
      </c>
      <c r="P973" t="str" cm="1">
        <f t="array" ref="P973">IF(K973=3,"",
  IFERROR(
    INDEX('Fairway Log'!$E$2:$V$70,
      MATCH(1,
        ('Fairway Log'!$A$2:$A$70=$A973)*
        ('Fairway Log'!$B$2:$B$70=$B973)*
        ('Fairway Log'!$C$2:$C1044=$C973),
      0),
      MATCH($G973,'Fairway Log'!$E$1:$V$1,0)
    ),
  "")
)</f>
        <v>←</v>
      </c>
      <c r="Q973" t="str" cm="1">
        <f t="array" ref="Q973">IFERROR(
  INDEX('GIR Log'!$E$2:$V$70,
    MATCH(1,
      ('GIR Log'!$A$2:$A$70=$A973)*
      ('GIR Log'!$B$2:$B$70=$B973)*
      ('GIR Log'!$C$2:$C$70=$C973),
    0),
    MATCH($G973,'GIR Log'!$E$1:$V$1,0)
  ),
"")</f>
        <v>↓</v>
      </c>
    </row>
    <row r="974" spans="1:17" x14ac:dyDescent="0.25">
      <c r="A974" s="51" t="s">
        <v>130</v>
      </c>
      <c r="B974" s="2">
        <v>45857</v>
      </c>
      <c r="C974" t="s">
        <v>3</v>
      </c>
      <c r="D974" s="51" t="s">
        <v>3</v>
      </c>
      <c r="E974" s="51" t="s">
        <v>36</v>
      </c>
      <c r="F974">
        <v>84</v>
      </c>
      <c r="G974" s="12" t="s">
        <v>47</v>
      </c>
      <c r="H974" s="9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Log'!$E$2:$V$70,
    MATCH(1,
      ('Golf Log'!$A$2:$A$70=$A974)*
      ('Golf Log'!$B$2:$B$70=$B974)*
      ('Golf Log'!$C$2:$C$70=$C974),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Log'!$E$2:$V$70,
    MATCH(1,
      ('Putt Log'!$A$2:$A$70=$A974)*
      ('Putt Log'!$B$2:$B$70=$B974)*
      ('Putt Log'!$C$2:$C$70=$C974),
    0),
    MATCH($G974,'Putt Log'!$E$1:$V$1,0)
  ),
"")</f>
        <v>2</v>
      </c>
      <c r="P974" cm="1">
        <f t="array" ref="P974">IF(K974=3,"",
  IFERROR(
    INDEX('Fairway Log'!$E$2:$V$70,
      MATCH(1,
        ('Fairway Log'!$A$2:$A$70=$A974)*
        ('Fairway Log'!$B$2:$B$70=$B974)*
        ('Fairway Log'!$C$2:$C1045=$C974),
      0),
      MATCH($G974,'Fairway Log'!$E$1:$V$1,0)
    ),
  "")
)</f>
        <v>1</v>
      </c>
      <c r="Q974" cm="1">
        <f t="array" ref="Q974">IFERROR(
  INDEX('GIR Log'!$E$2:$V$70,
    MATCH(1,
      ('GIR Log'!$A$2:$A$70=$A974)*
      ('GIR Log'!$B$2:$B$70=$B974)*
      ('GIR Log'!$C$2:$C$70=$C974),
    0),
    MATCH($G974,'GIR Log'!$E$1:$V$1,0)
  ),
"")</f>
        <v>1</v>
      </c>
    </row>
    <row r="975" spans="1:17" x14ac:dyDescent="0.25">
      <c r="A975" s="51" t="s">
        <v>130</v>
      </c>
      <c r="B975" s="2">
        <v>45857</v>
      </c>
      <c r="C975" t="s">
        <v>3</v>
      </c>
      <c r="D975" s="51" t="s">
        <v>3</v>
      </c>
      <c r="E975" s="51" t="s">
        <v>36</v>
      </c>
      <c r="F975">
        <v>84</v>
      </c>
      <c r="G975" s="12" t="s">
        <v>48</v>
      </c>
      <c r="H975" s="9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Log'!$E$2:$V$70,
    MATCH(1,
      ('Golf Log'!$A$2:$A$70=$A975)*
      ('Golf Log'!$B$2:$B$70=$B975)*
      ('Golf Log'!$C$2:$C$70=$C975),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Log'!$E$2:$V$70,
    MATCH(1,
      ('Putt Log'!$A$2:$A$70=$A975)*
      ('Putt Log'!$B$2:$B$70=$B975)*
      ('Putt Log'!$C$2:$C$70=$C975),
    0),
    MATCH($G975,'Putt Log'!$E$1:$V$1,0)
  ),
"")</f>
        <v>2</v>
      </c>
      <c r="P975" t="str" cm="1">
        <f t="array" ref="P975">IF(K975=3,"",
  IFERROR(
    INDEX('Fairway Log'!$E$2:$V$70,
      MATCH(1,
        ('Fairway Log'!$A$2:$A$70=$A975)*
        ('Fairway Log'!$B$2:$B$70=$B975)*
        ('Fairway Log'!$C$2:$C1046=$C975),
      0),
      MATCH($G975,'Fairway Log'!$E$1:$V$1,0)
    ),
  "")
)</f>
        <v>↓</v>
      </c>
      <c r="Q975" t="str" cm="1">
        <f t="array" ref="Q975">IFERROR(
  INDEX('GIR Log'!$E$2:$V$70,
    MATCH(1,
      ('GIR Log'!$A$2:$A$70=$A975)*
      ('GIR Log'!$B$2:$B$70=$B975)*
      ('GIR Log'!$C$2:$C$70=$C975),
    0),
    MATCH($G975,'GIR Log'!$E$1:$V$1,0)
  ),
"")</f>
        <v>↓</v>
      </c>
    </row>
    <row r="976" spans="1:17" x14ac:dyDescent="0.25">
      <c r="A976" s="51" t="s">
        <v>130</v>
      </c>
      <c r="B976" s="2">
        <v>45857</v>
      </c>
      <c r="C976" t="s">
        <v>3</v>
      </c>
      <c r="D976" s="51" t="s">
        <v>3</v>
      </c>
      <c r="E976" s="51" t="s">
        <v>36</v>
      </c>
      <c r="F976">
        <v>84</v>
      </c>
      <c r="G976" s="12" t="s">
        <v>49</v>
      </c>
      <c r="H976" s="9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Log'!$E$2:$V$70,
    MATCH(1,
      ('Golf Log'!$A$2:$A$70=$A976)*
      ('Golf Log'!$B$2:$B$70=$B976)*
      ('Golf Log'!$C$2:$C$70=$C976),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Log'!$E$2:$V$70,
    MATCH(1,
      ('Putt Log'!$A$2:$A$70=$A976)*
      ('Putt Log'!$B$2:$B$70=$B976)*
      ('Putt Log'!$C$2:$C$70=$C976),
    0),
    MATCH($G976,'Putt Log'!$E$1:$V$1,0)
  ),
"")</f>
        <v>2</v>
      </c>
      <c r="P976" t="str" cm="1">
        <f t="array" ref="P976">IF(K976=3,"",
  IFERROR(
    INDEX('Fairway Log'!$E$2:$V$70,
      MATCH(1,
        ('Fairway Log'!$A$2:$A$70=$A976)*
        ('Fairway Log'!$B$2:$B$70=$B976)*
        ('Fairway Log'!$C$2:$C1047=$C976),
      0),
      MATCH($G976,'Fairway Log'!$E$1:$V$1,0)
    ),
  "")
)</f>
        <v/>
      </c>
      <c r="Q976" t="str" cm="1">
        <f t="array" ref="Q976">IFERROR(
  INDEX('GIR Log'!$E$2:$V$70,
    MATCH(1,
      ('GIR Log'!$A$2:$A$70=$A976)*
      ('GIR Log'!$B$2:$B$70=$B976)*
      ('GIR Log'!$C$2:$C$70=$C976),
    0),
    MATCH($G976,'GIR Log'!$E$1:$V$1,0)
  ),
"")</f>
        <v>↑</v>
      </c>
    </row>
    <row r="977" spans="1:17" x14ac:dyDescent="0.25">
      <c r="A977" s="51" t="s">
        <v>130</v>
      </c>
      <c r="B977" s="2">
        <v>45857</v>
      </c>
      <c r="C977" t="s">
        <v>3</v>
      </c>
      <c r="D977" s="51" t="s">
        <v>3</v>
      </c>
      <c r="E977" s="51" t="s">
        <v>36</v>
      </c>
      <c r="F977">
        <v>84</v>
      </c>
      <c r="G977" s="12" t="s">
        <v>50</v>
      </c>
      <c r="H977" s="9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Log'!$E$2:$V$70,
    MATCH(1,
      ('Golf Log'!$A$2:$A$70=$A977)*
      ('Golf Log'!$B$2:$B$70=$B977)*
      ('Golf Log'!$C$2:$C$70=$C977),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Log'!$E$2:$V$70,
    MATCH(1,
      ('Putt Log'!$A$2:$A$70=$A977)*
      ('Putt Log'!$B$2:$B$70=$B977)*
      ('Putt Log'!$C$2:$C$70=$C977),
    0),
    MATCH($G977,'Putt Log'!$E$1:$V$1,0)
  ),
"")</f>
        <v>2</v>
      </c>
      <c r="P977" cm="1">
        <f t="array" ref="P977">IF(K977=3,"",
  IFERROR(
    INDEX('Fairway Log'!$E$2:$V$70,
      MATCH(1,
        ('Fairway Log'!$A$2:$A$70=$A977)*
        ('Fairway Log'!$B$2:$B$70=$B977)*
        ('Fairway Log'!$C$2:$C1048=$C977),
      0),
      MATCH($G977,'Fairway Log'!$E$1:$V$1,0)
    ),
  "")
)</f>
        <v>1</v>
      </c>
      <c r="Q977" t="str" cm="1">
        <f t="array" ref="Q977">IFERROR(
  INDEX('GIR Log'!$E$2:$V$70,
    MATCH(1,
      ('GIR Log'!$A$2:$A$70=$A977)*
      ('GIR Log'!$B$2:$B$70=$B977)*
      ('GIR Log'!$C$2:$C$70=$C977),
    0),
    MATCH($G977,'GIR Log'!$E$1:$V$1,0)
  ),
"")</f>
        <v>↑</v>
      </c>
    </row>
    <row r="978" spans="1:17" x14ac:dyDescent="0.25">
      <c r="A978" s="51" t="s">
        <v>130</v>
      </c>
      <c r="B978" s="2">
        <v>45857</v>
      </c>
      <c r="C978" t="s">
        <v>3</v>
      </c>
      <c r="D978" s="51" t="s">
        <v>3</v>
      </c>
      <c r="E978" s="51" t="s">
        <v>36</v>
      </c>
      <c r="F978">
        <v>84</v>
      </c>
      <c r="G978" s="12" t="s">
        <v>51</v>
      </c>
      <c r="H978" s="9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Log'!$E$2:$V$70,
    MATCH(1,
      ('Golf Log'!$A$2:$A$70=$A978)*
      ('Golf Log'!$B$2:$B$70=$B978)*
      ('Golf Log'!$C$2:$C$70=$C978),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Log'!$E$2:$V$70,
    MATCH(1,
      ('Putt Log'!$A$2:$A$70=$A978)*
      ('Putt Log'!$B$2:$B$70=$B978)*
      ('Putt Log'!$C$2:$C$70=$C978),
    0),
    MATCH($G978,'Putt Log'!$E$1:$V$1,0)
  ),
"")</f>
        <v>2</v>
      </c>
      <c r="P978" t="str" cm="1">
        <f t="array" ref="P978">IF(K978=3,"",
  IFERROR(
    INDEX('Fairway Log'!$E$2:$V$70,
      MATCH(1,
        ('Fairway Log'!$A$2:$A$70=$A978)*
        ('Fairway Log'!$B$2:$B$70=$B978)*
        ('Fairway Log'!$C$2:$C1049=$C978),
      0),
      MATCH($G978,'Fairway Log'!$E$1:$V$1,0)
    ),
  "")
)</f>
        <v>↓</v>
      </c>
      <c r="Q978" t="str" cm="1">
        <f t="array" ref="Q978">IFERROR(
  INDEX('GIR Log'!$E$2:$V$70,
    MATCH(1,
      ('GIR Log'!$A$2:$A$70=$A978)*
      ('GIR Log'!$B$2:$B$70=$B978)*
      ('GIR Log'!$C$2:$C$70=$C978),
    0),
    MATCH($G978,'GIR Log'!$E$1:$V$1,0)
  ),
"")</f>
        <v>↓</v>
      </c>
    </row>
    <row r="979" spans="1:17" x14ac:dyDescent="0.25">
      <c r="A979" s="51" t="s">
        <v>130</v>
      </c>
      <c r="B979" s="2">
        <v>45857</v>
      </c>
      <c r="C979" t="s">
        <v>3</v>
      </c>
      <c r="D979" s="51" t="s">
        <v>3</v>
      </c>
      <c r="E979" s="51" t="s">
        <v>36</v>
      </c>
      <c r="F979">
        <v>84</v>
      </c>
      <c r="G979" s="12" t="s">
        <v>52</v>
      </c>
      <c r="H979" s="9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Log'!$E$2:$V$70,
    MATCH(1,
      ('Golf Log'!$A$2:$A$70=$A979)*
      ('Golf Log'!$B$2:$B$70=$B979)*
      ('Golf Log'!$C$2:$C$70=$C979),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Log'!$E$2:$V$70,
    MATCH(1,
      ('Putt Log'!$A$2:$A$70=$A979)*
      ('Putt Log'!$B$2:$B$70=$B979)*
      ('Putt Log'!$C$2:$C$70=$C979),
    0),
    MATCH($G979,'Putt Log'!$E$1:$V$1,0)
  ),
"")</f>
        <v>2</v>
      </c>
      <c r="P979" t="str" cm="1">
        <f t="array" ref="P979">IF(K979=3,"",
  IFERROR(
    INDEX('Fairway Log'!$E$2:$V$70,
      MATCH(1,
        ('Fairway Log'!$A$2:$A$70=$A979)*
        ('Fairway Log'!$B$2:$B$70=$B979)*
        ('Fairway Log'!$C$2:$C1050=$C979),
      0),
      MATCH($G979,'Fairway Log'!$E$1:$V$1,0)
    ),
  "")
)</f>
        <v/>
      </c>
      <c r="Q979" t="str" cm="1">
        <f t="array" ref="Q979">IFERROR(
  INDEX('GIR Log'!$E$2:$V$70,
    MATCH(1,
      ('GIR Log'!$A$2:$A$70=$A979)*
      ('GIR Log'!$B$2:$B$70=$B979)*
      ('GIR Log'!$C$2:$C$70=$C979),
    0),
    MATCH($G979,'GIR Log'!$E$1:$V$1,0)
  ),
"")</f>
        <v>←</v>
      </c>
    </row>
    <row r="980" spans="1:17" x14ac:dyDescent="0.25">
      <c r="A980" s="51" t="s">
        <v>130</v>
      </c>
      <c r="B980" s="2">
        <v>45857</v>
      </c>
      <c r="C980" t="s">
        <v>3</v>
      </c>
      <c r="D980" s="51" t="s">
        <v>3</v>
      </c>
      <c r="E980" s="51" t="s">
        <v>36</v>
      </c>
      <c r="F980">
        <v>84</v>
      </c>
      <c r="G980" s="12" t="s">
        <v>53</v>
      </c>
      <c r="H980" s="9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Log'!$E$2:$V$70,
    MATCH(1,
      ('Golf Log'!$A$2:$A$70=$A980)*
      ('Golf Log'!$B$2:$B$70=$B980)*
      ('Golf Log'!$C$2:$C$70=$C980),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Log'!$E$2:$V$70,
    MATCH(1,
      ('Putt Log'!$A$2:$A$70=$A980)*
      ('Putt Log'!$B$2:$B$70=$B980)*
      ('Putt Log'!$C$2:$C$70=$C980),
    0),
    MATCH($G980,'Putt Log'!$E$1:$V$1,0)
  ),
"")</f>
        <v>2</v>
      </c>
      <c r="P980" t="str" cm="1">
        <f t="array" ref="P980">IF(K980=3,"",
  IFERROR(
    INDEX('Fairway Log'!$E$2:$V$70,
      MATCH(1,
        ('Fairway Log'!$A$2:$A$70=$A980)*
        ('Fairway Log'!$B$2:$B$70=$B980)*
        ('Fairway Log'!$C$2:$C1051=$C980),
      0),
      MATCH($G980,'Fairway Log'!$E$1:$V$1,0)
    ),
  "")
)</f>
        <v>→</v>
      </c>
      <c r="Q980" cm="1">
        <f t="array" ref="Q980">IFERROR(
  INDEX('GIR Log'!$E$2:$V$70,
    MATCH(1,
      ('GIR Log'!$A$2:$A$70=$A980)*
      ('GIR Log'!$B$2:$B$70=$B980)*
      ('GIR Log'!$C$2:$C$70=$C980),
    0),
    MATCH($G980,'GIR Log'!$E$1:$V$1,0)
  ),
"")</f>
        <v>1</v>
      </c>
    </row>
    <row r="981" spans="1:17" x14ac:dyDescent="0.25">
      <c r="A981" s="51" t="s">
        <v>130</v>
      </c>
      <c r="B981" s="2">
        <v>45857</v>
      </c>
      <c r="C981" t="s">
        <v>3</v>
      </c>
      <c r="D981" s="51" t="s">
        <v>3</v>
      </c>
      <c r="E981" s="51" t="s">
        <v>36</v>
      </c>
      <c r="F981">
        <v>84</v>
      </c>
      <c r="G981" s="12" t="s">
        <v>54</v>
      </c>
      <c r="H981" s="9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Log'!$E$2:$V$70,
    MATCH(1,
      ('Golf Log'!$A$2:$A$70=$A981)*
      ('Golf Log'!$B$2:$B$70=$B981)*
      ('Golf Log'!$C$2:$C$70=$C981),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Log'!$E$2:$V$70,
    MATCH(1,
      ('Putt Log'!$A$2:$A$70=$A981)*
      ('Putt Log'!$B$2:$B$70=$B981)*
      ('Putt Log'!$C$2:$C$70=$C981),
    0),
    MATCH($G981,'Putt Log'!$E$1:$V$1,0)
  ),
"")</f>
        <v>1</v>
      </c>
      <c r="P981" t="str" cm="1">
        <f t="array" ref="P981">IF(K981=3,"",
  IFERROR(
    INDEX('Fairway Log'!$E$2:$V$70,
      MATCH(1,
        ('Fairway Log'!$A$2:$A$70=$A981)*
        ('Fairway Log'!$B$2:$B$70=$B981)*
        ('Fairway Log'!$C$2:$C1052=$C981),
      0),
      MATCH($G981,'Fairway Log'!$E$1:$V$1,0)
    ),
  "")
)</f>
        <v>←</v>
      </c>
      <c r="Q981" cm="1">
        <f t="array" ref="Q981">IFERROR(
  INDEX('GIR Log'!$E$2:$V$70,
    MATCH(1,
      ('GIR Log'!$A$2:$A$70=$A981)*
      ('GIR Log'!$B$2:$B$70=$B981)*
      ('GIR Log'!$C$2:$C$70=$C981),
    0),
    MATCH($G981,'GIR Log'!$E$1:$V$1,0)
  ),
"")</f>
        <v>1</v>
      </c>
    </row>
    <row r="982" spans="1:17" x14ac:dyDescent="0.25">
      <c r="A982" s="51" t="s">
        <v>130</v>
      </c>
      <c r="B982" s="2">
        <v>45857</v>
      </c>
      <c r="C982" t="s">
        <v>3</v>
      </c>
      <c r="D982" s="51" t="s">
        <v>3</v>
      </c>
      <c r="E982" s="51" t="s">
        <v>36</v>
      </c>
      <c r="F982">
        <v>84</v>
      </c>
      <c r="G982" s="12" t="s">
        <v>55</v>
      </c>
      <c r="H982" s="9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Log'!$E$2:$V$70,
    MATCH(1,
      ('Golf Log'!$A$2:$A$70=$A982)*
      ('Golf Log'!$B$2:$B$70=$B982)*
      ('Golf Log'!$C$2:$C$70=$C982),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Log'!$E$2:$V$70,
    MATCH(1,
      ('Putt Log'!$A$2:$A$70=$A982)*
      ('Putt Log'!$B$2:$B$70=$B982)*
      ('Putt Log'!$C$2:$C$70=$C982),
    0),
    MATCH($G982,'Putt Log'!$E$1:$V$1,0)
  ),
"")</f>
        <v>2</v>
      </c>
      <c r="P982" t="str" cm="1">
        <f t="array" ref="P982">IF(K982=3,"",
  IFERROR(
    INDEX('Fairway Log'!$E$2:$V$70,
      MATCH(1,
        ('Fairway Log'!$A$2:$A$70=$A982)*
        ('Fairway Log'!$B$2:$B$70=$B982)*
        ('Fairway Log'!$C$2:$C1053=$C982),
      0),
      MATCH($G982,'Fairway Log'!$E$1:$V$1,0)
    ),
  "")
)</f>
        <v>←</v>
      </c>
      <c r="Q982" t="str" cm="1">
        <f t="array" ref="Q982">IFERROR(
  INDEX('GIR Log'!$E$2:$V$70,
    MATCH(1,
      ('GIR Log'!$A$2:$A$70=$A982)*
      ('GIR Log'!$B$2:$B$70=$B982)*
      ('GIR Log'!$C$2:$C$70=$C982),
    0),
    MATCH($G982,'GIR Log'!$E$1:$V$1,0)
  ),
"")</f>
        <v>↓</v>
      </c>
    </row>
    <row r="983" spans="1:17" x14ac:dyDescent="0.25">
      <c r="A983" s="51" t="s">
        <v>130</v>
      </c>
      <c r="B983" s="2">
        <v>45857</v>
      </c>
      <c r="C983" t="s">
        <v>3</v>
      </c>
      <c r="D983" s="51" t="s">
        <v>3</v>
      </c>
      <c r="E983" s="51" t="s">
        <v>36</v>
      </c>
      <c r="F983">
        <v>84</v>
      </c>
      <c r="G983" s="12" t="s">
        <v>56</v>
      </c>
      <c r="H983" s="9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Log'!$E$2:$V$70,
    MATCH(1,
      ('Golf Log'!$A$2:$A$70=$A983)*
      ('Golf Log'!$B$2:$B$70=$B983)*
      ('Golf Log'!$C$2:$C$70=$C983),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Log'!$E$2:$V$70,
    MATCH(1,
      ('Putt Log'!$A$2:$A$70=$A983)*
      ('Putt Log'!$B$2:$B$70=$B983)*
      ('Putt Log'!$C$2:$C$70=$C983),
    0),
    MATCH($G983,'Putt Log'!$E$1:$V$1,0)
  ),
"")</f>
        <v>2</v>
      </c>
      <c r="P983" t="str" cm="1">
        <f t="array" ref="P983">IF(K983=3,"",
  IFERROR(
    INDEX('Fairway Log'!$E$2:$V$70,
      MATCH(1,
        ('Fairway Log'!$A$2:$A$70=$A983)*
        ('Fairway Log'!$B$2:$B$70=$B983)*
        ('Fairway Log'!$C$2:$C1054=$C983),
      0),
      MATCH($G983,'Fairway Log'!$E$1:$V$1,0)
    ),
  "")
)</f>
        <v>←</v>
      </c>
      <c r="Q983" t="str" cm="1">
        <f t="array" ref="Q983">IFERROR(
  INDEX('GIR Log'!$E$2:$V$70,
    MATCH(1,
      ('GIR Log'!$A$2:$A$70=$A983)*
      ('GIR Log'!$B$2:$B$70=$B983)*
      ('GIR Log'!$C$2:$C$70=$C983),
    0),
    MATCH($G983,'GIR Log'!$E$1:$V$1,0)
  ),
"")</f>
        <v>↓</v>
      </c>
    </row>
    <row r="984" spans="1:17" x14ac:dyDescent="0.25">
      <c r="A984" s="51" t="s">
        <v>130</v>
      </c>
      <c r="B984" s="2">
        <v>45857</v>
      </c>
      <c r="C984" t="s">
        <v>3</v>
      </c>
      <c r="D984" s="51" t="s">
        <v>3</v>
      </c>
      <c r="E984" s="51" t="s">
        <v>36</v>
      </c>
      <c r="F984">
        <v>84</v>
      </c>
      <c r="G984" s="12" t="s">
        <v>57</v>
      </c>
      <c r="H984" s="9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Log'!$E$2:$V$70,
    MATCH(1,
      ('Golf Log'!$A$2:$A$70=$A984)*
      ('Golf Log'!$B$2:$B$70=$B984)*
      ('Golf Log'!$C$2:$C$70=$C984),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Log'!$E$2:$V$70,
    MATCH(1,
      ('Putt Log'!$A$2:$A$70=$A984)*
      ('Putt Log'!$B$2:$B$70=$B984)*
      ('Putt Log'!$C$2:$C$70=$C984),
    0),
    MATCH($G984,'Putt Log'!$E$1:$V$1,0)
  ),
"")</f>
        <v>2</v>
      </c>
      <c r="P984" t="str" cm="1">
        <f t="array" ref="P984">IF(K984=3,"",
  IFERROR(
    INDEX('Fairway Log'!$E$2:$V$70,
      MATCH(1,
        ('Fairway Log'!$A$2:$A$70=$A984)*
        ('Fairway Log'!$B$2:$B$70=$B984)*
        ('Fairway Log'!$C$2:$C1055=$C984),
      0),
      MATCH($G984,'Fairway Log'!$E$1:$V$1,0)
    ),
  "")
)</f>
        <v/>
      </c>
      <c r="Q984" cm="1">
        <f t="array" ref="Q984">IFERROR(
  INDEX('GIR Log'!$E$2:$V$70,
    MATCH(1,
      ('GIR Log'!$A$2:$A$70=$A984)*
      ('GIR Log'!$B$2:$B$70=$B984)*
      ('GIR Log'!$C$2:$C$70=$C984),
    0),
    MATCH($G984,'GIR Log'!$E$1:$V$1,0)
  ),
"")</f>
        <v>1</v>
      </c>
    </row>
    <row r="985" spans="1:17" x14ac:dyDescent="0.25">
      <c r="A985" s="51" t="s">
        <v>130</v>
      </c>
      <c r="B985" s="2">
        <v>45857</v>
      </c>
      <c r="C985" t="s">
        <v>3</v>
      </c>
      <c r="D985" s="51" t="s">
        <v>3</v>
      </c>
      <c r="E985" s="51" t="s">
        <v>36</v>
      </c>
      <c r="F985">
        <v>84</v>
      </c>
      <c r="G985" s="12" t="s">
        <v>58</v>
      </c>
      <c r="H985" s="9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Log'!$E$2:$V$70,
    MATCH(1,
      ('Golf Log'!$A$2:$A$70=$A985)*
      ('Golf Log'!$B$2:$B$70=$B985)*
      ('Golf Log'!$C$2:$C$70=$C985),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Log'!$E$2:$V$70,
    MATCH(1,
      ('Putt Log'!$A$2:$A$70=$A985)*
      ('Putt Log'!$B$2:$B$70=$B985)*
      ('Putt Log'!$C$2:$C$70=$C985),
    0),
    MATCH($G985,'Putt Log'!$E$1:$V$1,0)
  ),
"")</f>
        <v>2</v>
      </c>
      <c r="P985" cm="1">
        <f t="array" ref="P985">IF(K985=3,"",
  IFERROR(
    INDEX('Fairway Log'!$E$2:$V$70,
      MATCH(1,
        ('Fairway Log'!$A$2:$A$70=$A985)*
        ('Fairway Log'!$B$2:$B$70=$B985)*
        ('Fairway Log'!$C$2:$C1056=$C985),
      0),
      MATCH($G985,'Fairway Log'!$E$1:$V$1,0)
    ),
  "")
)</f>
        <v>1</v>
      </c>
      <c r="Q985" cm="1">
        <f t="array" ref="Q985">IFERROR(
  INDEX('GIR Log'!$E$2:$V$70,
    MATCH(1,
      ('GIR Log'!$A$2:$A$70=$A985)*
      ('GIR Log'!$B$2:$B$70=$B985)*
      ('GIR Log'!$C$2:$C$70=$C985),
    0),
    MATCH($G985,'GIR Log'!$E$1:$V$1,0)
  ),
"")</f>
        <v>1</v>
      </c>
    </row>
    <row r="986" spans="1:17" x14ac:dyDescent="0.25">
      <c r="A986" s="51" t="s">
        <v>130</v>
      </c>
      <c r="B986" s="2">
        <v>45857</v>
      </c>
      <c r="C986" t="s">
        <v>3</v>
      </c>
      <c r="D986" s="51" t="s">
        <v>3</v>
      </c>
      <c r="E986" s="51" t="s">
        <v>36</v>
      </c>
      <c r="F986">
        <v>84</v>
      </c>
      <c r="G986" s="12" t="s">
        <v>59</v>
      </c>
      <c r="H986" s="9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Log'!$E$2:$V$70,
    MATCH(1,
      ('Golf Log'!$A$2:$A$70=$A986)*
      ('Golf Log'!$B$2:$B$70=$B986)*
      ('Golf Log'!$C$2:$C$70=$C986),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Log'!$E$2:$V$70,
    MATCH(1,
      ('Putt Log'!$A$2:$A$70=$A986)*
      ('Putt Log'!$B$2:$B$70=$B986)*
      ('Putt Log'!$C$2:$C$70=$C986),
    0),
    MATCH($G986,'Putt Log'!$E$1:$V$1,0)
  ),
"")</f>
        <v>2</v>
      </c>
      <c r="P986" cm="1">
        <f t="array" ref="P986">IF(K986=3,"",
  IFERROR(
    INDEX('Fairway Log'!$E$2:$V$70,
      MATCH(1,
        ('Fairway Log'!$A$2:$A$70=$A986)*
        ('Fairway Log'!$B$2:$B$70=$B986)*
        ('Fairway Log'!$C$2:$C1057=$C986),
      0),
      MATCH($G986,'Fairway Log'!$E$1:$V$1,0)
    ),
  "")
)</f>
        <v>1</v>
      </c>
      <c r="Q986" cm="1">
        <f t="array" ref="Q986">IFERROR(
  INDEX('GIR Log'!$E$2:$V$70,
    MATCH(1,
      ('GIR Log'!$A$2:$A$70=$A986)*
      ('GIR Log'!$B$2:$B$70=$B986)*
      ('GIR Log'!$C$2:$C$70=$C986),
    0),
    MATCH($G986,'GIR Log'!$E$1:$V$1,0)
  ),
"")</f>
        <v>1</v>
      </c>
    </row>
    <row r="987" spans="1:17" x14ac:dyDescent="0.25">
      <c r="A987" s="51" t="s">
        <v>130</v>
      </c>
      <c r="B987" s="2">
        <v>45857</v>
      </c>
      <c r="C987" t="s">
        <v>3</v>
      </c>
      <c r="D987" s="51" t="s">
        <v>3</v>
      </c>
      <c r="E987" s="51" t="s">
        <v>36</v>
      </c>
      <c r="F987">
        <v>84</v>
      </c>
      <c r="G987" s="12" t="s">
        <v>60</v>
      </c>
      <c r="H987" s="9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Log'!$E$2:$V$70,
    MATCH(1,
      ('Golf Log'!$A$2:$A$70=$A987)*
      ('Golf Log'!$B$2:$B$70=$B987)*
      ('Golf Log'!$C$2:$C$70=$C987),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Log'!$E$2:$V$70,
    MATCH(1,
      ('Putt Log'!$A$2:$A$70=$A987)*
      ('Putt Log'!$B$2:$B$70=$B987)*
      ('Putt Log'!$C$2:$C$70=$C987),
    0),
    MATCH($G987,'Putt Log'!$E$1:$V$1,0)
  ),
"")</f>
        <v>2</v>
      </c>
      <c r="P987" t="str" cm="1">
        <f t="array" ref="P987">IF(K987=3,"",
  IFERROR(
    INDEX('Fairway Log'!$E$2:$V$70,
      MATCH(1,
        ('Fairway Log'!$A$2:$A$70=$A987)*
        ('Fairway Log'!$B$2:$B$70=$B987)*
        ('Fairway Log'!$C$2:$C1058=$C987),
      0),
      MATCH($G987,'Fairway Log'!$E$1:$V$1,0)
    ),
  "")
)</f>
        <v>←</v>
      </c>
      <c r="Q987" cm="1">
        <f t="array" ref="Q987">IFERROR(
  INDEX('GIR Log'!$E$2:$V$70,
    MATCH(1,
      ('GIR Log'!$A$2:$A$70=$A987)*
      ('GIR Log'!$B$2:$B$70=$B987)*
      ('GIR Log'!$C$2:$C$70=$C987),
    0),
    MATCH($G987,'GIR Log'!$E$1:$V$1,0)
  ),
"")</f>
        <v>1</v>
      </c>
    </row>
    <row r="988" spans="1:17" x14ac:dyDescent="0.25">
      <c r="A988" s="51" t="s">
        <v>130</v>
      </c>
      <c r="B988" s="2">
        <v>45857</v>
      </c>
      <c r="C988" t="s">
        <v>3</v>
      </c>
      <c r="D988" s="51" t="s">
        <v>3</v>
      </c>
      <c r="E988" s="51" t="s">
        <v>36</v>
      </c>
      <c r="F988">
        <v>84</v>
      </c>
      <c r="G988" s="12" t="s">
        <v>61</v>
      </c>
      <c r="H988" s="9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Log'!$E$2:$V$70,
    MATCH(1,
      ('Golf Log'!$A$2:$A$70=$A988)*
      ('Golf Log'!$B$2:$B$70=$B988)*
      ('Golf Log'!$C$2:$C$70=$C988),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Log'!$E$2:$V$70,
    MATCH(1,
      ('Putt Log'!$A$2:$A$70=$A988)*
      ('Putt Log'!$B$2:$B$70=$B988)*
      ('Putt Log'!$C$2:$C$70=$C988),
    0),
    MATCH($G988,'Putt Log'!$E$1:$V$1,0)
  ),
"")</f>
        <v>2</v>
      </c>
      <c r="P988" t="str" cm="1">
        <f t="array" ref="P988">IF(K988=3,"",
  IFERROR(
    INDEX('Fairway Log'!$E$2:$V$70,
      MATCH(1,
        ('Fairway Log'!$A$2:$A$70=$A988)*
        ('Fairway Log'!$B$2:$B$70=$B988)*
        ('Fairway Log'!$C$2:$C1059=$C988),
      0),
      MATCH($G988,'Fairway Log'!$E$1:$V$1,0)
    ),
  "")
)</f>
        <v/>
      </c>
      <c r="Q988" t="str" cm="1">
        <f t="array" ref="Q988">IFERROR(
  INDEX('GIR Log'!$E$2:$V$70,
    MATCH(1,
      ('GIR Log'!$A$2:$A$70=$A988)*
      ('GIR Log'!$B$2:$B$70=$B988)*
      ('GIR Log'!$C$2:$C$70=$C988),
    0),
    MATCH($G988,'GIR Log'!$E$1:$V$1,0)
  ),
"")</f>
        <v>←</v>
      </c>
    </row>
    <row r="989" spans="1:17" x14ac:dyDescent="0.25">
      <c r="A989" s="51" t="s">
        <v>130</v>
      </c>
      <c r="B989" s="2">
        <v>45857</v>
      </c>
      <c r="C989" t="s">
        <v>3</v>
      </c>
      <c r="D989" s="51" t="s">
        <v>3</v>
      </c>
      <c r="E989" s="51" t="s">
        <v>36</v>
      </c>
      <c r="F989">
        <v>84</v>
      </c>
      <c r="G989" s="12" t="s">
        <v>62</v>
      </c>
      <c r="H989" s="9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Log'!$E$2:$V$70,
    MATCH(1,
      ('Golf Log'!$A$2:$A$70=$A989)*
      ('Golf Log'!$B$2:$B$70=$B989)*
      ('Golf Log'!$C$2:$C$70=$C989),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Log'!$E$2:$V$70,
    MATCH(1,
      ('Putt Log'!$A$2:$A$70=$A989)*
      ('Putt Log'!$B$2:$B$70=$B989)*
      ('Putt Log'!$C$2:$C$70=$C989),
    0),
    MATCH($G989,'Putt Log'!$E$1:$V$1,0)
  ),
"")</f>
        <v>1</v>
      </c>
      <c r="P989" cm="1">
        <f t="array" ref="P989">IF(K989=3,"",
  IFERROR(
    INDEX('Fairway Log'!$E$2:$V$70,
      MATCH(1,
        ('Fairway Log'!$A$2:$A$70=$A989)*
        ('Fairway Log'!$B$2:$B$70=$B989)*
        ('Fairway Log'!$C$2:$C1060=$C989),
      0),
      MATCH($G989,'Fairway Log'!$E$1:$V$1,0)
    ),
  "")
)</f>
        <v>1</v>
      </c>
      <c r="Q989" t="str" cm="1">
        <f t="array" ref="Q989">IFERROR(
  INDEX('GIR Log'!$E$2:$V$70,
    MATCH(1,
      ('GIR Log'!$A$2:$A$70=$A989)*
      ('GIR Log'!$B$2:$B$70=$B989)*
      ('GIR Log'!$C$2:$C$70=$C989),
    0),
    MATCH($G989,'GIR Log'!$E$1:$V$1,0)
  ),
"")</f>
        <v>↓</v>
      </c>
    </row>
    <row r="990" spans="1:17" x14ac:dyDescent="0.25">
      <c r="A990" s="51" t="s">
        <v>130</v>
      </c>
      <c r="B990" s="2">
        <v>45857</v>
      </c>
      <c r="C990" t="s">
        <v>3</v>
      </c>
      <c r="D990" s="51" t="s">
        <v>3</v>
      </c>
      <c r="E990" s="51" t="s">
        <v>36</v>
      </c>
      <c r="F990">
        <v>84</v>
      </c>
      <c r="G990" s="12" t="s">
        <v>63</v>
      </c>
      <c r="H990" s="9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Log'!$E$2:$V$70,
    MATCH(1,
      ('Golf Log'!$A$2:$A$70=$A990)*
      ('Golf Log'!$B$2:$B$70=$B990)*
      ('Golf Log'!$C$2:$C$70=$C990),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Log'!$E$2:$V$70,
    MATCH(1,
      ('Putt Log'!$A$2:$A$70=$A990)*
      ('Putt Log'!$B$2:$B$70=$B990)*
      ('Putt Log'!$C$2:$C$70=$C990),
    0),
    MATCH($G990,'Putt Log'!$E$1:$V$1,0)
  ),
"")</f>
        <v>3</v>
      </c>
      <c r="P990" t="str" cm="1">
        <f t="array" ref="P990">IF(K990=3,"",
  IFERROR(
    INDEX('Fairway Log'!$E$2:$V$70,
      MATCH(1,
        ('Fairway Log'!$A$2:$A$70=$A990)*
        ('Fairway Log'!$B$2:$B$70=$B990)*
        ('Fairway Log'!$C$2:$C1061=$C990),
      0),
      MATCH($G990,'Fairway Log'!$E$1:$V$1,0)
    ),
  "")
)</f>
        <v>↓</v>
      </c>
      <c r="Q990" t="str" cm="1">
        <f t="array" ref="Q990">IFERROR(
  INDEX('GIR Log'!$E$2:$V$70,
    MATCH(1,
      ('GIR Log'!$A$2:$A$70=$A990)*
      ('GIR Log'!$B$2:$B$70=$B990)*
      ('GIR Log'!$C$2:$C$70=$C990),
    0),
    MATCH($G990,'GIR Log'!$E$1:$V$1,0)
  ),
"")</f>
        <v>↓</v>
      </c>
    </row>
    <row r="991" spans="1:17" x14ac:dyDescent="0.25">
      <c r="A991" s="51" t="s">
        <v>130</v>
      </c>
      <c r="B991" s="2">
        <v>45857</v>
      </c>
      <c r="C991" t="s">
        <v>3</v>
      </c>
      <c r="D991" s="51" t="s">
        <v>3</v>
      </c>
      <c r="E991" s="51" t="s">
        <v>36</v>
      </c>
      <c r="F991">
        <v>84</v>
      </c>
      <c r="G991" s="12" t="s">
        <v>64</v>
      </c>
      <c r="H991" s="9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Log'!$E$2:$V$70,
    MATCH(1,
      ('Golf Log'!$A$2:$A$70=$A991)*
      ('Golf Log'!$B$2:$B$70=$B991)*
      ('Golf Log'!$C$2:$C$70=$C991),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Log'!$E$2:$V$70,
    MATCH(1,
      ('Putt Log'!$A$2:$A$70=$A991)*
      ('Putt Log'!$B$2:$B$70=$B991)*
      ('Putt Log'!$C$2:$C$70=$C991),
    0),
    MATCH($G991,'Putt Log'!$E$1:$V$1,0)
  ),
"")</f>
        <v>2</v>
      </c>
      <c r="P991" cm="1">
        <f t="array" ref="P991">IF(K991=3,"",
  IFERROR(
    INDEX('Fairway Log'!$E$2:$V$70,
      MATCH(1,
        ('Fairway Log'!$A$2:$A$70=$A991)*
        ('Fairway Log'!$B$2:$B$70=$B991)*
        ('Fairway Log'!$C$2:$C1062=$C991),
      0),
      MATCH($G991,'Fairway Log'!$E$1:$V$1,0)
    ),
  "")
)</f>
        <v>1</v>
      </c>
      <c r="Q991" cm="1">
        <f t="array" ref="Q991">IFERROR(
  INDEX('GIR Log'!$E$2:$V$70,
    MATCH(1,
      ('GIR Log'!$A$2:$A$70=$A991)*
      ('GIR Log'!$B$2:$B$70=$B991)*
      ('GIR Log'!$C$2:$C$70=$C991),
    0),
    MATCH($G991,'GIR Log'!$E$1:$V$1,0)
  ),
"")</f>
        <v>1</v>
      </c>
    </row>
    <row r="992" spans="1:17" x14ac:dyDescent="0.25">
      <c r="A992" s="51" t="s">
        <v>130</v>
      </c>
      <c r="B992" s="2">
        <v>45844</v>
      </c>
      <c r="C992" t="s">
        <v>3</v>
      </c>
      <c r="D992" s="51" t="s">
        <v>3</v>
      </c>
      <c r="E992" s="51" t="s">
        <v>36</v>
      </c>
      <c r="F992">
        <v>86</v>
      </c>
      <c r="G992" t="s">
        <v>47</v>
      </c>
      <c r="H992" s="9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Log'!$E$2:$V$70,
    MATCH(1,
      ('Golf Log'!$A$2:$A$70=$A992)*
      ('Golf Log'!$B$2:$B$70=$B992)*
      ('Golf Log'!$C$2:$C$70=$C992),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Log'!$E$2:$V$70,
    MATCH(1,
      ('Putt Log'!$A$2:$A$70=$A992)*
      ('Putt Log'!$B$2:$B$70=$B992)*
      ('Putt Log'!$C$2:$C$70=$C992),
    0),
    MATCH($G992,'Putt Log'!$E$1:$V$1,0)
  ),
"")</f>
        <v>2</v>
      </c>
      <c r="P992" cm="1">
        <f t="array" ref="P992">IF(K992=3,"",
  IFERROR(
    INDEX('Fairway Log'!$E$2:$V$70,
      MATCH(1,
        ('Fairway Log'!$A$2:$A$70=$A992)*
        ('Fairway Log'!$B$2:$B$70=$B992)*
        ('Fairway Log'!$C$2:$C1063=$C992),
      0),
      MATCH($G992,'Fairway Log'!$E$1:$V$1,0)
    ),
  "")
)</f>
        <v>1</v>
      </c>
      <c r="Q992" cm="1">
        <f t="array" ref="Q992">IFERROR(
  INDEX('GIR Log'!$E$2:$V$70,
    MATCH(1,
      ('GIR Log'!$A$2:$A$70=$A992)*
      ('GIR Log'!$B$2:$B$70=$B992)*
      ('GIR Log'!$C$2:$C$70=$C992),
    0),
    MATCH($G992,'GIR Log'!$E$1:$V$1,0)
  ),
"")</f>
        <v>1</v>
      </c>
    </row>
    <row r="993" spans="1:17" x14ac:dyDescent="0.25">
      <c r="A993" s="51" t="s">
        <v>130</v>
      </c>
      <c r="B993" s="2">
        <v>45844</v>
      </c>
      <c r="C993" t="s">
        <v>3</v>
      </c>
      <c r="D993" s="51" t="s">
        <v>3</v>
      </c>
      <c r="E993" s="51" t="s">
        <v>36</v>
      </c>
      <c r="F993">
        <v>86</v>
      </c>
      <c r="G993" t="s">
        <v>48</v>
      </c>
      <c r="H993" s="9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Log'!$E$2:$V$70,
    MATCH(1,
      ('Golf Log'!$A$2:$A$70=$A993)*
      ('Golf Log'!$B$2:$B$70=$B993)*
      ('Golf Log'!$C$2:$C$70=$C993),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Log'!$E$2:$V$70,
    MATCH(1,
      ('Putt Log'!$A$2:$A$70=$A993)*
      ('Putt Log'!$B$2:$B$70=$B993)*
      ('Putt Log'!$C$2:$C$70=$C993),
    0),
    MATCH($G993,'Putt Log'!$E$1:$V$1,0)
  ),
"")</f>
        <v>2</v>
      </c>
      <c r="P993" t="str" cm="1">
        <f t="array" ref="P993">IF(K993=3,"",
  IFERROR(
    INDEX('Fairway Log'!$E$2:$V$70,
      MATCH(1,
        ('Fairway Log'!$A$2:$A$70=$A993)*
        ('Fairway Log'!$B$2:$B$70=$B993)*
        ('Fairway Log'!$C$2:$C1064=$C993),
      0),
      MATCH($G993,'Fairway Log'!$E$1:$V$1,0)
    ),
  "")
)</f>
        <v>←</v>
      </c>
      <c r="Q993" t="str" cm="1">
        <f t="array" ref="Q993">IFERROR(
  INDEX('GIR Log'!$E$2:$V$70,
    MATCH(1,
      ('GIR Log'!$A$2:$A$70=$A993)*
      ('GIR Log'!$B$2:$B$70=$B993)*
      ('GIR Log'!$C$2:$C$70=$C993),
    0),
    MATCH($G993,'GIR Log'!$E$1:$V$1,0)
  ),
"")</f>
        <v>←</v>
      </c>
    </row>
    <row r="994" spans="1:17" x14ac:dyDescent="0.25">
      <c r="A994" s="51" t="s">
        <v>130</v>
      </c>
      <c r="B994" s="2">
        <v>45844</v>
      </c>
      <c r="C994" t="s">
        <v>3</v>
      </c>
      <c r="D994" s="51" t="s">
        <v>3</v>
      </c>
      <c r="E994" s="51" t="s">
        <v>36</v>
      </c>
      <c r="F994">
        <v>86</v>
      </c>
      <c r="G994" t="s">
        <v>49</v>
      </c>
      <c r="H994" s="9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Log'!$E$2:$V$70,
    MATCH(1,
      ('Golf Log'!$A$2:$A$70=$A994)*
      ('Golf Log'!$B$2:$B$70=$B994)*
      ('Golf Log'!$C$2:$C$70=$C994),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Log'!$E$2:$V$70,
    MATCH(1,
      ('Putt Log'!$A$2:$A$70=$A994)*
      ('Putt Log'!$B$2:$B$70=$B994)*
      ('Putt Log'!$C$2:$C$70=$C994),
    0),
    MATCH($G994,'Putt Log'!$E$1:$V$1,0)
  ),
"")</f>
        <v>2</v>
      </c>
      <c r="P994" t="str" cm="1">
        <f t="array" ref="P994">IF(K994=3,"",
  IFERROR(
    INDEX('Fairway Log'!$E$2:$V$70,
      MATCH(1,
        ('Fairway Log'!$A$2:$A$70=$A994)*
        ('Fairway Log'!$B$2:$B$70=$B994)*
        ('Fairway Log'!$C$2:$C1065=$C994),
      0),
      MATCH($G994,'Fairway Log'!$E$1:$V$1,0)
    ),
  "")
)</f>
        <v/>
      </c>
      <c r="Q994" t="str" cm="1">
        <f t="array" ref="Q994">IFERROR(
  INDEX('GIR Log'!$E$2:$V$70,
    MATCH(1,
      ('GIR Log'!$A$2:$A$70=$A994)*
      ('GIR Log'!$B$2:$B$70=$B994)*
      ('GIR Log'!$C$2:$C$70=$C994),
    0),
    MATCH($G994,'GIR Log'!$E$1:$V$1,0)
  ),
"")</f>
        <v>→</v>
      </c>
    </row>
    <row r="995" spans="1:17" x14ac:dyDescent="0.25">
      <c r="A995" s="51" t="s">
        <v>130</v>
      </c>
      <c r="B995" s="2">
        <v>45844</v>
      </c>
      <c r="C995" t="s">
        <v>3</v>
      </c>
      <c r="D995" s="51" t="s">
        <v>3</v>
      </c>
      <c r="E995" s="51" t="s">
        <v>36</v>
      </c>
      <c r="F995">
        <v>86</v>
      </c>
      <c r="G995" t="s">
        <v>50</v>
      </c>
      <c r="H995" s="9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Log'!$E$2:$V$70,
    MATCH(1,
      ('Golf Log'!$A$2:$A$70=$A995)*
      ('Golf Log'!$B$2:$B$70=$B995)*
      ('Golf Log'!$C$2:$C$70=$C995),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Log'!$E$2:$V$70,
    MATCH(1,
      ('Putt Log'!$A$2:$A$70=$A995)*
      ('Putt Log'!$B$2:$B$70=$B995)*
      ('Putt Log'!$C$2:$C$70=$C995),
    0),
    MATCH($G995,'Putt Log'!$E$1:$V$1,0)
  ),
"")</f>
        <v>2</v>
      </c>
      <c r="P995" t="str" cm="1">
        <f t="array" ref="P995">IF(K995=3,"",
  IFERROR(
    INDEX('Fairway Log'!$E$2:$V$70,
      MATCH(1,
        ('Fairway Log'!$A$2:$A$70=$A995)*
        ('Fairway Log'!$B$2:$B$70=$B995)*
        ('Fairway Log'!$C$2:$C1066=$C995),
      0),
      MATCH($G995,'Fairway Log'!$E$1:$V$1,0)
    ),
  "")
)</f>
        <v>←</v>
      </c>
      <c r="Q995" t="str" cm="1">
        <f t="array" ref="Q995">IFERROR(
  INDEX('GIR Log'!$E$2:$V$70,
    MATCH(1,
      ('GIR Log'!$A$2:$A$70=$A995)*
      ('GIR Log'!$B$2:$B$70=$B995)*
      ('GIR Log'!$C$2:$C$70=$C995),
    0),
    MATCH($G995,'GIR Log'!$E$1:$V$1,0)
  ),
"")</f>
        <v>↓</v>
      </c>
    </row>
    <row r="996" spans="1:17" x14ac:dyDescent="0.25">
      <c r="A996" s="51" t="s">
        <v>130</v>
      </c>
      <c r="B996" s="2">
        <v>45844</v>
      </c>
      <c r="C996" t="s">
        <v>3</v>
      </c>
      <c r="D996" s="51" t="s">
        <v>3</v>
      </c>
      <c r="E996" s="51" t="s">
        <v>36</v>
      </c>
      <c r="F996">
        <v>86</v>
      </c>
      <c r="G996" t="s">
        <v>51</v>
      </c>
      <c r="H996" s="9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Log'!$E$2:$V$70,
    MATCH(1,
      ('Golf Log'!$A$2:$A$70=$A996)*
      ('Golf Log'!$B$2:$B$70=$B996)*
      ('Golf Log'!$C$2:$C$70=$C996),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Log'!$E$2:$V$70,
    MATCH(1,
      ('Putt Log'!$A$2:$A$70=$A996)*
      ('Putt Log'!$B$2:$B$70=$B996)*
      ('Putt Log'!$C$2:$C$70=$C996),
    0),
    MATCH($G996,'Putt Log'!$E$1:$V$1,0)
  ),
"")</f>
        <v>2</v>
      </c>
      <c r="P996" cm="1">
        <f t="array" ref="P996">IF(K996=3,"",
  IFERROR(
    INDEX('Fairway Log'!$E$2:$V$70,
      MATCH(1,
        ('Fairway Log'!$A$2:$A$70=$A996)*
        ('Fairway Log'!$B$2:$B$70=$B996)*
        ('Fairway Log'!$C$2:$C1067=$C996),
      0),
      MATCH($G996,'Fairway Log'!$E$1:$V$1,0)
    ),
  "")
)</f>
        <v>1</v>
      </c>
      <c r="Q996" cm="1">
        <f t="array" ref="Q996">IFERROR(
  INDEX('GIR Log'!$E$2:$V$70,
    MATCH(1,
      ('GIR Log'!$A$2:$A$70=$A996)*
      ('GIR Log'!$B$2:$B$70=$B996)*
      ('GIR Log'!$C$2:$C$70=$C996),
    0),
    MATCH($G996,'GIR Log'!$E$1:$V$1,0)
  ),
"")</f>
        <v>1</v>
      </c>
    </row>
    <row r="997" spans="1:17" x14ac:dyDescent="0.25">
      <c r="A997" s="51" t="s">
        <v>130</v>
      </c>
      <c r="B997" s="2">
        <v>45844</v>
      </c>
      <c r="C997" t="s">
        <v>3</v>
      </c>
      <c r="D997" s="51" t="s">
        <v>3</v>
      </c>
      <c r="E997" s="51" t="s">
        <v>36</v>
      </c>
      <c r="F997">
        <v>86</v>
      </c>
      <c r="G997" t="s">
        <v>52</v>
      </c>
      <c r="H997" s="9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Log'!$E$2:$V$70,
    MATCH(1,
      ('Golf Log'!$A$2:$A$70=$A997)*
      ('Golf Log'!$B$2:$B$70=$B997)*
      ('Golf Log'!$C$2:$C$70=$C997),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Log'!$E$2:$V$70,
    MATCH(1,
      ('Putt Log'!$A$2:$A$70=$A997)*
      ('Putt Log'!$B$2:$B$70=$B997)*
      ('Putt Log'!$C$2:$C$70=$C997),
    0),
    MATCH($G997,'Putt Log'!$E$1:$V$1,0)
  ),
"")</f>
        <v>1</v>
      </c>
      <c r="P997" t="str" cm="1">
        <f t="array" ref="P997">IF(K997=3,"",
  IFERROR(
    INDEX('Fairway Log'!$E$2:$V$70,
      MATCH(1,
        ('Fairway Log'!$A$2:$A$70=$A997)*
        ('Fairway Log'!$B$2:$B$70=$B997)*
        ('Fairway Log'!$C$2:$C1068=$C997),
      0),
      MATCH($G997,'Fairway Log'!$E$1:$V$1,0)
    ),
  "")
)</f>
        <v/>
      </c>
      <c r="Q997" t="str" cm="1">
        <f t="array" ref="Q997">IFERROR(
  INDEX('GIR Log'!$E$2:$V$70,
    MATCH(1,
      ('GIR Log'!$A$2:$A$70=$A997)*
      ('GIR Log'!$B$2:$B$70=$B997)*
      ('GIR Log'!$C$2:$C$70=$C997),
    0),
    MATCH($G997,'GIR Log'!$E$1:$V$1,0)
  ),
"")</f>
        <v>→</v>
      </c>
    </row>
    <row r="998" spans="1:17" x14ac:dyDescent="0.25">
      <c r="A998" s="51" t="s">
        <v>130</v>
      </c>
      <c r="B998" s="2">
        <v>45844</v>
      </c>
      <c r="C998" t="s">
        <v>3</v>
      </c>
      <c r="D998" s="51" t="s">
        <v>3</v>
      </c>
      <c r="E998" s="51" t="s">
        <v>36</v>
      </c>
      <c r="F998">
        <v>86</v>
      </c>
      <c r="G998" t="s">
        <v>53</v>
      </c>
      <c r="H998" s="9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Log'!$E$2:$V$70,
    MATCH(1,
      ('Golf Log'!$A$2:$A$70=$A998)*
      ('Golf Log'!$B$2:$B$70=$B998)*
      ('Golf Log'!$C$2:$C$70=$C998),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Log'!$E$2:$V$70,
    MATCH(1,
      ('Putt Log'!$A$2:$A$70=$A998)*
      ('Putt Log'!$B$2:$B$70=$B998)*
      ('Putt Log'!$C$2:$C$70=$C998),
    0),
    MATCH($G998,'Putt Log'!$E$1:$V$1,0)
  ),
"")</f>
        <v>1</v>
      </c>
      <c r="P998" cm="1">
        <f t="array" ref="P998">IF(K998=3,"",
  IFERROR(
    INDEX('Fairway Log'!$E$2:$V$70,
      MATCH(1,
        ('Fairway Log'!$A$2:$A$70=$A998)*
        ('Fairway Log'!$B$2:$B$70=$B998)*
        ('Fairway Log'!$C$2:$C1069=$C998),
      0),
      MATCH($G998,'Fairway Log'!$E$1:$V$1,0)
    ),
  "")
)</f>
        <v>1</v>
      </c>
      <c r="Q998" t="str" cm="1">
        <f t="array" ref="Q998">IFERROR(
  INDEX('GIR Log'!$E$2:$V$70,
    MATCH(1,
      ('GIR Log'!$A$2:$A$70=$A998)*
      ('GIR Log'!$B$2:$B$70=$B998)*
      ('GIR Log'!$C$2:$C$70=$C998),
    0),
    MATCH($G998,'GIR Log'!$E$1:$V$1,0)
  ),
"")</f>
        <v>↓</v>
      </c>
    </row>
    <row r="999" spans="1:17" x14ac:dyDescent="0.25">
      <c r="A999" s="51" t="s">
        <v>130</v>
      </c>
      <c r="B999" s="2">
        <v>45844</v>
      </c>
      <c r="C999" t="s">
        <v>3</v>
      </c>
      <c r="D999" s="51" t="s">
        <v>3</v>
      </c>
      <c r="E999" s="51" t="s">
        <v>36</v>
      </c>
      <c r="F999">
        <v>86</v>
      </c>
      <c r="G999" t="s">
        <v>54</v>
      </c>
      <c r="H999" s="9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Log'!$E$2:$V$70,
    MATCH(1,
      ('Golf Log'!$A$2:$A$70=$A999)*
      ('Golf Log'!$B$2:$B$70=$B999)*
      ('Golf Log'!$C$2:$C$70=$C999),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Log'!$E$2:$V$70,
    MATCH(1,
      ('Putt Log'!$A$2:$A$70=$A999)*
      ('Putt Log'!$B$2:$B$70=$B999)*
      ('Putt Log'!$C$2:$C$70=$C999),
    0),
    MATCH($G999,'Putt Log'!$E$1:$V$1,0)
  ),
"")</f>
        <v>1</v>
      </c>
      <c r="P999" cm="1">
        <f t="array" ref="P999">IF(K999=3,"",
  IFERROR(
    INDEX('Fairway Log'!$E$2:$V$70,
      MATCH(1,
        ('Fairway Log'!$A$2:$A$70=$A999)*
        ('Fairway Log'!$B$2:$B$70=$B999)*
        ('Fairway Log'!$C$2:$C1070=$C999),
      0),
      MATCH($G999,'Fairway Log'!$E$1:$V$1,0)
    ),
  "")
)</f>
        <v>1</v>
      </c>
      <c r="Q999" t="str" cm="1">
        <f t="array" ref="Q999">IFERROR(
  INDEX('GIR Log'!$E$2:$V$70,
    MATCH(1,
      ('GIR Log'!$A$2:$A$70=$A999)*
      ('GIR Log'!$B$2:$B$70=$B999)*
      ('GIR Log'!$C$2:$C$70=$C999),
    0),
    MATCH($G999,'GIR Log'!$E$1:$V$1,0)
  ),
"")</f>
        <v>↑</v>
      </c>
    </row>
    <row r="1000" spans="1:17" x14ac:dyDescent="0.25">
      <c r="A1000" s="51" t="s">
        <v>130</v>
      </c>
      <c r="B1000" s="2">
        <v>45844</v>
      </c>
      <c r="C1000" t="s">
        <v>3</v>
      </c>
      <c r="D1000" s="51" t="s">
        <v>3</v>
      </c>
      <c r="E1000" s="51" t="s">
        <v>36</v>
      </c>
      <c r="F1000">
        <v>86</v>
      </c>
      <c r="G1000" t="s">
        <v>55</v>
      </c>
      <c r="H1000" s="9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Log'!$E$2:$V$70,
    MATCH(1,
      ('Golf Log'!$A$2:$A$70=$A1000)*
      ('Golf Log'!$B$2:$B$70=$B1000)*
      ('Golf Log'!$C$2:$C$70=$C1000),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Log'!$E$2:$V$70,
    MATCH(1,
      ('Putt Log'!$A$2:$A$70=$A1000)*
      ('Putt Log'!$B$2:$B$70=$B1000)*
      ('Putt Log'!$C$2:$C$70=$C1000),
    0),
    MATCH($G1000,'Putt Log'!$E$1:$V$1,0)
  ),
"")</f>
        <v>2</v>
      </c>
      <c r="P1000" t="str" cm="1">
        <f t="array" ref="P1000">IF(K1000=3,"",
  IFERROR(
    INDEX('Fairway Log'!$E$2:$V$70,
      MATCH(1,
        ('Fairway Log'!$A$2:$A$70=$A1000)*
        ('Fairway Log'!$B$2:$B$70=$B1000)*
        ('Fairway Log'!$C$2:$C1071=$C1000),
      0),
      MATCH($G1000,'Fairway Log'!$E$1:$V$1,0)
    ),
  "")
)</f>
        <v>←</v>
      </c>
      <c r="Q1000" t="str" cm="1">
        <f t="array" ref="Q1000">IFERROR(
  INDEX('GIR Log'!$E$2:$V$70,
    MATCH(1,
      ('GIR Log'!$A$2:$A$70=$A1000)*
      ('GIR Log'!$B$2:$B$70=$B1000)*
      ('GIR Log'!$C$2:$C$70=$C1000),
    0),
    MATCH($G1000,'GIR Log'!$E$1:$V$1,0)
  ),
"")</f>
        <v>↓</v>
      </c>
    </row>
    <row r="1001" spans="1:17" x14ac:dyDescent="0.25">
      <c r="A1001" s="51" t="s">
        <v>130</v>
      </c>
      <c r="B1001" s="2">
        <v>45844</v>
      </c>
      <c r="C1001" t="s">
        <v>3</v>
      </c>
      <c r="D1001" s="51" t="s">
        <v>3</v>
      </c>
      <c r="E1001" s="51" t="s">
        <v>36</v>
      </c>
      <c r="F1001">
        <v>86</v>
      </c>
      <c r="G1001" t="s">
        <v>56</v>
      </c>
      <c r="H1001" s="9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Log'!$E$2:$V$70,
    MATCH(1,
      ('Golf Log'!$A$2:$A$70=$A1001)*
      ('Golf Log'!$B$2:$B$70=$B1001)*
      ('Golf Log'!$C$2:$C$70=$C1001),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Log'!$E$2:$V$70,
    MATCH(1,
      ('Putt Log'!$A$2:$A$70=$A1001)*
      ('Putt Log'!$B$2:$B$70=$B1001)*
      ('Putt Log'!$C$2:$C$70=$C1001),
    0),
    MATCH($G1001,'Putt Log'!$E$1:$V$1,0)
  ),
"")</f>
        <v>1</v>
      </c>
      <c r="P1001" t="str" cm="1">
        <f t="array" ref="P1001">IF(K1001=3,"",
  IFERROR(
    INDEX('Fairway Log'!$E$2:$V$70,
      MATCH(1,
        ('Fairway Log'!$A$2:$A$70=$A1001)*
        ('Fairway Log'!$B$2:$B$70=$B1001)*
        ('Fairway Log'!$C$2:$C1072=$C1001),
      0),
      MATCH($G1001,'Fairway Log'!$E$1:$V$1,0)
    ),
  "")
)</f>
        <v>→</v>
      </c>
      <c r="Q1001" t="str" cm="1">
        <f t="array" ref="Q1001">IFERROR(
  INDEX('GIR Log'!$E$2:$V$70,
    MATCH(1,
      ('GIR Log'!$A$2:$A$70=$A1001)*
      ('GIR Log'!$B$2:$B$70=$B1001)*
      ('GIR Log'!$C$2:$C$70=$C1001),
    0),
    MATCH($G1001,'GIR Log'!$E$1:$V$1,0)
  ),
"")</f>
        <v>↓</v>
      </c>
    </row>
    <row r="1002" spans="1:17" x14ac:dyDescent="0.25">
      <c r="A1002" s="51" t="s">
        <v>130</v>
      </c>
      <c r="B1002" s="2">
        <v>45844</v>
      </c>
      <c r="C1002" t="s">
        <v>3</v>
      </c>
      <c r="D1002" s="51" t="s">
        <v>3</v>
      </c>
      <c r="E1002" s="51" t="s">
        <v>36</v>
      </c>
      <c r="F1002">
        <v>86</v>
      </c>
      <c r="G1002" t="s">
        <v>57</v>
      </c>
      <c r="H1002" s="9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Log'!$E$2:$V$70,
    MATCH(1,
      ('Golf Log'!$A$2:$A$70=$A1002)*
      ('Golf Log'!$B$2:$B$70=$B1002)*
      ('Golf Log'!$C$2:$C$70=$C1002),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Log'!$E$2:$V$70,
    MATCH(1,
      ('Putt Log'!$A$2:$A$70=$A1002)*
      ('Putt Log'!$B$2:$B$70=$B1002)*
      ('Putt Log'!$C$2:$C$70=$C1002),
    0),
    MATCH($G1002,'Putt Log'!$E$1:$V$1,0)
  ),
"")</f>
        <v>2</v>
      </c>
      <c r="P1002" t="str" cm="1">
        <f t="array" ref="P1002">IF(K1002=3,"",
  IFERROR(
    INDEX('Fairway Log'!$E$2:$V$70,
      MATCH(1,
        ('Fairway Log'!$A$2:$A$70=$A1002)*
        ('Fairway Log'!$B$2:$B$70=$B1002)*
        ('Fairway Log'!$C$2:$C1073=$C1002),
      0),
      MATCH($G1002,'Fairway Log'!$E$1:$V$1,0)
    ),
  "")
)</f>
        <v/>
      </c>
      <c r="Q1002" t="str" cm="1">
        <f t="array" ref="Q1002">IFERROR(
  INDEX('GIR Log'!$E$2:$V$70,
    MATCH(1,
      ('GIR Log'!$A$2:$A$70=$A1002)*
      ('GIR Log'!$B$2:$B$70=$B1002)*
      ('GIR Log'!$C$2:$C$70=$C1002),
    0),
    MATCH($G1002,'GIR Log'!$E$1:$V$1,0)
  ),
"")</f>
        <v>←</v>
      </c>
    </row>
    <row r="1003" spans="1:17" x14ac:dyDescent="0.25">
      <c r="A1003" s="51" t="s">
        <v>130</v>
      </c>
      <c r="B1003" s="2">
        <v>45844</v>
      </c>
      <c r="C1003" t="s">
        <v>3</v>
      </c>
      <c r="D1003" s="51" t="s">
        <v>3</v>
      </c>
      <c r="E1003" s="51" t="s">
        <v>36</v>
      </c>
      <c r="F1003">
        <v>86</v>
      </c>
      <c r="G1003" t="s">
        <v>58</v>
      </c>
      <c r="H1003" s="9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Log'!$E$2:$V$70,
    MATCH(1,
      ('Golf Log'!$A$2:$A$70=$A1003)*
      ('Golf Log'!$B$2:$B$70=$B1003)*
      ('Golf Log'!$C$2:$C$70=$C1003),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Log'!$E$2:$V$70,
    MATCH(1,
      ('Putt Log'!$A$2:$A$70=$A1003)*
      ('Putt Log'!$B$2:$B$70=$B1003)*
      ('Putt Log'!$C$2:$C$70=$C1003),
    0),
    MATCH($G1003,'Putt Log'!$E$1:$V$1,0)
  ),
"")</f>
        <v>2</v>
      </c>
      <c r="P1003" cm="1">
        <f t="array" ref="P1003">IF(K1003=3,"",
  IFERROR(
    INDEX('Fairway Log'!$E$2:$V$70,
      MATCH(1,
        ('Fairway Log'!$A$2:$A$70=$A1003)*
        ('Fairway Log'!$B$2:$B$70=$B1003)*
        ('Fairway Log'!$C$2:$C1074=$C1003),
      0),
      MATCH($G1003,'Fairway Log'!$E$1:$V$1,0)
    ),
  "")
)</f>
        <v>1</v>
      </c>
      <c r="Q1003" t="str" cm="1">
        <f t="array" ref="Q1003">IFERROR(
  INDEX('GIR Log'!$E$2:$V$70,
    MATCH(1,
      ('GIR Log'!$A$2:$A$70=$A1003)*
      ('GIR Log'!$B$2:$B$70=$B1003)*
      ('GIR Log'!$C$2:$C$70=$C1003),
    0),
    MATCH($G1003,'GIR Log'!$E$1:$V$1,0)
  ),
"")</f>
        <v>↓</v>
      </c>
    </row>
    <row r="1004" spans="1:17" x14ac:dyDescent="0.25">
      <c r="A1004" s="51" t="s">
        <v>130</v>
      </c>
      <c r="B1004" s="2">
        <v>45844</v>
      </c>
      <c r="C1004" t="s">
        <v>3</v>
      </c>
      <c r="D1004" s="51" t="s">
        <v>3</v>
      </c>
      <c r="E1004" s="51" t="s">
        <v>36</v>
      </c>
      <c r="F1004">
        <v>86</v>
      </c>
      <c r="G1004" t="s">
        <v>59</v>
      </c>
      <c r="H1004" s="9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Log'!$E$2:$V$70,
    MATCH(1,
      ('Golf Log'!$A$2:$A$70=$A1004)*
      ('Golf Log'!$B$2:$B$70=$B1004)*
      ('Golf Log'!$C$2:$C$70=$C1004),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Log'!$E$2:$V$70,
    MATCH(1,
      ('Putt Log'!$A$2:$A$70=$A1004)*
      ('Putt Log'!$B$2:$B$70=$B1004)*
      ('Putt Log'!$C$2:$C$70=$C1004),
    0),
    MATCH($G1004,'Putt Log'!$E$1:$V$1,0)
  ),
"")</f>
        <v>2</v>
      </c>
      <c r="P1004" t="str" cm="1">
        <f t="array" ref="P1004">IF(K1004=3,"",
  IFERROR(
    INDEX('Fairway Log'!$E$2:$V$70,
      MATCH(1,
        ('Fairway Log'!$A$2:$A$70=$A1004)*
        ('Fairway Log'!$B$2:$B$70=$B1004)*
        ('Fairway Log'!$C$2:$C1075=$C1004),
      0),
      MATCH($G1004,'Fairway Log'!$E$1:$V$1,0)
    ),
  "")
)</f>
        <v>←</v>
      </c>
      <c r="Q1004" t="str" cm="1">
        <f t="array" ref="Q1004">IFERROR(
  INDEX('GIR Log'!$E$2:$V$70,
    MATCH(1,
      ('GIR Log'!$A$2:$A$70=$A1004)*
      ('GIR Log'!$B$2:$B$70=$B1004)*
      ('GIR Log'!$C$2:$C$70=$C1004),
    0),
    MATCH($G1004,'GIR Log'!$E$1:$V$1,0)
  ),
"")</f>
        <v>↓</v>
      </c>
    </row>
    <row r="1005" spans="1:17" x14ac:dyDescent="0.25">
      <c r="A1005" s="51" t="s">
        <v>130</v>
      </c>
      <c r="B1005" s="2">
        <v>45844</v>
      </c>
      <c r="C1005" t="s">
        <v>3</v>
      </c>
      <c r="D1005" s="51" t="s">
        <v>3</v>
      </c>
      <c r="E1005" s="51" t="s">
        <v>36</v>
      </c>
      <c r="F1005">
        <v>86</v>
      </c>
      <c r="G1005" t="s">
        <v>60</v>
      </c>
      <c r="H1005" s="9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Log'!$E$2:$V$70,
    MATCH(1,
      ('Golf Log'!$A$2:$A$70=$A1005)*
      ('Golf Log'!$B$2:$B$70=$B1005)*
      ('Golf Log'!$C$2:$C$70=$C1005),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Log'!$E$2:$V$70,
    MATCH(1,
      ('Putt Log'!$A$2:$A$70=$A1005)*
      ('Putt Log'!$B$2:$B$70=$B1005)*
      ('Putt Log'!$C$2:$C$70=$C1005),
    0),
    MATCH($G1005,'Putt Log'!$E$1:$V$1,0)
  ),
"")</f>
        <v>2</v>
      </c>
      <c r="P1005" t="str" cm="1">
        <f t="array" ref="P1005">IF(K1005=3,"",
  IFERROR(
    INDEX('Fairway Log'!$E$2:$V$70,
      MATCH(1,
        ('Fairway Log'!$A$2:$A$70=$A1005)*
        ('Fairway Log'!$B$2:$B$70=$B1005)*
        ('Fairway Log'!$C$2:$C1076=$C1005),
      0),
      MATCH($G1005,'Fairway Log'!$E$1:$V$1,0)
    ),
  "")
)</f>
        <v>←</v>
      </c>
      <c r="Q1005" t="str" cm="1">
        <f t="array" ref="Q1005">IFERROR(
  INDEX('GIR Log'!$E$2:$V$70,
    MATCH(1,
      ('GIR Log'!$A$2:$A$70=$A1005)*
      ('GIR Log'!$B$2:$B$70=$B1005)*
      ('GIR Log'!$C$2:$C$70=$C1005),
    0),
    MATCH($G1005,'GIR Log'!$E$1:$V$1,0)
  ),
"")</f>
        <v>↓</v>
      </c>
    </row>
    <row r="1006" spans="1:17" x14ac:dyDescent="0.25">
      <c r="A1006" s="51" t="s">
        <v>130</v>
      </c>
      <c r="B1006" s="2">
        <v>45844</v>
      </c>
      <c r="C1006" t="s">
        <v>3</v>
      </c>
      <c r="D1006" s="51" t="s">
        <v>3</v>
      </c>
      <c r="E1006" s="51" t="s">
        <v>36</v>
      </c>
      <c r="F1006">
        <v>86</v>
      </c>
      <c r="G1006" t="s">
        <v>61</v>
      </c>
      <c r="H1006" s="9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Log'!$E$2:$V$70,
    MATCH(1,
      ('Golf Log'!$A$2:$A$70=$A1006)*
      ('Golf Log'!$B$2:$B$70=$B1006)*
      ('Golf Log'!$C$2:$C$70=$C1006),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Log'!$E$2:$V$70,
    MATCH(1,
      ('Putt Log'!$A$2:$A$70=$A1006)*
      ('Putt Log'!$B$2:$B$70=$B1006)*
      ('Putt Log'!$C$2:$C$70=$C1006),
    0),
    MATCH($G1006,'Putt Log'!$E$1:$V$1,0)
  ),
"")</f>
        <v>1</v>
      </c>
      <c r="P1006" t="str" cm="1">
        <f t="array" ref="P1006">IF(K1006=3,"",
  IFERROR(
    INDEX('Fairway Log'!$E$2:$V$70,
      MATCH(1,
        ('Fairway Log'!$A$2:$A$70=$A1006)*
        ('Fairway Log'!$B$2:$B$70=$B1006)*
        ('Fairway Log'!$C$2:$C1077=$C1006),
      0),
      MATCH($G1006,'Fairway Log'!$E$1:$V$1,0)
    ),
  "")
)</f>
        <v/>
      </c>
      <c r="Q1006" t="str" cm="1">
        <f t="array" ref="Q1006">IFERROR(
  INDEX('GIR Log'!$E$2:$V$70,
    MATCH(1,
      ('GIR Log'!$A$2:$A$70=$A1006)*
      ('GIR Log'!$B$2:$B$70=$B1006)*
      ('GIR Log'!$C$2:$C$70=$C1006),
    0),
    MATCH($G1006,'GIR Log'!$E$1:$V$1,0)
  ),
"")</f>
        <v>↓</v>
      </c>
    </row>
    <row r="1007" spans="1:17" x14ac:dyDescent="0.25">
      <c r="A1007" s="51" t="s">
        <v>130</v>
      </c>
      <c r="B1007" s="2">
        <v>45844</v>
      </c>
      <c r="C1007" t="s">
        <v>3</v>
      </c>
      <c r="D1007" s="51" t="s">
        <v>3</v>
      </c>
      <c r="E1007" s="51" t="s">
        <v>36</v>
      </c>
      <c r="F1007">
        <v>86</v>
      </c>
      <c r="G1007" t="s">
        <v>62</v>
      </c>
      <c r="H1007" s="9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Log'!$E$2:$V$70,
    MATCH(1,
      ('Golf Log'!$A$2:$A$70=$A1007)*
      ('Golf Log'!$B$2:$B$70=$B1007)*
      ('Golf Log'!$C$2:$C$70=$C1007),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Log'!$E$2:$V$70,
    MATCH(1,
      ('Putt Log'!$A$2:$A$70=$A1007)*
      ('Putt Log'!$B$2:$B$70=$B1007)*
      ('Putt Log'!$C$2:$C$70=$C1007),
    0),
    MATCH($G1007,'Putt Log'!$E$1:$V$1,0)
  ),
"")</f>
        <v>2</v>
      </c>
      <c r="P1007" t="str" cm="1">
        <f t="array" ref="P1007">IF(K1007=3,"",
  IFERROR(
    INDEX('Fairway Log'!$E$2:$V$70,
      MATCH(1,
        ('Fairway Log'!$A$2:$A$70=$A1007)*
        ('Fairway Log'!$B$2:$B$70=$B1007)*
        ('Fairway Log'!$C$2:$C1078=$C1007),
      0),
      MATCH($G1007,'Fairway Log'!$E$1:$V$1,0)
    ),
  "")
)</f>
        <v>←</v>
      </c>
      <c r="Q1007" t="str" cm="1">
        <f t="array" ref="Q1007">IFERROR(
  INDEX('GIR Log'!$E$2:$V$70,
    MATCH(1,
      ('GIR Log'!$A$2:$A$70=$A1007)*
      ('GIR Log'!$B$2:$B$70=$B1007)*
      ('GIR Log'!$C$2:$C$70=$C1007),
    0),
    MATCH($G1007,'GIR Log'!$E$1:$V$1,0)
  ),
"")</f>
        <v>↓</v>
      </c>
    </row>
    <row r="1008" spans="1:17" x14ac:dyDescent="0.25">
      <c r="A1008" s="51" t="s">
        <v>130</v>
      </c>
      <c r="B1008" s="2">
        <v>45844</v>
      </c>
      <c r="C1008" t="s">
        <v>3</v>
      </c>
      <c r="D1008" s="51" t="s">
        <v>3</v>
      </c>
      <c r="E1008" s="51" t="s">
        <v>36</v>
      </c>
      <c r="F1008">
        <v>86</v>
      </c>
      <c r="G1008" t="s">
        <v>63</v>
      </c>
      <c r="H1008" s="9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Log'!$E$2:$V$70,
    MATCH(1,
      ('Golf Log'!$A$2:$A$70=$A1008)*
      ('Golf Log'!$B$2:$B$70=$B1008)*
      ('Golf Log'!$C$2:$C$70=$C1008),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Log'!$E$2:$V$70,
    MATCH(1,
      ('Putt Log'!$A$2:$A$70=$A1008)*
      ('Putt Log'!$B$2:$B$70=$B1008)*
      ('Putt Log'!$C$2:$C$70=$C1008),
    0),
    MATCH($G1008,'Putt Log'!$E$1:$V$1,0)
  ),
"")</f>
        <v>2</v>
      </c>
      <c r="P1008" t="str" cm="1">
        <f t="array" ref="P1008">IF(K1008=3,"",
  IFERROR(
    INDEX('Fairway Log'!$E$2:$V$70,
      MATCH(1,
        ('Fairway Log'!$A$2:$A$70=$A1008)*
        ('Fairway Log'!$B$2:$B$70=$B1008)*
        ('Fairway Log'!$C$2:$C1079=$C1008),
      0),
      MATCH($G1008,'Fairway Log'!$E$1:$V$1,0)
    ),
  "")
)</f>
        <v>→</v>
      </c>
      <c r="Q1008" t="str" cm="1">
        <f t="array" ref="Q1008">IFERROR(
  INDEX('GIR Log'!$E$2:$V$70,
    MATCH(1,
      ('GIR Log'!$A$2:$A$70=$A1008)*
      ('GIR Log'!$B$2:$B$70=$B1008)*
      ('GIR Log'!$C$2:$C$70=$C1008),
    0),
    MATCH($G1008,'GIR Log'!$E$1:$V$1,0)
  ),
"")</f>
        <v>↓</v>
      </c>
    </row>
    <row r="1009" spans="1:17" x14ac:dyDescent="0.25">
      <c r="A1009" s="51" t="s">
        <v>130</v>
      </c>
      <c r="B1009" s="2">
        <v>45844</v>
      </c>
      <c r="C1009" t="s">
        <v>3</v>
      </c>
      <c r="D1009" s="51" t="s">
        <v>3</v>
      </c>
      <c r="E1009" s="51" t="s">
        <v>36</v>
      </c>
      <c r="F1009">
        <v>86</v>
      </c>
      <c r="G1009" t="s">
        <v>64</v>
      </c>
      <c r="H1009" s="9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Log'!$E$2:$V$70,
    MATCH(1,
      ('Golf Log'!$A$2:$A$70=$A1009)*
      ('Golf Log'!$B$2:$B$70=$B1009)*
      ('Golf Log'!$C$2:$C$70=$C1009),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Log'!$E$2:$V$70,
    MATCH(1,
      ('Putt Log'!$A$2:$A$70=$A1009)*
      ('Putt Log'!$B$2:$B$70=$B1009)*
      ('Putt Log'!$C$2:$C$70=$C1009),
    0),
    MATCH($G1009,'Putt Log'!$E$1:$V$1,0)
  ),
"")</f>
        <v>2</v>
      </c>
      <c r="P1009" cm="1">
        <f t="array" ref="P1009">IF(K1009=3,"",
  IFERROR(
    INDEX('Fairway Log'!$E$2:$V$70,
      MATCH(1,
        ('Fairway Log'!$A$2:$A$70=$A1009)*
        ('Fairway Log'!$B$2:$B$70=$B1009)*
        ('Fairway Log'!$C$2:$C1080=$C1009),
      0),
      MATCH($G1009,'Fairway Log'!$E$1:$V$1,0)
    ),
  "")
)</f>
        <v>1</v>
      </c>
      <c r="Q1009" cm="1">
        <f t="array" ref="Q1009">IFERROR(
  INDEX('GIR Log'!$E$2:$V$70,
    MATCH(1,
      ('GIR Log'!$A$2:$A$70=$A1009)*
      ('GIR Log'!$B$2:$B$70=$B1009)*
      ('GIR Log'!$C$2:$C$70=$C1009),
    0),
    MATCH($G1009,'GIR Log'!$E$1:$V$1,0)
  ),
"")</f>
        <v>1</v>
      </c>
    </row>
    <row r="1010" spans="1:17" x14ac:dyDescent="0.25">
      <c r="A1010" s="51" t="s">
        <v>130</v>
      </c>
      <c r="B1010" s="2">
        <v>45653</v>
      </c>
      <c r="C1010" t="s">
        <v>2</v>
      </c>
      <c r="D1010" t="s">
        <v>72</v>
      </c>
      <c r="E1010" s="12" t="s">
        <v>34</v>
      </c>
      <c r="F1010">
        <v>92</v>
      </c>
      <c r="G1010" s="12" t="s">
        <v>47</v>
      </c>
      <c r="H1010" s="9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Log'!$E$2:$V$70,
    MATCH(1,
      ('Golf Log'!$A$2:$A$70=$A1010)*
      ('Golf Log'!$B$2:$B$70=$B1010)*
      ('Golf Log'!$C$2:$C$70=$C1010),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Log'!$E$2:$V$70,
    MATCH(1,
      ('Putt Log'!$A$2:$A$70=$A1010)*
      ('Putt Log'!$B$2:$B$70=$B1010)*
      ('Putt Log'!$C$2:$C$70=$C1010),
    0),
    MATCH($G1010,'Putt Log'!$E$1:$V$1,0)
  ),
"")</f>
        <v>2</v>
      </c>
      <c r="P1010" t="str" cm="1">
        <f t="array" ref="P1010">IF(K1010=3,"",
  IFERROR(
    INDEX('Fairway Log'!$E$2:$V$70,
      MATCH(1,
        ('Fairway Log'!$A$2:$A$70=$A1010)*
        ('Fairway Log'!$B$2:$B$70=$B1010)*
        ('Fairway Log'!$C$2:$C1081=$C1010),
      0),
      MATCH($G1010,'Fairway Log'!$E$1:$V$1,0)
    ),
  "")
)</f>
        <v>←</v>
      </c>
      <c r="Q1010" t="str" cm="1">
        <f t="array" ref="Q1010">IFERROR(
  INDEX('GIR Log'!$E$2:$V$70,
    MATCH(1,
      ('GIR Log'!$A$2:$A$70=$A1010)*
      ('GIR Log'!$B$2:$B$70=$B1010)*
      ('GIR Log'!$C$2:$C$70=$C1010),
    0),
    MATCH($G1010,'GIR Log'!$E$1:$V$1,0)
  ),
"")</f>
        <v>↑</v>
      </c>
    </row>
    <row r="1011" spans="1:17" x14ac:dyDescent="0.25">
      <c r="A1011" s="51" t="s">
        <v>130</v>
      </c>
      <c r="B1011" s="2">
        <v>45653</v>
      </c>
      <c r="C1011" t="s">
        <v>2</v>
      </c>
      <c r="D1011" t="s">
        <v>72</v>
      </c>
      <c r="E1011" s="12" t="s">
        <v>34</v>
      </c>
      <c r="F1011">
        <v>92</v>
      </c>
      <c r="G1011" s="12" t="s">
        <v>48</v>
      </c>
      <c r="H1011" s="9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Log'!$E$2:$V$70,
    MATCH(1,
      ('Golf Log'!$A$2:$A$70=$A1011)*
      ('Golf Log'!$B$2:$B$70=$B1011)*
      ('Golf Log'!$C$2:$C$70=$C1011),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Log'!$E$2:$V$70,
    MATCH(1,
      ('Putt Log'!$A$2:$A$70=$A1011)*
      ('Putt Log'!$B$2:$B$70=$B1011)*
      ('Putt Log'!$C$2:$C$70=$C1011),
    0),
    MATCH($G1011,'Putt Log'!$E$1:$V$1,0)
  ),
"")</f>
        <v>2</v>
      </c>
      <c r="P1011" t="str" cm="1">
        <f t="array" ref="P1011">IF(K1011=3,"",
  IFERROR(
    INDEX('Fairway Log'!$E$2:$V$70,
      MATCH(1,
        ('Fairway Log'!$A$2:$A$70=$A1011)*
        ('Fairway Log'!$B$2:$B$70=$B1011)*
        ('Fairway Log'!$C$2:$C1082=$C1011),
      0),
      MATCH($G1011,'Fairway Log'!$E$1:$V$1,0)
    ),
  "")
)</f>
        <v>←</v>
      </c>
      <c r="Q1011" t="str" cm="1">
        <f t="array" ref="Q1011">IFERROR(
  INDEX('GIR Log'!$E$2:$V$70,
    MATCH(1,
      ('GIR Log'!$A$2:$A$70=$A1011)*
      ('GIR Log'!$B$2:$B$70=$B1011)*
      ('GIR Log'!$C$2:$C$70=$C1011),
    0),
    MATCH($G1011,'GIR Log'!$E$1:$V$1,0)
  ),
"")</f>
        <v>↑</v>
      </c>
    </row>
    <row r="1012" spans="1:17" x14ac:dyDescent="0.25">
      <c r="A1012" s="51" t="s">
        <v>130</v>
      </c>
      <c r="B1012" s="2">
        <v>45653</v>
      </c>
      <c r="C1012" t="s">
        <v>2</v>
      </c>
      <c r="D1012" t="s">
        <v>72</v>
      </c>
      <c r="E1012" s="12" t="s">
        <v>34</v>
      </c>
      <c r="F1012">
        <v>92</v>
      </c>
      <c r="G1012" s="12" t="s">
        <v>49</v>
      </c>
      <c r="H1012" s="9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Log'!$E$2:$V$70,
    MATCH(1,
      ('Golf Log'!$A$2:$A$70=$A1012)*
      ('Golf Log'!$B$2:$B$70=$B1012)*
      ('Golf Log'!$C$2:$C$70=$C1012),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Log'!$E$2:$V$70,
    MATCH(1,
      ('Putt Log'!$A$2:$A$70=$A1012)*
      ('Putt Log'!$B$2:$B$70=$B1012)*
      ('Putt Log'!$C$2:$C$70=$C1012),
    0),
    MATCH($G1012,'Putt Log'!$E$1:$V$1,0)
  ),
"")</f>
        <v>2</v>
      </c>
      <c r="P1012" t="str" cm="1">
        <f t="array" ref="P1012">IF(K1012=3,"",
  IFERROR(
    INDEX('Fairway Log'!$E$2:$V$70,
      MATCH(1,
        ('Fairway Log'!$A$2:$A$70=$A1012)*
        ('Fairway Log'!$B$2:$B$70=$B1012)*
        ('Fairway Log'!$C$2:$C1083=$C1012),
      0),
      MATCH($G1012,'Fairway Log'!$E$1:$V$1,0)
    ),
  "")
)</f>
        <v/>
      </c>
      <c r="Q1012" t="str" cm="1">
        <f t="array" ref="Q1012">IFERROR(
  INDEX('GIR Log'!$E$2:$V$70,
    MATCH(1,
      ('GIR Log'!$A$2:$A$70=$A1012)*
      ('GIR Log'!$B$2:$B$70=$B1012)*
      ('GIR Log'!$C$2:$C$70=$C1012),
    0),
    MATCH($G1012,'GIR Log'!$E$1:$V$1,0)
  ),
"")</f>
        <v>←</v>
      </c>
    </row>
    <row r="1013" spans="1:17" x14ac:dyDescent="0.25">
      <c r="A1013" s="51" t="s">
        <v>130</v>
      </c>
      <c r="B1013" s="2">
        <v>45653</v>
      </c>
      <c r="C1013" t="s">
        <v>2</v>
      </c>
      <c r="D1013" t="s">
        <v>72</v>
      </c>
      <c r="E1013" s="12" t="s">
        <v>34</v>
      </c>
      <c r="F1013">
        <v>92</v>
      </c>
      <c r="G1013" s="12" t="s">
        <v>50</v>
      </c>
      <c r="H1013" s="9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Log'!$E$2:$V$70,
    MATCH(1,
      ('Golf Log'!$A$2:$A$70=$A1013)*
      ('Golf Log'!$B$2:$B$70=$B1013)*
      ('Golf Log'!$C$2:$C$70=$C1013),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Log'!$E$2:$V$70,
    MATCH(1,
      ('Putt Log'!$A$2:$A$70=$A1013)*
      ('Putt Log'!$B$2:$B$70=$B1013)*
      ('Putt Log'!$C$2:$C$70=$C1013),
    0),
    MATCH($G1013,'Putt Log'!$E$1:$V$1,0)
  ),
"")</f>
        <v>2</v>
      </c>
      <c r="P1013" cm="1">
        <f t="array" ref="P1013">IF(K1013=3,"",
  IFERROR(
    INDEX('Fairway Log'!$E$2:$V$70,
      MATCH(1,
        ('Fairway Log'!$A$2:$A$70=$A1013)*
        ('Fairway Log'!$B$2:$B$70=$B1013)*
        ('Fairway Log'!$C$2:$C1084=$C1013),
      0),
      MATCH($G1013,'Fairway Log'!$E$1:$V$1,0)
    ),
  "")
)</f>
        <v>1</v>
      </c>
      <c r="Q1013" t="str" cm="1">
        <f t="array" ref="Q1013">IFERROR(
  INDEX('GIR Log'!$E$2:$V$70,
    MATCH(1,
      ('GIR Log'!$A$2:$A$70=$A1013)*
      ('GIR Log'!$B$2:$B$70=$B1013)*
      ('GIR Log'!$C$2:$C$70=$C1013),
    0),
    MATCH($G1013,'GIR Log'!$E$1:$V$1,0)
  ),
"")</f>
        <v>↓</v>
      </c>
    </row>
    <row r="1014" spans="1:17" x14ac:dyDescent="0.25">
      <c r="A1014" s="51" t="s">
        <v>130</v>
      </c>
      <c r="B1014" s="2">
        <v>45653</v>
      </c>
      <c r="C1014" t="s">
        <v>2</v>
      </c>
      <c r="D1014" t="s">
        <v>72</v>
      </c>
      <c r="E1014" s="12" t="s">
        <v>34</v>
      </c>
      <c r="F1014">
        <v>92</v>
      </c>
      <c r="G1014" s="12" t="s">
        <v>51</v>
      </c>
      <c r="H1014" s="9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Log'!$E$2:$V$70,
    MATCH(1,
      ('Golf Log'!$A$2:$A$70=$A1014)*
      ('Golf Log'!$B$2:$B$70=$B1014)*
      ('Golf Log'!$C$2:$C$70=$C1014),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Log'!$E$2:$V$70,
    MATCH(1,
      ('Putt Log'!$A$2:$A$70=$A1014)*
      ('Putt Log'!$B$2:$B$70=$B1014)*
      ('Putt Log'!$C$2:$C$70=$C1014),
    0),
    MATCH($G1014,'Putt Log'!$E$1:$V$1,0)
  ),
"")</f>
        <v>2</v>
      </c>
      <c r="P1014" t="str" cm="1">
        <f t="array" ref="P1014">IF(K1014=3,"",
  IFERROR(
    INDEX('Fairway Log'!$E$2:$V$70,
      MATCH(1,
        ('Fairway Log'!$A$2:$A$70=$A1014)*
        ('Fairway Log'!$B$2:$B$70=$B1014)*
        ('Fairway Log'!$C$2:$C1085=$C1014),
      0),
      MATCH($G1014,'Fairway Log'!$E$1:$V$1,0)
    ),
  "")
)</f>
        <v>←</v>
      </c>
      <c r="Q1014" t="str" cm="1">
        <f t="array" ref="Q1014">IFERROR(
  INDEX('GIR Log'!$E$2:$V$70,
    MATCH(1,
      ('GIR Log'!$A$2:$A$70=$A1014)*
      ('GIR Log'!$B$2:$B$70=$B1014)*
      ('GIR Log'!$C$2:$C$70=$C1014),
    0),
    MATCH($G1014,'GIR Log'!$E$1:$V$1,0)
  ),
"")</f>
        <v>↓</v>
      </c>
    </row>
    <row r="1015" spans="1:17" x14ac:dyDescent="0.25">
      <c r="A1015" s="51" t="s">
        <v>130</v>
      </c>
      <c r="B1015" s="2">
        <v>45653</v>
      </c>
      <c r="C1015" t="s">
        <v>2</v>
      </c>
      <c r="D1015" t="s">
        <v>72</v>
      </c>
      <c r="E1015" s="12" t="s">
        <v>34</v>
      </c>
      <c r="F1015">
        <v>92</v>
      </c>
      <c r="G1015" s="12" t="s">
        <v>52</v>
      </c>
      <c r="H1015" s="9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Log'!$E$2:$V$70,
    MATCH(1,
      ('Golf Log'!$A$2:$A$70=$A1015)*
      ('Golf Log'!$B$2:$B$70=$B1015)*
      ('Golf Log'!$C$2:$C$70=$C1015),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Log'!$E$2:$V$70,
    MATCH(1,
      ('Putt Log'!$A$2:$A$70=$A1015)*
      ('Putt Log'!$B$2:$B$70=$B1015)*
      ('Putt Log'!$C$2:$C$70=$C1015),
    0),
    MATCH($G1015,'Putt Log'!$E$1:$V$1,0)
  ),
"")</f>
        <v>2</v>
      </c>
      <c r="P1015" t="str" cm="1">
        <f t="array" ref="P1015">IF(K1015=3,"",
  IFERROR(
    INDEX('Fairway Log'!$E$2:$V$70,
      MATCH(1,
        ('Fairway Log'!$A$2:$A$70=$A1015)*
        ('Fairway Log'!$B$2:$B$70=$B1015)*
        ('Fairway Log'!$C$2:$C1086=$C1015),
      0),
      MATCH($G1015,'Fairway Log'!$E$1:$V$1,0)
    ),
  "")
)</f>
        <v>←</v>
      </c>
      <c r="Q1015" cm="1">
        <f t="array" ref="Q1015">IFERROR(
  INDEX('GIR Log'!$E$2:$V$70,
    MATCH(1,
      ('GIR Log'!$A$2:$A$70=$A1015)*
      ('GIR Log'!$B$2:$B$70=$B1015)*
      ('GIR Log'!$C$2:$C$70=$C1015),
    0),
    MATCH($G1015,'GIR Log'!$E$1:$V$1,0)
  ),
"")</f>
        <v>1</v>
      </c>
    </row>
    <row r="1016" spans="1:17" x14ac:dyDescent="0.25">
      <c r="A1016" s="51" t="s">
        <v>130</v>
      </c>
      <c r="B1016" s="2">
        <v>45653</v>
      </c>
      <c r="C1016" t="s">
        <v>2</v>
      </c>
      <c r="D1016" t="s">
        <v>72</v>
      </c>
      <c r="E1016" s="12" t="s">
        <v>34</v>
      </c>
      <c r="F1016">
        <v>92</v>
      </c>
      <c r="G1016" s="12" t="s">
        <v>53</v>
      </c>
      <c r="H1016" s="9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Log'!$E$2:$V$70,
    MATCH(1,
      ('Golf Log'!$A$2:$A$70=$A1016)*
      ('Golf Log'!$B$2:$B$70=$B1016)*
      ('Golf Log'!$C$2:$C$70=$C1016),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Log'!$E$2:$V$70,
    MATCH(1,
      ('Putt Log'!$A$2:$A$70=$A1016)*
      ('Putt Log'!$B$2:$B$70=$B1016)*
      ('Putt Log'!$C$2:$C$70=$C1016),
    0),
    MATCH($G1016,'Putt Log'!$E$1:$V$1,0)
  ),
"")</f>
        <v>2</v>
      </c>
      <c r="P1016" t="str" cm="1">
        <f t="array" ref="P1016">IF(K1016=3,"",
  IFERROR(
    INDEX('Fairway Log'!$E$2:$V$70,
      MATCH(1,
        ('Fairway Log'!$A$2:$A$70=$A1016)*
        ('Fairway Log'!$B$2:$B$70=$B1016)*
        ('Fairway Log'!$C$2:$C1087=$C1016),
      0),
      MATCH($G1016,'Fairway Log'!$E$1:$V$1,0)
    ),
  "")
)</f>
        <v>↓</v>
      </c>
      <c r="Q1016" t="str" cm="1">
        <f t="array" ref="Q1016">IFERROR(
  INDEX('GIR Log'!$E$2:$V$70,
    MATCH(1,
      ('GIR Log'!$A$2:$A$70=$A1016)*
      ('GIR Log'!$B$2:$B$70=$B1016)*
      ('GIR Log'!$C$2:$C$70=$C1016),
    0),
    MATCH($G1016,'GIR Log'!$E$1:$V$1,0)
  ),
"")</f>
        <v>↓</v>
      </c>
    </row>
    <row r="1017" spans="1:17" x14ac:dyDescent="0.25">
      <c r="A1017" s="51" t="s">
        <v>130</v>
      </c>
      <c r="B1017" s="2">
        <v>45653</v>
      </c>
      <c r="C1017" t="s">
        <v>2</v>
      </c>
      <c r="D1017" t="s">
        <v>72</v>
      </c>
      <c r="E1017" s="12" t="s">
        <v>34</v>
      </c>
      <c r="F1017">
        <v>92</v>
      </c>
      <c r="G1017" s="12" t="s">
        <v>54</v>
      </c>
      <c r="H1017" s="9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Log'!$E$2:$V$70,
    MATCH(1,
      ('Golf Log'!$A$2:$A$70=$A1017)*
      ('Golf Log'!$B$2:$B$70=$B1017)*
      ('Golf Log'!$C$2:$C$70=$C1017),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Log'!$E$2:$V$70,
    MATCH(1,
      ('Putt Log'!$A$2:$A$70=$A1017)*
      ('Putt Log'!$B$2:$B$70=$B1017)*
      ('Putt Log'!$C$2:$C$70=$C1017),
    0),
    MATCH($G1017,'Putt Log'!$E$1:$V$1,0)
  ),
"")</f>
        <v>2</v>
      </c>
      <c r="P1017" t="str" cm="1">
        <f t="array" ref="P1017">IF(K1017=3,"",
  IFERROR(
    INDEX('Fairway Log'!$E$2:$V$70,
      MATCH(1,
        ('Fairway Log'!$A$2:$A$70=$A1017)*
        ('Fairway Log'!$B$2:$B$70=$B1017)*
        ('Fairway Log'!$C$2:$C1088=$C1017),
      0),
      MATCH($G1017,'Fairway Log'!$E$1:$V$1,0)
    ),
  "")
)</f>
        <v/>
      </c>
      <c r="Q1017" t="str" cm="1">
        <f t="array" ref="Q1017">IFERROR(
  INDEX('GIR Log'!$E$2:$V$70,
    MATCH(1,
      ('GIR Log'!$A$2:$A$70=$A1017)*
      ('GIR Log'!$B$2:$B$70=$B1017)*
      ('GIR Log'!$C$2:$C$70=$C1017),
    0),
    MATCH($G1017,'GIR Log'!$E$1:$V$1,0)
  ),
"")</f>
        <v>←</v>
      </c>
    </row>
    <row r="1018" spans="1:17" x14ac:dyDescent="0.25">
      <c r="A1018" s="51" t="s">
        <v>130</v>
      </c>
      <c r="B1018" s="2">
        <v>45653</v>
      </c>
      <c r="C1018" t="s">
        <v>2</v>
      </c>
      <c r="D1018" t="s">
        <v>72</v>
      </c>
      <c r="E1018" s="12" t="s">
        <v>34</v>
      </c>
      <c r="F1018">
        <v>92</v>
      </c>
      <c r="G1018" s="12" t="s">
        <v>55</v>
      </c>
      <c r="H1018" s="9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Log'!$E$2:$V$70,
    MATCH(1,
      ('Golf Log'!$A$2:$A$70=$A1018)*
      ('Golf Log'!$B$2:$B$70=$B1018)*
      ('Golf Log'!$C$2:$C$70=$C1018),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Log'!$E$2:$V$70,
    MATCH(1,
      ('Putt Log'!$A$2:$A$70=$A1018)*
      ('Putt Log'!$B$2:$B$70=$B1018)*
      ('Putt Log'!$C$2:$C$70=$C1018),
    0),
    MATCH($G1018,'Putt Log'!$E$1:$V$1,0)
  ),
"")</f>
        <v>2</v>
      </c>
      <c r="P1018" cm="1">
        <f t="array" ref="P1018">IF(K1018=3,"",
  IFERROR(
    INDEX('Fairway Log'!$E$2:$V$70,
      MATCH(1,
        ('Fairway Log'!$A$2:$A$70=$A1018)*
        ('Fairway Log'!$B$2:$B$70=$B1018)*
        ('Fairway Log'!$C$2:$C1089=$C1018),
      0),
      MATCH($G1018,'Fairway Log'!$E$1:$V$1,0)
    ),
  "")
)</f>
        <v>1</v>
      </c>
      <c r="Q1018" t="str" cm="1">
        <f t="array" ref="Q1018">IFERROR(
  INDEX('GIR Log'!$E$2:$V$70,
    MATCH(1,
      ('GIR Log'!$A$2:$A$70=$A1018)*
      ('GIR Log'!$B$2:$B$70=$B1018)*
      ('GIR Log'!$C$2:$C$70=$C1018),
    0),
    MATCH($G1018,'GIR Log'!$E$1:$V$1,0)
  ),
"")</f>
        <v>↑</v>
      </c>
    </row>
    <row r="1019" spans="1:17" x14ac:dyDescent="0.25">
      <c r="A1019" s="51" t="s">
        <v>130</v>
      </c>
      <c r="B1019" s="2">
        <v>45653</v>
      </c>
      <c r="C1019" t="s">
        <v>2</v>
      </c>
      <c r="D1019" t="s">
        <v>72</v>
      </c>
      <c r="E1019" s="12" t="s">
        <v>34</v>
      </c>
      <c r="F1019">
        <v>92</v>
      </c>
      <c r="G1019" s="12" t="s">
        <v>56</v>
      </c>
      <c r="H1019" s="9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Log'!$E$2:$V$70,
    MATCH(1,
      ('Golf Log'!$A$2:$A$70=$A1019)*
      ('Golf Log'!$B$2:$B$70=$B1019)*
      ('Golf Log'!$C$2:$C$70=$C1019),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Log'!$E$2:$V$70,
    MATCH(1,
      ('Putt Log'!$A$2:$A$70=$A1019)*
      ('Putt Log'!$B$2:$B$70=$B1019)*
      ('Putt Log'!$C$2:$C$70=$C1019),
    0),
    MATCH($G1019,'Putt Log'!$E$1:$V$1,0)
  ),
"")</f>
        <v>2</v>
      </c>
      <c r="P1019" cm="1">
        <f t="array" ref="P1019">IF(K1019=3,"",
  IFERROR(
    INDEX('Fairway Log'!$E$2:$V$70,
      MATCH(1,
        ('Fairway Log'!$A$2:$A$70=$A1019)*
        ('Fairway Log'!$B$2:$B$70=$B1019)*
        ('Fairway Log'!$C$2:$C1090=$C1019),
      0),
      MATCH($G1019,'Fairway Log'!$E$1:$V$1,0)
    ),
  "")
)</f>
        <v>1</v>
      </c>
      <c r="Q1019" t="str" cm="1">
        <f t="array" ref="Q1019">IFERROR(
  INDEX('GIR Log'!$E$2:$V$70,
    MATCH(1,
      ('GIR Log'!$A$2:$A$70=$A1019)*
      ('GIR Log'!$B$2:$B$70=$B1019)*
      ('GIR Log'!$C$2:$C$70=$C1019),
    0),
    MATCH($G1019,'GIR Log'!$E$1:$V$1,0)
  ),
"")</f>
        <v>↓</v>
      </c>
    </row>
    <row r="1020" spans="1:17" x14ac:dyDescent="0.25">
      <c r="A1020" s="51" t="s">
        <v>130</v>
      </c>
      <c r="B1020" s="2">
        <v>45653</v>
      </c>
      <c r="C1020" t="s">
        <v>2</v>
      </c>
      <c r="D1020" t="s">
        <v>72</v>
      </c>
      <c r="E1020" s="12" t="s">
        <v>34</v>
      </c>
      <c r="F1020">
        <v>92</v>
      </c>
      <c r="G1020" s="12" t="s">
        <v>57</v>
      </c>
      <c r="H1020" s="9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Log'!$E$2:$V$70,
    MATCH(1,
      ('Golf Log'!$A$2:$A$70=$A1020)*
      ('Golf Log'!$B$2:$B$70=$B1020)*
      ('Golf Log'!$C$2:$C$70=$C1020),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Log'!$E$2:$V$70,
    MATCH(1,
      ('Putt Log'!$A$2:$A$70=$A1020)*
      ('Putt Log'!$B$2:$B$70=$B1020)*
      ('Putt Log'!$C$2:$C$70=$C1020),
    0),
    MATCH($G1020,'Putt Log'!$E$1:$V$1,0)
  ),
"")</f>
        <v>2</v>
      </c>
      <c r="P1020" t="str" cm="1">
        <f t="array" ref="P1020">IF(K1020=3,"",
  IFERROR(
    INDEX('Fairway Log'!$E$2:$V$70,
      MATCH(1,
        ('Fairway Log'!$A$2:$A$70=$A1020)*
        ('Fairway Log'!$B$2:$B$70=$B1020)*
        ('Fairway Log'!$C$2:$C1091=$C1020),
      0),
      MATCH($G1020,'Fairway Log'!$E$1:$V$1,0)
    ),
  "")
)</f>
        <v/>
      </c>
      <c r="Q1020" t="str" cm="1">
        <f t="array" ref="Q1020">IFERROR(
  INDEX('GIR Log'!$E$2:$V$70,
    MATCH(1,
      ('GIR Log'!$A$2:$A$70=$A1020)*
      ('GIR Log'!$B$2:$B$70=$B1020)*
      ('GIR Log'!$C$2:$C$70=$C1020),
    0),
    MATCH($G1020,'GIR Log'!$E$1:$V$1,0)
  ),
"")</f>
        <v>↑</v>
      </c>
    </row>
    <row r="1021" spans="1:17" x14ac:dyDescent="0.25">
      <c r="A1021" s="51" t="s">
        <v>130</v>
      </c>
      <c r="B1021" s="2">
        <v>45653</v>
      </c>
      <c r="C1021" t="s">
        <v>2</v>
      </c>
      <c r="D1021" t="s">
        <v>72</v>
      </c>
      <c r="E1021" s="12" t="s">
        <v>34</v>
      </c>
      <c r="F1021">
        <v>92</v>
      </c>
      <c r="G1021" s="12" t="s">
        <v>58</v>
      </c>
      <c r="H1021" s="9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Log'!$E$2:$V$70,
    MATCH(1,
      ('Golf Log'!$A$2:$A$70=$A1021)*
      ('Golf Log'!$B$2:$B$70=$B1021)*
      ('Golf Log'!$C$2:$C$70=$C1021),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Log'!$E$2:$V$70,
    MATCH(1,
      ('Putt Log'!$A$2:$A$70=$A1021)*
      ('Putt Log'!$B$2:$B$70=$B1021)*
      ('Putt Log'!$C$2:$C$70=$C1021),
    0),
    MATCH($G1021,'Putt Log'!$E$1:$V$1,0)
  ),
"")</f>
        <v>2</v>
      </c>
      <c r="P1021" t="str" cm="1">
        <f t="array" ref="P1021">IF(K1021=3,"",
  IFERROR(
    INDEX('Fairway Log'!$E$2:$V$70,
      MATCH(1,
        ('Fairway Log'!$A$2:$A$70=$A1021)*
        ('Fairway Log'!$B$2:$B$70=$B1021)*
        ('Fairway Log'!$C$2:$C1092=$C1021),
      0),
      MATCH($G1021,'Fairway Log'!$E$1:$V$1,0)
    ),
  "")
)</f>
        <v>←</v>
      </c>
      <c r="Q1021" cm="1">
        <f t="array" ref="Q1021">IFERROR(
  INDEX('GIR Log'!$E$2:$V$70,
    MATCH(1,
      ('GIR Log'!$A$2:$A$70=$A1021)*
      ('GIR Log'!$B$2:$B$70=$B1021)*
      ('GIR Log'!$C$2:$C$70=$C1021),
    0),
    MATCH($G1021,'GIR Log'!$E$1:$V$1,0)
  ),
"")</f>
        <v>1</v>
      </c>
    </row>
    <row r="1022" spans="1:17" x14ac:dyDescent="0.25">
      <c r="A1022" s="51" t="s">
        <v>130</v>
      </c>
      <c r="B1022" s="2">
        <v>45653</v>
      </c>
      <c r="C1022" t="s">
        <v>2</v>
      </c>
      <c r="D1022" t="s">
        <v>72</v>
      </c>
      <c r="E1022" s="12" t="s">
        <v>34</v>
      </c>
      <c r="F1022">
        <v>92</v>
      </c>
      <c r="G1022" s="12" t="s">
        <v>59</v>
      </c>
      <c r="H1022" s="9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Log'!$E$2:$V$70,
    MATCH(1,
      ('Golf Log'!$A$2:$A$70=$A1022)*
      ('Golf Log'!$B$2:$B$70=$B1022)*
      ('Golf Log'!$C$2:$C$70=$C1022),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Log'!$E$2:$V$70,
    MATCH(1,
      ('Putt Log'!$A$2:$A$70=$A1022)*
      ('Putt Log'!$B$2:$B$70=$B1022)*
      ('Putt Log'!$C$2:$C$70=$C1022),
    0),
    MATCH($G1022,'Putt Log'!$E$1:$V$1,0)
  ),
"")</f>
        <v>2</v>
      </c>
      <c r="P1022" t="str" cm="1">
        <f t="array" ref="P1022">IF(K1022=3,"",
  IFERROR(
    INDEX('Fairway Log'!$E$2:$V$70,
      MATCH(1,
        ('Fairway Log'!$A$2:$A$70=$A1022)*
        ('Fairway Log'!$B$2:$B$70=$B1022)*
        ('Fairway Log'!$C$2:$C1093=$C1022),
      0),
      MATCH($G1022,'Fairway Log'!$E$1:$V$1,0)
    ),
  "")
)</f>
        <v>←</v>
      </c>
      <c r="Q1022" t="str" cm="1">
        <f t="array" ref="Q1022">IFERROR(
  INDEX('GIR Log'!$E$2:$V$70,
    MATCH(1,
      ('GIR Log'!$A$2:$A$70=$A1022)*
      ('GIR Log'!$B$2:$B$70=$B1022)*
      ('GIR Log'!$C$2:$C$70=$C1022),
    0),
    MATCH($G1022,'GIR Log'!$E$1:$V$1,0)
  ),
"")</f>
        <v>↓</v>
      </c>
    </row>
    <row r="1023" spans="1:17" x14ac:dyDescent="0.25">
      <c r="A1023" s="51" t="s">
        <v>130</v>
      </c>
      <c r="B1023" s="2">
        <v>45653</v>
      </c>
      <c r="C1023" t="s">
        <v>2</v>
      </c>
      <c r="D1023" t="s">
        <v>72</v>
      </c>
      <c r="E1023" s="12" t="s">
        <v>34</v>
      </c>
      <c r="F1023">
        <v>92</v>
      </c>
      <c r="G1023" s="12" t="s">
        <v>60</v>
      </c>
      <c r="H1023" s="9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Log'!$E$2:$V$70,
    MATCH(1,
      ('Golf Log'!$A$2:$A$70=$A1023)*
      ('Golf Log'!$B$2:$B$70=$B1023)*
      ('Golf Log'!$C$2:$C$70=$C1023),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Log'!$E$2:$V$70,
    MATCH(1,
      ('Putt Log'!$A$2:$A$70=$A1023)*
      ('Putt Log'!$B$2:$B$70=$B1023)*
      ('Putt Log'!$C$2:$C$70=$C1023),
    0),
    MATCH($G1023,'Putt Log'!$E$1:$V$1,0)
  ),
"")</f>
        <v>2</v>
      </c>
      <c r="P1023" t="str" cm="1">
        <f t="array" ref="P1023">IF(K1023=3,"",
  IFERROR(
    INDEX('Fairway Log'!$E$2:$V$70,
      MATCH(1,
        ('Fairway Log'!$A$2:$A$70=$A1023)*
        ('Fairway Log'!$B$2:$B$70=$B1023)*
        ('Fairway Log'!$C$2:$C1094=$C1023),
      0),
      MATCH($G1023,'Fairway Log'!$E$1:$V$1,0)
    ),
  "")
)</f>
        <v>←</v>
      </c>
      <c r="Q1023" t="str" cm="1">
        <f t="array" ref="Q1023">IFERROR(
  INDEX('GIR Log'!$E$2:$V$70,
    MATCH(1,
      ('GIR Log'!$A$2:$A$70=$A1023)*
      ('GIR Log'!$B$2:$B$70=$B1023)*
      ('GIR Log'!$C$2:$C$70=$C1023),
    0),
    MATCH($G1023,'GIR Log'!$E$1:$V$1,0)
  ),
"")</f>
        <v>↓</v>
      </c>
    </row>
    <row r="1024" spans="1:17" x14ac:dyDescent="0.25">
      <c r="A1024" s="51" t="s">
        <v>130</v>
      </c>
      <c r="B1024" s="2">
        <v>45653</v>
      </c>
      <c r="C1024" t="s">
        <v>2</v>
      </c>
      <c r="D1024" t="s">
        <v>72</v>
      </c>
      <c r="E1024" s="12" t="s">
        <v>34</v>
      </c>
      <c r="F1024">
        <v>92</v>
      </c>
      <c r="G1024" s="12" t="s">
        <v>61</v>
      </c>
      <c r="H1024" s="9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Log'!$E$2:$V$70,
    MATCH(1,
      ('Golf Log'!$A$2:$A$70=$A1024)*
      ('Golf Log'!$B$2:$B$70=$B1024)*
      ('Golf Log'!$C$2:$C$70=$C1024),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Log'!$E$2:$V$70,
    MATCH(1,
      ('Putt Log'!$A$2:$A$70=$A1024)*
      ('Putt Log'!$B$2:$B$70=$B1024)*
      ('Putt Log'!$C$2:$C$70=$C1024),
    0),
    MATCH($G1024,'Putt Log'!$E$1:$V$1,0)
  ),
"")</f>
        <v>2</v>
      </c>
      <c r="P1024" t="str" cm="1">
        <f t="array" ref="P1024">IF(K1024=3,"",
  IFERROR(
    INDEX('Fairway Log'!$E$2:$V$70,
      MATCH(1,
        ('Fairway Log'!$A$2:$A$70=$A1024)*
        ('Fairway Log'!$B$2:$B$70=$B1024)*
        ('Fairway Log'!$C$2:$C1095=$C1024),
      0),
      MATCH($G1024,'Fairway Log'!$E$1:$V$1,0)
    ),
  "")
)</f>
        <v>→</v>
      </c>
      <c r="Q1024" t="str" cm="1">
        <f t="array" ref="Q1024">IFERROR(
  INDEX('GIR Log'!$E$2:$V$70,
    MATCH(1,
      ('GIR Log'!$A$2:$A$70=$A1024)*
      ('GIR Log'!$B$2:$B$70=$B1024)*
      ('GIR Log'!$C$2:$C$70=$C1024),
    0),
    MATCH($G1024,'GIR Log'!$E$1:$V$1,0)
  ),
"")</f>
        <v>↓</v>
      </c>
    </row>
    <row r="1025" spans="1:17" x14ac:dyDescent="0.25">
      <c r="A1025" s="51" t="s">
        <v>130</v>
      </c>
      <c r="B1025" s="2">
        <v>45653</v>
      </c>
      <c r="C1025" t="s">
        <v>2</v>
      </c>
      <c r="D1025" t="s">
        <v>72</v>
      </c>
      <c r="E1025" s="12" t="s">
        <v>34</v>
      </c>
      <c r="F1025">
        <v>92</v>
      </c>
      <c r="G1025" s="12" t="s">
        <v>62</v>
      </c>
      <c r="H1025" s="9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Log'!$E$2:$V$70,
    MATCH(1,
      ('Golf Log'!$A$2:$A$70=$A1025)*
      ('Golf Log'!$B$2:$B$70=$B1025)*
      ('Golf Log'!$C$2:$C$70=$C1025),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Log'!$E$2:$V$70,
    MATCH(1,
      ('Putt Log'!$A$2:$A$70=$A1025)*
      ('Putt Log'!$B$2:$B$70=$B1025)*
      ('Putt Log'!$C$2:$C$70=$C1025),
    0),
    MATCH($G1025,'Putt Log'!$E$1:$V$1,0)
  ),
"")</f>
        <v>2</v>
      </c>
      <c r="P1025" t="str" cm="1">
        <f t="array" ref="P1025">IF(K1025=3,"",
  IFERROR(
    INDEX('Fairway Log'!$E$2:$V$70,
      MATCH(1,
        ('Fairway Log'!$A$2:$A$70=$A1025)*
        ('Fairway Log'!$B$2:$B$70=$B1025)*
        ('Fairway Log'!$C$2:$C1096=$C1025),
      0),
      MATCH($G1025,'Fairway Log'!$E$1:$V$1,0)
    ),
  "")
)</f>
        <v/>
      </c>
      <c r="Q1025" t="str" cm="1">
        <f t="array" ref="Q1025">IFERROR(
  INDEX('GIR Log'!$E$2:$V$70,
    MATCH(1,
      ('GIR Log'!$A$2:$A$70=$A1025)*
      ('GIR Log'!$B$2:$B$70=$B1025)*
      ('GIR Log'!$C$2:$C$70=$C1025),
    0),
    MATCH($G1025,'GIR Log'!$E$1:$V$1,0)
  ),
"")</f>
        <v>←</v>
      </c>
    </row>
    <row r="1026" spans="1:17" x14ac:dyDescent="0.25">
      <c r="A1026" s="51" t="s">
        <v>130</v>
      </c>
      <c r="B1026" s="2">
        <v>45653</v>
      </c>
      <c r="C1026" t="s">
        <v>2</v>
      </c>
      <c r="D1026" t="s">
        <v>72</v>
      </c>
      <c r="E1026" s="12" t="s">
        <v>34</v>
      </c>
      <c r="F1026">
        <v>92</v>
      </c>
      <c r="G1026" s="12" t="s">
        <v>63</v>
      </c>
      <c r="H1026" s="9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Log'!$E$2:$V$70,
    MATCH(1,
      ('Golf Log'!$A$2:$A$70=$A1026)*
      ('Golf Log'!$B$2:$B$70=$B1026)*
      ('Golf Log'!$C$2:$C$70=$C1026),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Log'!$E$2:$V$70,
    MATCH(1,
      ('Putt Log'!$A$2:$A$70=$A1026)*
      ('Putt Log'!$B$2:$B$70=$B1026)*
      ('Putt Log'!$C$2:$C$70=$C1026),
    0),
    MATCH($G1026,'Putt Log'!$E$1:$V$1,0)
  ),
"")</f>
        <v>2</v>
      </c>
      <c r="P1026" t="str" cm="1">
        <f t="array" ref="P1026">IF(K1026=3,"",
  IFERROR(
    INDEX('Fairway Log'!$E$2:$V$70,
      MATCH(1,
        ('Fairway Log'!$A$2:$A$70=$A1026)*
        ('Fairway Log'!$B$2:$B$70=$B1026)*
        ('Fairway Log'!$C$2:$C1097=$C1026),
      0),
      MATCH($G1026,'Fairway Log'!$E$1:$V$1,0)
    ),
  "")
)</f>
        <v>←</v>
      </c>
      <c r="Q1026" t="str" cm="1">
        <f t="array" ref="Q1026">IFERROR(
  INDEX('GIR Log'!$E$2:$V$70,
    MATCH(1,
      ('GIR Log'!$A$2:$A$70=$A1026)*
      ('GIR Log'!$B$2:$B$70=$B1026)*
      ('GIR Log'!$C$2:$C$70=$C1026),
    0),
    MATCH($G1026,'GIR Log'!$E$1:$V$1,0)
  ),
"")</f>
        <v>↓</v>
      </c>
    </row>
    <row r="1027" spans="1:17" x14ac:dyDescent="0.25">
      <c r="A1027" s="51" t="s">
        <v>130</v>
      </c>
      <c r="B1027" s="2">
        <v>45653</v>
      </c>
      <c r="C1027" t="s">
        <v>2</v>
      </c>
      <c r="D1027" t="s">
        <v>72</v>
      </c>
      <c r="E1027" s="12" t="s">
        <v>34</v>
      </c>
      <c r="F1027">
        <v>92</v>
      </c>
      <c r="G1027" s="12" t="s">
        <v>64</v>
      </c>
      <c r="H1027" s="9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Log'!$E$2:$V$70,
    MATCH(1,
      ('Golf Log'!$A$2:$A$70=$A1027)*
      ('Golf Log'!$B$2:$B$70=$B1027)*
      ('Golf Log'!$C$2:$C$70=$C1027),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Log'!$E$2:$V$70,
    MATCH(1,
      ('Putt Log'!$A$2:$A$70=$A1027)*
      ('Putt Log'!$B$2:$B$70=$B1027)*
      ('Putt Log'!$C$2:$C$70=$C1027),
    0),
    MATCH($G1027,'Putt Log'!$E$1:$V$1,0)
  ),
"")</f>
        <v>2</v>
      </c>
      <c r="P1027" t="str" cm="1">
        <f t="array" ref="P1027">IF(K1027=3,"",
  IFERROR(
    INDEX('Fairway Log'!$E$2:$V$70,
      MATCH(1,
        ('Fairway Log'!$A$2:$A$70=$A1027)*
        ('Fairway Log'!$B$2:$B$70=$B1027)*
        ('Fairway Log'!$C$2:$C1098=$C1027),
      0),
      MATCH($G1027,'Fairway Log'!$E$1:$V$1,0)
    ),
  "")
)</f>
        <v>→</v>
      </c>
      <c r="Q1027" t="str" cm="1">
        <f t="array" ref="Q1027">IFERROR(
  INDEX('GIR Log'!$E$2:$V$70,
    MATCH(1,
      ('GIR Log'!$A$2:$A$70=$A1027)*
      ('GIR Log'!$B$2:$B$70=$B1027)*
      ('GIR Log'!$C$2:$C$70=$C1027),
    0),
    MATCH($G1027,'GIR Log'!$E$1:$V$1,0)
  ),
"")</f>
        <v>↓</v>
      </c>
    </row>
    <row r="1028" spans="1:17" x14ac:dyDescent="0.25">
      <c r="A1028" s="51" t="s">
        <v>130</v>
      </c>
      <c r="B1028" s="2">
        <v>45655</v>
      </c>
      <c r="C1028" t="s">
        <v>4</v>
      </c>
      <c r="D1028" t="s">
        <v>71</v>
      </c>
      <c r="E1028" s="51" t="s">
        <v>34</v>
      </c>
      <c r="F1028">
        <v>91</v>
      </c>
      <c r="G1028" t="s">
        <v>47</v>
      </c>
      <c r="H1028" s="9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Log'!$E$2:$V$70,
    MATCH(1,
      ('Golf Log'!$A$2:$A$70=$A1028)*
      ('Golf Log'!$B$2:$B$70=$B1028)*
      ('Golf Log'!$C$2:$C$70=$C1028),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Log'!$E$2:$V$70,
    MATCH(1,
      ('Putt Log'!$A$2:$A$70=$A1028)*
      ('Putt Log'!$B$2:$B$70=$B1028)*
      ('Putt Log'!$C$2:$C$70=$C1028),
    0),
    MATCH($G1028,'Putt Log'!$E$1:$V$1,0)
  ),
"")</f>
        <v>2</v>
      </c>
      <c r="P1028" cm="1">
        <f t="array" ref="P1028">IF(K1028=3,"",
  IFERROR(
    INDEX('Fairway Log'!$E$2:$V$70,
      MATCH(1,
        ('Fairway Log'!$A$2:$A$70=$A1028)*
        ('Fairway Log'!$B$2:$B$70=$B1028)*
        ('Fairway Log'!$C$2:$C1099=$C1028),
      0),
      MATCH($G1028,'Fairway Log'!$E$1:$V$1,0)
    ),
  "")
)</f>
        <v>1</v>
      </c>
      <c r="Q1028" cm="1">
        <f t="array" ref="Q1028">IFERROR(
  INDEX('GIR Log'!$E$2:$V$70,
    MATCH(1,
      ('GIR Log'!$A$2:$A$70=$A1028)*
      ('GIR Log'!$B$2:$B$70=$B1028)*
      ('GIR Log'!$C$2:$C$70=$C1028),
    0),
    MATCH($G1028,'GIR Log'!$E$1:$V$1,0)
  ),
"")</f>
        <v>1</v>
      </c>
    </row>
    <row r="1029" spans="1:17" x14ac:dyDescent="0.25">
      <c r="A1029" s="51" t="s">
        <v>130</v>
      </c>
      <c r="B1029" s="2">
        <v>45655</v>
      </c>
      <c r="C1029" t="s">
        <v>4</v>
      </c>
      <c r="D1029" t="s">
        <v>71</v>
      </c>
      <c r="E1029" s="51" t="s">
        <v>34</v>
      </c>
      <c r="F1029">
        <v>91</v>
      </c>
      <c r="G1029" t="s">
        <v>48</v>
      </c>
      <c r="H1029" s="9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Log'!$E$2:$V$70,
    MATCH(1,
      ('Golf Log'!$A$2:$A$70=$A1029)*
      ('Golf Log'!$B$2:$B$70=$B1029)*
      ('Golf Log'!$C$2:$C$70=$C1029),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Log'!$E$2:$V$70,
    MATCH(1,
      ('Putt Log'!$A$2:$A$70=$A1029)*
      ('Putt Log'!$B$2:$B$70=$B1029)*
      ('Putt Log'!$C$2:$C$70=$C1029),
    0),
    MATCH($G1029,'Putt Log'!$E$1:$V$1,0)
  ),
"")</f>
        <v>3</v>
      </c>
      <c r="P1029" t="str" cm="1">
        <f t="array" ref="P1029">IF(K1029=3,"",
  IFERROR(
    INDEX('Fairway Log'!$E$2:$V$70,
      MATCH(1,
        ('Fairway Log'!$A$2:$A$70=$A1029)*
        ('Fairway Log'!$B$2:$B$70=$B1029)*
        ('Fairway Log'!$C$2:$C1100=$C1029),
      0),
      MATCH($G1029,'Fairway Log'!$E$1:$V$1,0)
    ),
  "")
)</f>
        <v>←</v>
      </c>
      <c r="Q1029" cm="1">
        <f t="array" ref="Q1029">IFERROR(
  INDEX('GIR Log'!$E$2:$V$70,
    MATCH(1,
      ('GIR Log'!$A$2:$A$70=$A1029)*
      ('GIR Log'!$B$2:$B$70=$B1029)*
      ('GIR Log'!$C$2:$C$70=$C1029),
    0),
    MATCH($G1029,'GIR Log'!$E$1:$V$1,0)
  ),
"")</f>
        <v>1</v>
      </c>
    </row>
    <row r="1030" spans="1:17" x14ac:dyDescent="0.25">
      <c r="A1030" s="51" t="s">
        <v>130</v>
      </c>
      <c r="B1030" s="2">
        <v>45655</v>
      </c>
      <c r="C1030" t="s">
        <v>4</v>
      </c>
      <c r="D1030" t="s">
        <v>71</v>
      </c>
      <c r="E1030" s="51" t="s">
        <v>34</v>
      </c>
      <c r="F1030">
        <v>91</v>
      </c>
      <c r="G1030" t="s">
        <v>49</v>
      </c>
      <c r="H1030" s="9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Log'!$E$2:$V$70,
    MATCH(1,
      ('Golf Log'!$A$2:$A$70=$A1030)*
      ('Golf Log'!$B$2:$B$70=$B1030)*
      ('Golf Log'!$C$2:$C$70=$C1030),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Log'!$E$2:$V$70,
    MATCH(1,
      ('Putt Log'!$A$2:$A$70=$A1030)*
      ('Putt Log'!$B$2:$B$70=$B1030)*
      ('Putt Log'!$C$2:$C$70=$C1030),
    0),
    MATCH($G1030,'Putt Log'!$E$1:$V$1,0)
  ),
"")</f>
        <v>1</v>
      </c>
      <c r="P1030" t="str" cm="1">
        <f t="array" ref="P1030">IF(K1030=3,"",
  IFERROR(
    INDEX('Fairway Log'!$E$2:$V$70,
      MATCH(1,
        ('Fairway Log'!$A$2:$A$70=$A1030)*
        ('Fairway Log'!$B$2:$B$70=$B1030)*
        ('Fairway Log'!$C$2:$C1101=$C1030),
      0),
      MATCH($G1030,'Fairway Log'!$E$1:$V$1,0)
    ),
  "")
)</f>
        <v/>
      </c>
      <c r="Q1030" t="str" cm="1">
        <f t="array" ref="Q1030">IFERROR(
  INDEX('GIR Log'!$E$2:$V$70,
    MATCH(1,
      ('GIR Log'!$A$2:$A$70=$A1030)*
      ('GIR Log'!$B$2:$B$70=$B1030)*
      ('GIR Log'!$C$2:$C$70=$C1030),
    0),
    MATCH($G1030,'GIR Log'!$E$1:$V$1,0)
  ),
"")</f>
        <v>←</v>
      </c>
    </row>
    <row r="1031" spans="1:17" x14ac:dyDescent="0.25">
      <c r="A1031" s="51" t="s">
        <v>130</v>
      </c>
      <c r="B1031" s="2">
        <v>45655</v>
      </c>
      <c r="C1031" t="s">
        <v>4</v>
      </c>
      <c r="D1031" t="s">
        <v>71</v>
      </c>
      <c r="E1031" s="51" t="s">
        <v>34</v>
      </c>
      <c r="F1031">
        <v>91</v>
      </c>
      <c r="G1031" t="s">
        <v>50</v>
      </c>
      <c r="H1031" s="9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Log'!$E$2:$V$70,
    MATCH(1,
      ('Golf Log'!$A$2:$A$70=$A1031)*
      ('Golf Log'!$B$2:$B$70=$B1031)*
      ('Golf Log'!$C$2:$C$70=$C1031),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Log'!$E$2:$V$70,
    MATCH(1,
      ('Putt Log'!$A$2:$A$70=$A1031)*
      ('Putt Log'!$B$2:$B$70=$B1031)*
      ('Putt Log'!$C$2:$C$70=$C1031),
    0),
    MATCH($G1031,'Putt Log'!$E$1:$V$1,0)
  ),
"")</f>
        <v>1</v>
      </c>
      <c r="P1031" t="str" cm="1">
        <f t="array" ref="P1031">IF(K1031=3,"",
  IFERROR(
    INDEX('Fairway Log'!$E$2:$V$70,
      MATCH(1,
        ('Fairway Log'!$A$2:$A$70=$A1031)*
        ('Fairway Log'!$B$2:$B$70=$B1031)*
        ('Fairway Log'!$C$2:$C1102=$C1031),
      0),
      MATCH($G1031,'Fairway Log'!$E$1:$V$1,0)
    ),
  "")
)</f>
        <v>←</v>
      </c>
      <c r="Q1031" cm="1">
        <f t="array" ref="Q1031">IFERROR(
  INDEX('GIR Log'!$E$2:$V$70,
    MATCH(1,
      ('GIR Log'!$A$2:$A$70=$A1031)*
      ('GIR Log'!$B$2:$B$70=$B1031)*
      ('GIR Log'!$C$2:$C$70=$C1031),
    0),
    MATCH($G1031,'GIR Log'!$E$1:$V$1,0)
  ),
"")</f>
        <v>1</v>
      </c>
    </row>
    <row r="1032" spans="1:17" x14ac:dyDescent="0.25">
      <c r="A1032" s="51" t="s">
        <v>130</v>
      </c>
      <c r="B1032" s="2">
        <v>45655</v>
      </c>
      <c r="C1032" t="s">
        <v>4</v>
      </c>
      <c r="D1032" t="s">
        <v>71</v>
      </c>
      <c r="E1032" s="51" t="s">
        <v>34</v>
      </c>
      <c r="F1032">
        <v>91</v>
      </c>
      <c r="G1032" t="s">
        <v>51</v>
      </c>
      <c r="H1032" s="9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Log'!$E$2:$V$70,
    MATCH(1,
      ('Golf Log'!$A$2:$A$70=$A1032)*
      ('Golf Log'!$B$2:$B$70=$B1032)*
      ('Golf Log'!$C$2:$C$70=$C1032),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Log'!$E$2:$V$70,
    MATCH(1,
      ('Putt Log'!$A$2:$A$70=$A1032)*
      ('Putt Log'!$B$2:$B$70=$B1032)*
      ('Putt Log'!$C$2:$C$70=$C1032),
    0),
    MATCH($G1032,'Putt Log'!$E$1:$V$1,0)
  ),
"")</f>
        <v>2</v>
      </c>
      <c r="P1032" cm="1">
        <f t="array" ref="P1032">IF(K1032=3,"",
  IFERROR(
    INDEX('Fairway Log'!$E$2:$V$70,
      MATCH(1,
        ('Fairway Log'!$A$2:$A$70=$A1032)*
        ('Fairway Log'!$B$2:$B$70=$B1032)*
        ('Fairway Log'!$C$2:$C1103=$C1032),
      0),
      MATCH($G1032,'Fairway Log'!$E$1:$V$1,0)
    ),
  "")
)</f>
        <v>0</v>
      </c>
      <c r="Q1032" t="str" cm="1">
        <f t="array" ref="Q1032">IFERROR(
  INDEX('GIR Log'!$E$2:$V$70,
    MATCH(1,
      ('GIR Log'!$A$2:$A$70=$A1032)*
      ('GIR Log'!$B$2:$B$70=$B1032)*
      ('GIR Log'!$C$2:$C$70=$C1032),
    0),
    MATCH($G1032,'GIR Log'!$E$1:$V$1,0)
  ),
"")</f>
        <v>↓</v>
      </c>
    </row>
    <row r="1033" spans="1:17" x14ac:dyDescent="0.25">
      <c r="A1033" s="51" t="s">
        <v>130</v>
      </c>
      <c r="B1033" s="2">
        <v>45655</v>
      </c>
      <c r="C1033" t="s">
        <v>4</v>
      </c>
      <c r="D1033" t="s">
        <v>71</v>
      </c>
      <c r="E1033" s="51" t="s">
        <v>34</v>
      </c>
      <c r="F1033">
        <v>91</v>
      </c>
      <c r="G1033" t="s">
        <v>52</v>
      </c>
      <c r="H1033" s="9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Log'!$E$2:$V$70,
    MATCH(1,
      ('Golf Log'!$A$2:$A$70=$A1033)*
      ('Golf Log'!$B$2:$B$70=$B1033)*
      ('Golf Log'!$C$2:$C$70=$C1033),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Log'!$E$2:$V$70,
    MATCH(1,
      ('Putt Log'!$A$2:$A$70=$A1033)*
      ('Putt Log'!$B$2:$B$70=$B1033)*
      ('Putt Log'!$C$2:$C$70=$C1033),
    0),
    MATCH($G1033,'Putt Log'!$E$1:$V$1,0)
  ),
"")</f>
        <v>2</v>
      </c>
      <c r="P1033" t="str" cm="1">
        <f t="array" ref="P1033">IF(K1033=3,"",
  IFERROR(
    INDEX('Fairway Log'!$E$2:$V$70,
      MATCH(1,
        ('Fairway Log'!$A$2:$A$70=$A1033)*
        ('Fairway Log'!$B$2:$B$70=$B1033)*
        ('Fairway Log'!$C$2:$C1104=$C1033),
      0),
      MATCH($G1033,'Fairway Log'!$E$1:$V$1,0)
    ),
  "")
)</f>
        <v>→</v>
      </c>
      <c r="Q1033" cm="1">
        <f t="array" ref="Q1033">IFERROR(
  INDEX('GIR Log'!$E$2:$V$70,
    MATCH(1,
      ('GIR Log'!$A$2:$A$70=$A1033)*
      ('GIR Log'!$B$2:$B$70=$B1033)*
      ('GIR Log'!$C$2:$C$70=$C1033),
    0),
    MATCH($G1033,'GIR Log'!$E$1:$V$1,0)
  ),
"")</f>
        <v>1</v>
      </c>
    </row>
    <row r="1034" spans="1:17" x14ac:dyDescent="0.25">
      <c r="A1034" s="51" t="s">
        <v>130</v>
      </c>
      <c r="B1034" s="2">
        <v>45655</v>
      </c>
      <c r="C1034" t="s">
        <v>4</v>
      </c>
      <c r="D1034" t="s">
        <v>71</v>
      </c>
      <c r="E1034" s="51" t="s">
        <v>34</v>
      </c>
      <c r="F1034">
        <v>91</v>
      </c>
      <c r="G1034" t="s">
        <v>53</v>
      </c>
      <c r="H1034" s="9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Log'!$E$2:$V$70,
    MATCH(1,
      ('Golf Log'!$A$2:$A$70=$A1034)*
      ('Golf Log'!$B$2:$B$70=$B1034)*
      ('Golf Log'!$C$2:$C$70=$C1034),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Log'!$E$2:$V$70,
    MATCH(1,
      ('Putt Log'!$A$2:$A$70=$A1034)*
      ('Putt Log'!$B$2:$B$70=$B1034)*
      ('Putt Log'!$C$2:$C$70=$C1034),
    0),
    MATCH($G1034,'Putt Log'!$E$1:$V$1,0)
  ),
"")</f>
        <v>2</v>
      </c>
      <c r="P1034" t="str" cm="1">
        <f t="array" ref="P1034">IF(K1034=3,"",
  IFERROR(
    INDEX('Fairway Log'!$E$2:$V$70,
      MATCH(1,
        ('Fairway Log'!$A$2:$A$70=$A1034)*
        ('Fairway Log'!$B$2:$B$70=$B1034)*
        ('Fairway Log'!$C$2:$C1105=$C1034),
      0),
      MATCH($G1034,'Fairway Log'!$E$1:$V$1,0)
    ),
  "")
)</f>
        <v>↓</v>
      </c>
      <c r="Q1034" t="str" cm="1">
        <f t="array" ref="Q1034">IFERROR(
  INDEX('GIR Log'!$E$2:$V$70,
    MATCH(1,
      ('GIR Log'!$A$2:$A$70=$A1034)*
      ('GIR Log'!$B$2:$B$70=$B1034)*
      ('GIR Log'!$C$2:$C$70=$C1034),
    0),
    MATCH($G1034,'GIR Log'!$E$1:$V$1,0)
  ),
"")</f>
        <v>↓</v>
      </c>
    </row>
    <row r="1035" spans="1:17" x14ac:dyDescent="0.25">
      <c r="A1035" s="51" t="s">
        <v>130</v>
      </c>
      <c r="B1035" s="2">
        <v>45655</v>
      </c>
      <c r="C1035" t="s">
        <v>4</v>
      </c>
      <c r="D1035" t="s">
        <v>71</v>
      </c>
      <c r="E1035" s="51" t="s">
        <v>34</v>
      </c>
      <c r="F1035">
        <v>91</v>
      </c>
      <c r="G1035" t="s">
        <v>54</v>
      </c>
      <c r="H1035" s="9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Log'!$E$2:$V$70,
    MATCH(1,
      ('Golf Log'!$A$2:$A$70=$A1035)*
      ('Golf Log'!$B$2:$B$70=$B1035)*
      ('Golf Log'!$C$2:$C$70=$C1035),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Log'!$E$2:$V$70,
    MATCH(1,
      ('Putt Log'!$A$2:$A$70=$A1035)*
      ('Putt Log'!$B$2:$B$70=$B1035)*
      ('Putt Log'!$C$2:$C$70=$C1035),
    0),
    MATCH($G1035,'Putt Log'!$E$1:$V$1,0)
  ),
"")</f>
        <v>2</v>
      </c>
      <c r="P1035" t="str" cm="1">
        <f t="array" ref="P1035">IF(K1035=3,"",
  IFERROR(
    INDEX('Fairway Log'!$E$2:$V$70,
      MATCH(1,
        ('Fairway Log'!$A$2:$A$70=$A1035)*
        ('Fairway Log'!$B$2:$B$70=$B1035)*
        ('Fairway Log'!$C$2:$C1106=$C1035),
      0),
      MATCH($G1035,'Fairway Log'!$E$1:$V$1,0)
    ),
  "")
)</f>
        <v/>
      </c>
      <c r="Q1035" t="str" cm="1">
        <f t="array" ref="Q1035">IFERROR(
  INDEX('GIR Log'!$E$2:$V$70,
    MATCH(1,
      ('GIR Log'!$A$2:$A$70=$A1035)*
      ('GIR Log'!$B$2:$B$70=$B1035)*
      ('GIR Log'!$C$2:$C$70=$C1035),
    0),
    MATCH($G1035,'GIR Log'!$E$1:$V$1,0)
  ),
"")</f>
        <v>↑</v>
      </c>
    </row>
    <row r="1036" spans="1:17" x14ac:dyDescent="0.25">
      <c r="A1036" s="51" t="s">
        <v>130</v>
      </c>
      <c r="B1036" s="2">
        <v>45655</v>
      </c>
      <c r="C1036" t="s">
        <v>4</v>
      </c>
      <c r="D1036" t="s">
        <v>71</v>
      </c>
      <c r="E1036" s="51" t="s">
        <v>34</v>
      </c>
      <c r="F1036">
        <v>91</v>
      </c>
      <c r="G1036" t="s">
        <v>55</v>
      </c>
      <c r="H1036" s="9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Log'!$E$2:$V$70,
    MATCH(1,
      ('Golf Log'!$A$2:$A$70=$A1036)*
      ('Golf Log'!$B$2:$B$70=$B1036)*
      ('Golf Log'!$C$2:$C$70=$C1036),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Log'!$E$2:$V$70,
    MATCH(1,
      ('Putt Log'!$A$2:$A$70=$A1036)*
      ('Putt Log'!$B$2:$B$70=$B1036)*
      ('Putt Log'!$C$2:$C$70=$C1036),
    0),
    MATCH($G1036,'Putt Log'!$E$1:$V$1,0)
  ),
"")</f>
        <v>1</v>
      </c>
      <c r="P1036" t="str" cm="1">
        <f t="array" ref="P1036">IF(K1036=3,"",
  IFERROR(
    INDEX('Fairway Log'!$E$2:$V$70,
      MATCH(1,
        ('Fairway Log'!$A$2:$A$70=$A1036)*
        ('Fairway Log'!$B$2:$B$70=$B1036)*
        ('Fairway Log'!$C$2:$C1107=$C1036),
      0),
      MATCH($G1036,'Fairway Log'!$E$1:$V$1,0)
    ),
  "")
)</f>
        <v>↓</v>
      </c>
      <c r="Q1036" t="str" cm="1">
        <f t="array" ref="Q1036">IFERROR(
  INDEX('GIR Log'!$E$2:$V$70,
    MATCH(1,
      ('GIR Log'!$A$2:$A$70=$A1036)*
      ('GIR Log'!$B$2:$B$70=$B1036)*
      ('GIR Log'!$C$2:$C$70=$C1036),
    0),
    MATCH($G1036,'GIR Log'!$E$1:$V$1,0)
  ),
"")</f>
        <v>↓</v>
      </c>
    </row>
    <row r="1037" spans="1:17" x14ac:dyDescent="0.25">
      <c r="A1037" s="51" t="s">
        <v>130</v>
      </c>
      <c r="B1037" s="2">
        <v>45655</v>
      </c>
      <c r="C1037" t="s">
        <v>4</v>
      </c>
      <c r="D1037" t="s">
        <v>71</v>
      </c>
      <c r="E1037" s="51" t="s">
        <v>34</v>
      </c>
      <c r="F1037">
        <v>91</v>
      </c>
      <c r="G1037" t="s">
        <v>56</v>
      </c>
      <c r="H1037" s="9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Log'!$E$2:$V$70,
    MATCH(1,
      ('Golf Log'!$A$2:$A$70=$A1037)*
      ('Golf Log'!$B$2:$B$70=$B1037)*
      ('Golf Log'!$C$2:$C$70=$C1037),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Log'!$E$2:$V$70,
    MATCH(1,
      ('Putt Log'!$A$2:$A$70=$A1037)*
      ('Putt Log'!$B$2:$B$70=$B1037)*
      ('Putt Log'!$C$2:$C$70=$C1037),
    0),
    MATCH($G1037,'Putt Log'!$E$1:$V$1,0)
  ),
"")</f>
        <v>3</v>
      </c>
      <c r="P1037" cm="1">
        <f t="array" ref="P1037">IF(K1037=3,"",
  IFERROR(
    INDEX('Fairway Log'!$E$2:$V$70,
      MATCH(1,
        ('Fairway Log'!$A$2:$A$70=$A1037)*
        ('Fairway Log'!$B$2:$B$70=$B1037)*
        ('Fairway Log'!$C$2:$C1108=$C1037),
      0),
      MATCH($G1037,'Fairway Log'!$E$1:$V$1,0)
    ),
  "")
)</f>
        <v>1</v>
      </c>
      <c r="Q1037" t="str" cm="1">
        <f t="array" ref="Q1037">IFERROR(
  INDEX('GIR Log'!$E$2:$V$70,
    MATCH(1,
      ('GIR Log'!$A$2:$A$70=$A1037)*
      ('GIR Log'!$B$2:$B$70=$B1037)*
      ('GIR Log'!$C$2:$C$70=$C1037),
    0),
    MATCH($G1037,'GIR Log'!$E$1:$V$1,0)
  ),
"")</f>
        <v>↓</v>
      </c>
    </row>
    <row r="1038" spans="1:17" x14ac:dyDescent="0.25">
      <c r="A1038" s="51" t="s">
        <v>130</v>
      </c>
      <c r="B1038" s="2">
        <v>45655</v>
      </c>
      <c r="C1038" t="s">
        <v>4</v>
      </c>
      <c r="D1038" t="s">
        <v>71</v>
      </c>
      <c r="E1038" s="51" t="s">
        <v>34</v>
      </c>
      <c r="F1038">
        <v>91</v>
      </c>
      <c r="G1038" t="s">
        <v>57</v>
      </c>
      <c r="H1038" s="9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Log'!$E$2:$V$70,
    MATCH(1,
      ('Golf Log'!$A$2:$A$70=$A1038)*
      ('Golf Log'!$B$2:$B$70=$B1038)*
      ('Golf Log'!$C$2:$C$70=$C1038),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Log'!$E$2:$V$70,
    MATCH(1,
      ('Putt Log'!$A$2:$A$70=$A1038)*
      ('Putt Log'!$B$2:$B$70=$B1038)*
      ('Putt Log'!$C$2:$C$70=$C1038),
    0),
    MATCH($G1038,'Putt Log'!$E$1:$V$1,0)
  ),
"")</f>
        <v>3</v>
      </c>
      <c r="P1038" t="str" cm="1">
        <f t="array" ref="P1038">IF(K1038=3,"",
  IFERROR(
    INDEX('Fairway Log'!$E$2:$V$70,
      MATCH(1,
        ('Fairway Log'!$A$2:$A$70=$A1038)*
        ('Fairway Log'!$B$2:$B$70=$B1038)*
        ('Fairway Log'!$C$2:$C1109=$C1038),
      0),
      MATCH($G1038,'Fairway Log'!$E$1:$V$1,0)
    ),
  "")
)</f>
        <v>→</v>
      </c>
      <c r="Q1038" t="str" cm="1">
        <f t="array" ref="Q1038">IFERROR(
  INDEX('GIR Log'!$E$2:$V$70,
    MATCH(1,
      ('GIR Log'!$A$2:$A$70=$A1038)*
      ('GIR Log'!$B$2:$B$70=$B1038)*
      ('GIR Log'!$C$2:$C$70=$C1038),
    0),
    MATCH($G1038,'GIR Log'!$E$1:$V$1,0)
  ),
"")</f>
        <v>↓</v>
      </c>
    </row>
    <row r="1039" spans="1:17" x14ac:dyDescent="0.25">
      <c r="A1039" s="51" t="s">
        <v>130</v>
      </c>
      <c r="B1039" s="2">
        <v>45655</v>
      </c>
      <c r="C1039" t="s">
        <v>4</v>
      </c>
      <c r="D1039" t="s">
        <v>71</v>
      </c>
      <c r="E1039" s="51" t="s">
        <v>34</v>
      </c>
      <c r="F1039">
        <v>91</v>
      </c>
      <c r="G1039" t="s">
        <v>58</v>
      </c>
      <c r="H1039" s="9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Log'!$E$2:$V$70,
    MATCH(1,
      ('Golf Log'!$A$2:$A$70=$A1039)*
      ('Golf Log'!$B$2:$B$70=$B1039)*
      ('Golf Log'!$C$2:$C$70=$C1039),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Log'!$E$2:$V$70,
    MATCH(1,
      ('Putt Log'!$A$2:$A$70=$A1039)*
      ('Putt Log'!$B$2:$B$70=$B1039)*
      ('Putt Log'!$C$2:$C$70=$C1039),
    0),
    MATCH($G1039,'Putt Log'!$E$1:$V$1,0)
  ),
"")</f>
        <v>2</v>
      </c>
      <c r="P1039" t="str" cm="1">
        <f t="array" ref="P1039">IF(K1039=3,"",
  IFERROR(
    INDEX('Fairway Log'!$E$2:$V$70,
      MATCH(1,
        ('Fairway Log'!$A$2:$A$70=$A1039)*
        ('Fairway Log'!$B$2:$B$70=$B1039)*
        ('Fairway Log'!$C$2:$C1110=$C1039),
      0),
      MATCH($G1039,'Fairway Log'!$E$1:$V$1,0)
    ),
  "")
)</f>
        <v>←</v>
      </c>
      <c r="Q1039" t="str" cm="1">
        <f t="array" ref="Q1039">IFERROR(
  INDEX('GIR Log'!$E$2:$V$70,
    MATCH(1,
      ('GIR Log'!$A$2:$A$70=$A1039)*
      ('GIR Log'!$B$2:$B$70=$B1039)*
      ('GIR Log'!$C$2:$C$70=$C1039),
    0),
    MATCH($G1039,'GIR Log'!$E$1:$V$1,0)
  ),
"")</f>
        <v>←</v>
      </c>
    </row>
    <row r="1040" spans="1:17" x14ac:dyDescent="0.25">
      <c r="A1040" s="51" t="s">
        <v>130</v>
      </c>
      <c r="B1040" s="2">
        <v>45655</v>
      </c>
      <c r="C1040" t="s">
        <v>4</v>
      </c>
      <c r="D1040" t="s">
        <v>71</v>
      </c>
      <c r="E1040" s="51" t="s">
        <v>34</v>
      </c>
      <c r="F1040">
        <v>91</v>
      </c>
      <c r="G1040" t="s">
        <v>59</v>
      </c>
      <c r="H1040" s="9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Log'!$E$2:$V$70,
    MATCH(1,
      ('Golf Log'!$A$2:$A$70=$A1040)*
      ('Golf Log'!$B$2:$B$70=$B1040)*
      ('Golf Log'!$C$2:$C$70=$C1040),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Log'!$E$2:$V$70,
    MATCH(1,
      ('Putt Log'!$A$2:$A$70=$A1040)*
      ('Putt Log'!$B$2:$B$70=$B1040)*
      ('Putt Log'!$C$2:$C$70=$C1040),
    0),
    MATCH($G1040,'Putt Log'!$E$1:$V$1,0)
  ),
"")</f>
        <v>2</v>
      </c>
      <c r="P1040" t="str" cm="1">
        <f t="array" ref="P1040">IF(K1040=3,"",
  IFERROR(
    INDEX('Fairway Log'!$E$2:$V$70,
      MATCH(1,
        ('Fairway Log'!$A$2:$A$70=$A1040)*
        ('Fairway Log'!$B$2:$B$70=$B1040)*
        ('Fairway Log'!$C$2:$C1111=$C1040),
      0),
      MATCH($G1040,'Fairway Log'!$E$1:$V$1,0)
    ),
  "")
)</f>
        <v/>
      </c>
      <c r="Q1040" t="str" cm="1">
        <f t="array" ref="Q1040">IFERROR(
  INDEX('GIR Log'!$E$2:$V$70,
    MATCH(1,
      ('GIR Log'!$A$2:$A$70=$A1040)*
      ('GIR Log'!$B$2:$B$70=$B1040)*
      ('GIR Log'!$C$2:$C$70=$C1040),
    0),
    MATCH($G1040,'GIR Log'!$E$1:$V$1,0)
  ),
"")</f>
        <v>↑</v>
      </c>
    </row>
    <row r="1041" spans="1:17" x14ac:dyDescent="0.25">
      <c r="A1041" s="51" t="s">
        <v>130</v>
      </c>
      <c r="B1041" s="2">
        <v>45655</v>
      </c>
      <c r="C1041" t="s">
        <v>4</v>
      </c>
      <c r="D1041" t="s">
        <v>71</v>
      </c>
      <c r="E1041" s="51" t="s">
        <v>34</v>
      </c>
      <c r="F1041">
        <v>91</v>
      </c>
      <c r="G1041" t="s">
        <v>60</v>
      </c>
      <c r="H1041" s="9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Log'!$E$2:$V$70,
    MATCH(1,
      ('Golf Log'!$A$2:$A$70=$A1041)*
      ('Golf Log'!$B$2:$B$70=$B1041)*
      ('Golf Log'!$C$2:$C$70=$C1041),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Log'!$E$2:$V$70,
    MATCH(1,
      ('Putt Log'!$A$2:$A$70=$A1041)*
      ('Putt Log'!$B$2:$B$70=$B1041)*
      ('Putt Log'!$C$2:$C$70=$C1041),
    0),
    MATCH($G1041,'Putt Log'!$E$1:$V$1,0)
  ),
"")</f>
        <v>2</v>
      </c>
      <c r="P1041" t="str" cm="1">
        <f t="array" ref="P1041">IF(K1041=3,"",
  IFERROR(
    INDEX('Fairway Log'!$E$2:$V$70,
      MATCH(1,
        ('Fairway Log'!$A$2:$A$70=$A1041)*
        ('Fairway Log'!$B$2:$B$70=$B1041)*
        ('Fairway Log'!$C$2:$C1112=$C1041),
      0),
      MATCH($G1041,'Fairway Log'!$E$1:$V$1,0)
    ),
  "")
)</f>
        <v>←</v>
      </c>
      <c r="Q1041" t="str" cm="1">
        <f t="array" ref="Q1041">IFERROR(
  INDEX('GIR Log'!$E$2:$V$70,
    MATCH(1,
      ('GIR Log'!$A$2:$A$70=$A1041)*
      ('GIR Log'!$B$2:$B$70=$B1041)*
      ('GIR Log'!$C$2:$C$70=$C1041),
    0),
    MATCH($G1041,'GIR Log'!$E$1:$V$1,0)
  ),
"")</f>
        <v>↓</v>
      </c>
    </row>
    <row r="1042" spans="1:17" x14ac:dyDescent="0.25">
      <c r="A1042" s="51" t="s">
        <v>130</v>
      </c>
      <c r="B1042" s="2">
        <v>45655</v>
      </c>
      <c r="C1042" t="s">
        <v>4</v>
      </c>
      <c r="D1042" t="s">
        <v>71</v>
      </c>
      <c r="E1042" s="51" t="s">
        <v>34</v>
      </c>
      <c r="F1042">
        <v>91</v>
      </c>
      <c r="G1042" t="s">
        <v>61</v>
      </c>
      <c r="H1042" s="9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Log'!$E$2:$V$70,
    MATCH(1,
      ('Golf Log'!$A$2:$A$70=$A1042)*
      ('Golf Log'!$B$2:$B$70=$B1042)*
      ('Golf Log'!$C$2:$C$70=$C1042),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Log'!$E$2:$V$70,
    MATCH(1,
      ('Putt Log'!$A$2:$A$70=$A1042)*
      ('Putt Log'!$B$2:$B$70=$B1042)*
      ('Putt Log'!$C$2:$C$70=$C1042),
    0),
    MATCH($G1042,'Putt Log'!$E$1:$V$1,0)
  ),
"")</f>
        <v>2</v>
      </c>
      <c r="P1042" cm="1">
        <f t="array" ref="P1042">IF(K1042=3,"",
  IFERROR(
    INDEX('Fairway Log'!$E$2:$V$70,
      MATCH(1,
        ('Fairway Log'!$A$2:$A$70=$A1042)*
        ('Fairway Log'!$B$2:$B$70=$B1042)*
        ('Fairway Log'!$C$2:$C1113=$C1042),
      0),
      MATCH($G1042,'Fairway Log'!$E$1:$V$1,0)
    ),
  "")
)</f>
        <v>1</v>
      </c>
      <c r="Q1042" t="str" cm="1">
        <f t="array" ref="Q1042">IFERROR(
  INDEX('GIR Log'!$E$2:$V$70,
    MATCH(1,
      ('GIR Log'!$A$2:$A$70=$A1042)*
      ('GIR Log'!$B$2:$B$70=$B1042)*
      ('GIR Log'!$C$2:$C$70=$C1042),
    0),
    MATCH($G1042,'GIR Log'!$E$1:$V$1,0)
  ),
"")</f>
        <v>↓</v>
      </c>
    </row>
    <row r="1043" spans="1:17" x14ac:dyDescent="0.25">
      <c r="A1043" s="51" t="s">
        <v>130</v>
      </c>
      <c r="B1043" s="2">
        <v>45655</v>
      </c>
      <c r="C1043" t="s">
        <v>4</v>
      </c>
      <c r="D1043" t="s">
        <v>71</v>
      </c>
      <c r="E1043" s="51" t="s">
        <v>34</v>
      </c>
      <c r="F1043">
        <v>91</v>
      </c>
      <c r="G1043" t="s">
        <v>62</v>
      </c>
      <c r="H1043" s="9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Log'!$E$2:$V$70,
    MATCH(1,
      ('Golf Log'!$A$2:$A$70=$A1043)*
      ('Golf Log'!$B$2:$B$70=$B1043)*
      ('Golf Log'!$C$2:$C$70=$C1043),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Log'!$E$2:$V$70,
    MATCH(1,
      ('Putt Log'!$A$2:$A$70=$A1043)*
      ('Putt Log'!$B$2:$B$70=$B1043)*
      ('Putt Log'!$C$2:$C$70=$C1043),
    0),
    MATCH($G1043,'Putt Log'!$E$1:$V$1,0)
  ),
"")</f>
        <v>2</v>
      </c>
      <c r="P1043" t="str" cm="1">
        <f t="array" ref="P1043">IF(K1043=3,"",
  IFERROR(
    INDEX('Fairway Log'!$E$2:$V$70,
      MATCH(1,
        ('Fairway Log'!$A$2:$A$70=$A1043)*
        ('Fairway Log'!$B$2:$B$70=$B1043)*
        ('Fairway Log'!$C$2:$C1114=$C1043),
      0),
      MATCH($G1043,'Fairway Log'!$E$1:$V$1,0)
    ),
  "")
)</f>
        <v/>
      </c>
      <c r="Q1043" t="str" cm="1">
        <f t="array" ref="Q1043">IFERROR(
  INDEX('GIR Log'!$E$2:$V$70,
    MATCH(1,
      ('GIR Log'!$A$2:$A$70=$A1043)*
      ('GIR Log'!$B$2:$B$70=$B1043)*
      ('GIR Log'!$C$2:$C$70=$C1043),
    0),
    MATCH($G1043,'GIR Log'!$E$1:$V$1,0)
  ),
"")</f>
        <v>↑</v>
      </c>
    </row>
    <row r="1044" spans="1:17" x14ac:dyDescent="0.25">
      <c r="A1044" s="51" t="s">
        <v>130</v>
      </c>
      <c r="B1044" s="2">
        <v>45655</v>
      </c>
      <c r="C1044" t="s">
        <v>4</v>
      </c>
      <c r="D1044" t="s">
        <v>71</v>
      </c>
      <c r="E1044" s="51" t="s">
        <v>34</v>
      </c>
      <c r="F1044">
        <v>91</v>
      </c>
      <c r="G1044" t="s">
        <v>63</v>
      </c>
      <c r="H1044" s="9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Log'!$E$2:$V$70,
    MATCH(1,
      ('Golf Log'!$A$2:$A$70=$A1044)*
      ('Golf Log'!$B$2:$B$70=$B1044)*
      ('Golf Log'!$C$2:$C$70=$C1044),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Log'!$E$2:$V$70,
    MATCH(1,
      ('Putt Log'!$A$2:$A$70=$A1044)*
      ('Putt Log'!$B$2:$B$70=$B1044)*
      ('Putt Log'!$C$2:$C$70=$C1044),
    0),
    MATCH($G1044,'Putt Log'!$E$1:$V$1,0)
  ),
"")</f>
        <v>2</v>
      </c>
      <c r="P1044" t="str" cm="1">
        <f t="array" ref="P1044">IF(K1044=3,"",
  IFERROR(
    INDEX('Fairway Log'!$E$2:$V$70,
      MATCH(1,
        ('Fairway Log'!$A$2:$A$70=$A1044)*
        ('Fairway Log'!$B$2:$B$70=$B1044)*
        ('Fairway Log'!$C$2:$C1115=$C1044),
      0),
      MATCH($G1044,'Fairway Log'!$E$1:$V$1,0)
    ),
  "")
)</f>
        <v>←</v>
      </c>
      <c r="Q1044" t="str" cm="1">
        <f t="array" ref="Q1044">IFERROR(
  INDEX('GIR Log'!$E$2:$V$70,
    MATCH(1,
      ('GIR Log'!$A$2:$A$70=$A1044)*
      ('GIR Log'!$B$2:$B$70=$B1044)*
      ('GIR Log'!$C$2:$C$70=$C1044),
    0),
    MATCH($G1044,'GIR Log'!$E$1:$V$1,0)
  ),
"")</f>
        <v>↓</v>
      </c>
    </row>
    <row r="1045" spans="1:17" x14ac:dyDescent="0.25">
      <c r="A1045" s="51" t="s">
        <v>130</v>
      </c>
      <c r="B1045" s="2">
        <v>45655</v>
      </c>
      <c r="C1045" t="s">
        <v>4</v>
      </c>
      <c r="D1045" t="s">
        <v>71</v>
      </c>
      <c r="E1045" s="51" t="s">
        <v>34</v>
      </c>
      <c r="F1045">
        <v>91</v>
      </c>
      <c r="G1045" t="s">
        <v>64</v>
      </c>
      <c r="H1045" s="9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Log'!$E$2:$V$70,
    MATCH(1,
      ('Golf Log'!$A$2:$A$70=$A1045)*
      ('Golf Log'!$B$2:$B$70=$B1045)*
      ('Golf Log'!$C$2:$C$70=$C1045),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Log'!$E$2:$V$70,
    MATCH(1,
      ('Putt Log'!$A$2:$A$70=$A1045)*
      ('Putt Log'!$B$2:$B$70=$B1045)*
      ('Putt Log'!$C$2:$C$70=$C1045),
    0),
    MATCH($G1045,'Putt Log'!$E$1:$V$1,0)
  ),
"")</f>
        <v>2</v>
      </c>
      <c r="P1045" cm="1">
        <f t="array" ref="P1045">IF(K1045=3,"",
  IFERROR(
    INDEX('Fairway Log'!$E$2:$V$70,
      MATCH(1,
        ('Fairway Log'!$A$2:$A$70=$A1045)*
        ('Fairway Log'!$B$2:$B$70=$B1045)*
        ('Fairway Log'!$C$2:$C1116=$C1045),
      0),
      MATCH($G1045,'Fairway Log'!$E$1:$V$1,0)
    ),
  "")
)</f>
        <v>0</v>
      </c>
      <c r="Q1045" cm="1">
        <f t="array" ref="Q1045">IFERROR(
  INDEX('GIR Log'!$E$2:$V$70,
    MATCH(1,
      ('GIR Log'!$A$2:$A$70=$A1045)*
      ('GIR Log'!$B$2:$B$70=$B1045)*
      ('GIR Log'!$C$2:$C$70=$C1045),
    0),
    MATCH($G1045,'GIR Log'!$E$1:$V$1,0)
  ),
"")</f>
        <v>0</v>
      </c>
    </row>
    <row r="1046" spans="1:17" x14ac:dyDescent="0.25">
      <c r="A1046" s="51" t="s">
        <v>130</v>
      </c>
      <c r="B1046" s="2">
        <v>45649</v>
      </c>
      <c r="C1046" s="12" t="s">
        <v>14</v>
      </c>
      <c r="D1046" s="12" t="s">
        <v>73</v>
      </c>
      <c r="E1046" s="12" t="s">
        <v>40</v>
      </c>
      <c r="F1046">
        <v>91</v>
      </c>
      <c r="G1046" s="12" t="s">
        <v>47</v>
      </c>
      <c r="H1046" s="9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Log'!$E$2:$V$70,
    MATCH(1,
      ('Golf Log'!$A$2:$A$70=$A1046)*
      ('Golf Log'!$B$2:$B$70=$B1046)*
      ('Golf Log'!$C$2:$C$70=$C1046),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Log'!$E$2:$V$70,
    MATCH(1,
      ('Putt Log'!$A$2:$A$70=$A1046)*
      ('Putt Log'!$B$2:$B$70=$B1046)*
      ('Putt Log'!$C$2:$C$70=$C1046),
    0),
    MATCH($G1046,'Putt Log'!$E$1:$V$1,0)
  ),
"")</f>
        <v>2</v>
      </c>
      <c r="P1046" t="str" cm="1">
        <f t="array" ref="P1046">IF(K1046=3,"",
  IFERROR(
    INDEX('Fairway Log'!$E$2:$V$70,
      MATCH(1,
        ('Fairway Log'!$A$2:$A$70=$A1046)*
        ('Fairway Log'!$B$2:$B$70=$B1046)*
        ('Fairway Log'!$C$2:$C1117=$C1046),
      0),
      MATCH($G1046,'Fairway Log'!$E$1:$V$1,0)
    ),
  "")
)</f>
        <v>↑</v>
      </c>
      <c r="Q1046" cm="1">
        <f t="array" ref="Q1046">IFERROR(
  INDEX('GIR Log'!$E$2:$V$70,
    MATCH(1,
      ('GIR Log'!$A$2:$A$70=$A1046)*
      ('GIR Log'!$B$2:$B$70=$B1046)*
      ('GIR Log'!$C$2:$C$70=$C1046),
    0),
    MATCH($G1046,'GIR Log'!$E$1:$V$1,0)
  ),
"")</f>
        <v>0</v>
      </c>
    </row>
    <row r="1047" spans="1:17" x14ac:dyDescent="0.25">
      <c r="A1047" s="51" t="s">
        <v>130</v>
      </c>
      <c r="B1047" s="2">
        <v>45649</v>
      </c>
      <c r="C1047" s="12" t="s">
        <v>14</v>
      </c>
      <c r="D1047" s="12" t="s">
        <v>73</v>
      </c>
      <c r="E1047" s="12" t="s">
        <v>40</v>
      </c>
      <c r="F1047">
        <v>91</v>
      </c>
      <c r="G1047" s="12" t="s">
        <v>48</v>
      </c>
      <c r="H1047" s="9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Log'!$E$2:$V$70,
    MATCH(1,
      ('Golf Log'!$A$2:$A$70=$A1047)*
      ('Golf Log'!$B$2:$B$70=$B1047)*
      ('Golf Log'!$C$2:$C$70=$C1047),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Log'!$E$2:$V$70,
    MATCH(1,
      ('Putt Log'!$A$2:$A$70=$A1047)*
      ('Putt Log'!$B$2:$B$70=$B1047)*
      ('Putt Log'!$C$2:$C$70=$C1047),
    0),
    MATCH($G1047,'Putt Log'!$E$1:$V$1,0)
  ),
"")</f>
        <v>2</v>
      </c>
      <c r="P1047" t="str" cm="1">
        <f t="array" ref="P1047">IF(K1047=3,"",
  IFERROR(
    INDEX('Fairway Log'!$E$2:$V$70,
      MATCH(1,
        ('Fairway Log'!$A$2:$A$70=$A1047)*
        ('Fairway Log'!$B$2:$B$70=$B1047)*
        ('Fairway Log'!$C$2:$C1118=$C1047),
      0),
      MATCH($G1047,'Fairway Log'!$E$1:$V$1,0)
    ),
  "")
)</f>
        <v/>
      </c>
      <c r="Q1047" t="str" cm="1">
        <f t="array" ref="Q1047">IFERROR(
  INDEX('GIR Log'!$E$2:$V$70,
    MATCH(1,
      ('GIR Log'!$A$2:$A$70=$A1047)*
      ('GIR Log'!$B$2:$B$70=$B1047)*
      ('GIR Log'!$C$2:$C$70=$C1047),
    0),
    MATCH($G1047,'GIR Log'!$E$1:$V$1,0)
  ),
"")</f>
        <v>↓</v>
      </c>
    </row>
    <row r="1048" spans="1:17" x14ac:dyDescent="0.25">
      <c r="A1048" s="51" t="s">
        <v>130</v>
      </c>
      <c r="B1048" s="2">
        <v>45649</v>
      </c>
      <c r="C1048" s="12" t="s">
        <v>14</v>
      </c>
      <c r="D1048" s="12" t="s">
        <v>73</v>
      </c>
      <c r="E1048" s="12" t="s">
        <v>40</v>
      </c>
      <c r="F1048">
        <v>91</v>
      </c>
      <c r="G1048" s="12" t="s">
        <v>49</v>
      </c>
      <c r="H1048" s="9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Log'!$E$2:$V$70,
    MATCH(1,
      ('Golf Log'!$A$2:$A$70=$A1048)*
      ('Golf Log'!$B$2:$B$70=$B1048)*
      ('Golf Log'!$C$2:$C$70=$C1048),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Log'!$E$2:$V$70,
    MATCH(1,
      ('Putt Log'!$A$2:$A$70=$A1048)*
      ('Putt Log'!$B$2:$B$70=$B1048)*
      ('Putt Log'!$C$2:$C$70=$C1048),
    0),
    MATCH($G1048,'Putt Log'!$E$1:$V$1,0)
  ),
"")</f>
        <v>1</v>
      </c>
      <c r="P1048" cm="1">
        <f t="array" ref="P1048">IF(K1048=3,"",
  IFERROR(
    INDEX('Fairway Log'!$E$2:$V$70,
      MATCH(1,
        ('Fairway Log'!$A$2:$A$70=$A1048)*
        ('Fairway Log'!$B$2:$B$70=$B1048)*
        ('Fairway Log'!$C$2:$C1119=$C1048),
      0),
      MATCH($G1048,'Fairway Log'!$E$1:$V$1,0)
    ),
  "")
)</f>
        <v>1</v>
      </c>
      <c r="Q1048" t="str" cm="1">
        <f t="array" ref="Q1048">IFERROR(
  INDEX('GIR Log'!$E$2:$V$70,
    MATCH(1,
      ('GIR Log'!$A$2:$A$70=$A1048)*
      ('GIR Log'!$B$2:$B$70=$B1048)*
      ('GIR Log'!$C$2:$C$70=$C1048),
    0),
    MATCH($G1048,'GIR Log'!$E$1:$V$1,0)
  ),
"")</f>
        <v>←</v>
      </c>
    </row>
    <row r="1049" spans="1:17" x14ac:dyDescent="0.25">
      <c r="A1049" s="51" t="s">
        <v>130</v>
      </c>
      <c r="B1049" s="2">
        <v>45649</v>
      </c>
      <c r="C1049" s="12" t="s">
        <v>14</v>
      </c>
      <c r="D1049" s="12" t="s">
        <v>73</v>
      </c>
      <c r="E1049" s="12" t="s">
        <v>40</v>
      </c>
      <c r="F1049">
        <v>91</v>
      </c>
      <c r="G1049" s="12" t="s">
        <v>50</v>
      </c>
      <c r="H1049" s="9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Log'!$E$2:$V$70,
    MATCH(1,
      ('Golf Log'!$A$2:$A$70=$A1049)*
      ('Golf Log'!$B$2:$B$70=$B1049)*
      ('Golf Log'!$C$2:$C$70=$C1049),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Log'!$E$2:$V$70,
    MATCH(1,
      ('Putt Log'!$A$2:$A$70=$A1049)*
      ('Putt Log'!$B$2:$B$70=$B1049)*
      ('Putt Log'!$C$2:$C$70=$C1049),
    0),
    MATCH($G1049,'Putt Log'!$E$1:$V$1,0)
  ),
"")</f>
        <v>2</v>
      </c>
      <c r="P1049" cm="1">
        <f t="array" ref="P1049">IF(K1049=3,"",
  IFERROR(
    INDEX('Fairway Log'!$E$2:$V$70,
      MATCH(1,
        ('Fairway Log'!$A$2:$A$70=$A1049)*
        ('Fairway Log'!$B$2:$B$70=$B1049)*
        ('Fairway Log'!$C$2:$C1120=$C1049),
      0),
      MATCH($G1049,'Fairway Log'!$E$1:$V$1,0)
    ),
  "")
)</f>
        <v>0</v>
      </c>
      <c r="Q1049" cm="1">
        <f t="array" ref="Q1049">IFERROR(
  INDEX('GIR Log'!$E$2:$V$70,
    MATCH(1,
      ('GIR Log'!$A$2:$A$70=$A1049)*
      ('GIR Log'!$B$2:$B$70=$B1049)*
      ('GIR Log'!$C$2:$C$70=$C1049),
    0),
    MATCH($G1049,'GIR Log'!$E$1:$V$1,0)
  ),
"")</f>
        <v>0</v>
      </c>
    </row>
    <row r="1050" spans="1:17" x14ac:dyDescent="0.25">
      <c r="A1050" s="51" t="s">
        <v>130</v>
      </c>
      <c r="B1050" s="2">
        <v>45649</v>
      </c>
      <c r="C1050" s="12" t="s">
        <v>14</v>
      </c>
      <c r="D1050" s="12" t="s">
        <v>73</v>
      </c>
      <c r="E1050" s="12" t="s">
        <v>40</v>
      </c>
      <c r="F1050">
        <v>91</v>
      </c>
      <c r="G1050" s="12" t="s">
        <v>51</v>
      </c>
      <c r="H1050" s="9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Log'!$E$2:$V$70,
    MATCH(1,
      ('Golf Log'!$A$2:$A$70=$A1050)*
      ('Golf Log'!$B$2:$B$70=$B1050)*
      ('Golf Log'!$C$2:$C$70=$C1050),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Log'!$E$2:$V$70,
    MATCH(1,
      ('Putt Log'!$A$2:$A$70=$A1050)*
      ('Putt Log'!$B$2:$B$70=$B1050)*
      ('Putt Log'!$C$2:$C$70=$C1050),
    0),
    MATCH($G1050,'Putt Log'!$E$1:$V$1,0)
  ),
"")</f>
        <v>2</v>
      </c>
      <c r="P1050" cm="1">
        <f t="array" ref="P1050">IF(K1050=3,"",
  IFERROR(
    INDEX('Fairway Log'!$E$2:$V$70,
      MATCH(1,
        ('Fairway Log'!$A$2:$A$70=$A1050)*
        ('Fairway Log'!$B$2:$B$70=$B1050)*
        ('Fairway Log'!$C$2:$C1121=$C1050),
      0),
      MATCH($G1050,'Fairway Log'!$E$1:$V$1,0)
    ),
  "")
)</f>
        <v>0</v>
      </c>
      <c r="Q1050" cm="1">
        <f t="array" ref="Q1050">IFERROR(
  INDEX('GIR Log'!$E$2:$V$70,
    MATCH(1,
      ('GIR Log'!$A$2:$A$70=$A1050)*
      ('GIR Log'!$B$2:$B$70=$B1050)*
      ('GIR Log'!$C$2:$C$70=$C1050),
    0),
    MATCH($G1050,'GIR Log'!$E$1:$V$1,0)
  ),
"")</f>
        <v>0</v>
      </c>
    </row>
    <row r="1051" spans="1:17" x14ac:dyDescent="0.25">
      <c r="A1051" s="51" t="s">
        <v>130</v>
      </c>
      <c r="B1051" s="2">
        <v>45649</v>
      </c>
      <c r="C1051" s="12" t="s">
        <v>14</v>
      </c>
      <c r="D1051" s="12" t="s">
        <v>73</v>
      </c>
      <c r="E1051" s="12" t="s">
        <v>40</v>
      </c>
      <c r="F1051">
        <v>91</v>
      </c>
      <c r="G1051" s="12" t="s">
        <v>52</v>
      </c>
      <c r="H1051" s="9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Log'!$E$2:$V$70,
    MATCH(1,
      ('Golf Log'!$A$2:$A$70=$A1051)*
      ('Golf Log'!$B$2:$B$70=$B1051)*
      ('Golf Log'!$C$2:$C$70=$C1051),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Log'!$E$2:$V$70,
    MATCH(1,
      ('Putt Log'!$A$2:$A$70=$A1051)*
      ('Putt Log'!$B$2:$B$70=$B1051)*
      ('Putt Log'!$C$2:$C$70=$C1051),
    0),
    MATCH($G1051,'Putt Log'!$E$1:$V$1,0)
  ),
"")</f>
        <v>2</v>
      </c>
      <c r="P1051" cm="1">
        <f t="array" ref="P1051">IF(K1051=3,"",
  IFERROR(
    INDEX('Fairway Log'!$E$2:$V$70,
      MATCH(1,
        ('Fairway Log'!$A$2:$A$70=$A1051)*
        ('Fairway Log'!$B$2:$B$70=$B1051)*
        ('Fairway Log'!$C$2:$C1122=$C1051),
      0),
      MATCH($G1051,'Fairway Log'!$E$1:$V$1,0)
    ),
  "")
)</f>
        <v>0</v>
      </c>
      <c r="Q1051" cm="1">
        <f t="array" ref="Q1051">IFERROR(
  INDEX('GIR Log'!$E$2:$V$70,
    MATCH(1,
      ('GIR Log'!$A$2:$A$70=$A1051)*
      ('GIR Log'!$B$2:$B$70=$B1051)*
      ('GIR Log'!$C$2:$C$70=$C1051),
    0),
    MATCH($G1051,'GIR Log'!$E$1:$V$1,0)
  ),
"")</f>
        <v>0</v>
      </c>
    </row>
    <row r="1052" spans="1:17" x14ac:dyDescent="0.25">
      <c r="A1052" s="51" t="s">
        <v>130</v>
      </c>
      <c r="B1052" s="2">
        <v>45649</v>
      </c>
      <c r="C1052" s="12" t="s">
        <v>14</v>
      </c>
      <c r="D1052" s="12" t="s">
        <v>73</v>
      </c>
      <c r="E1052" s="12" t="s">
        <v>40</v>
      </c>
      <c r="F1052">
        <v>91</v>
      </c>
      <c r="G1052" s="12" t="s">
        <v>53</v>
      </c>
      <c r="H1052" s="9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Log'!$E$2:$V$70,
    MATCH(1,
      ('Golf Log'!$A$2:$A$70=$A1052)*
      ('Golf Log'!$B$2:$B$70=$B1052)*
      ('Golf Log'!$C$2:$C$70=$C1052),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Log'!$E$2:$V$70,
    MATCH(1,
      ('Putt Log'!$A$2:$A$70=$A1052)*
      ('Putt Log'!$B$2:$B$70=$B1052)*
      ('Putt Log'!$C$2:$C$70=$C1052),
    0),
    MATCH($G1052,'Putt Log'!$E$1:$V$1,0)
  ),
"")</f>
        <v>2</v>
      </c>
      <c r="P1052" t="str" cm="1">
        <f t="array" ref="P1052">IF(K1052=3,"",
  IFERROR(
    INDEX('Fairway Log'!$E$2:$V$70,
      MATCH(1,
        ('Fairway Log'!$A$2:$A$70=$A1052)*
        ('Fairway Log'!$B$2:$B$70=$B1052)*
        ('Fairway Log'!$C$2:$C1123=$C1052),
      0),
      MATCH($G1052,'Fairway Log'!$E$1:$V$1,0)
    ),
  "")
)</f>
        <v>←</v>
      </c>
      <c r="Q1052" t="str" cm="1">
        <f t="array" ref="Q1052">IFERROR(
  INDEX('GIR Log'!$E$2:$V$70,
    MATCH(1,
      ('GIR Log'!$A$2:$A$70=$A1052)*
      ('GIR Log'!$B$2:$B$70=$B1052)*
      ('GIR Log'!$C$2:$C$70=$C1052),
    0),
    MATCH($G1052,'GIR Log'!$E$1:$V$1,0)
  ),
"")</f>
        <v>↓</v>
      </c>
    </row>
    <row r="1053" spans="1:17" x14ac:dyDescent="0.25">
      <c r="A1053" s="51" t="s">
        <v>130</v>
      </c>
      <c r="B1053" s="2">
        <v>45649</v>
      </c>
      <c r="C1053" s="12" t="s">
        <v>14</v>
      </c>
      <c r="D1053" s="12" t="s">
        <v>73</v>
      </c>
      <c r="E1053" s="12" t="s">
        <v>40</v>
      </c>
      <c r="F1053">
        <v>91</v>
      </c>
      <c r="G1053" s="12" t="s">
        <v>54</v>
      </c>
      <c r="H1053" s="9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Log'!$E$2:$V$70,
    MATCH(1,
      ('Golf Log'!$A$2:$A$70=$A1053)*
      ('Golf Log'!$B$2:$B$70=$B1053)*
      ('Golf Log'!$C$2:$C$70=$C1053),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Log'!$E$2:$V$70,
    MATCH(1,
      ('Putt Log'!$A$2:$A$70=$A1053)*
      ('Putt Log'!$B$2:$B$70=$B1053)*
      ('Putt Log'!$C$2:$C$70=$C1053),
    0),
    MATCH($G1053,'Putt Log'!$E$1:$V$1,0)
  ),
"")</f>
        <v>2</v>
      </c>
      <c r="P1053" t="str" cm="1">
        <f t="array" ref="P1053">IF(K1053=3,"",
  IFERROR(
    INDEX('Fairway Log'!$E$2:$V$70,
      MATCH(1,
        ('Fairway Log'!$A$2:$A$70=$A1053)*
        ('Fairway Log'!$B$2:$B$70=$B1053)*
        ('Fairway Log'!$C$2:$C1124=$C1053),
      0),
      MATCH($G1053,'Fairway Log'!$E$1:$V$1,0)
    ),
  "")
)</f>
        <v/>
      </c>
      <c r="Q1053" t="str" cm="1">
        <f t="array" ref="Q1053">IFERROR(
  INDEX('GIR Log'!$E$2:$V$70,
    MATCH(1,
      ('GIR Log'!$A$2:$A$70=$A1053)*
      ('GIR Log'!$B$2:$B$70=$B1053)*
      ('GIR Log'!$C$2:$C$70=$C1053),
    0),
    MATCH($G1053,'GIR Log'!$E$1:$V$1,0)
  ),
"")</f>
        <v>↓</v>
      </c>
    </row>
    <row r="1054" spans="1:17" x14ac:dyDescent="0.25">
      <c r="A1054" s="51" t="s">
        <v>130</v>
      </c>
      <c r="B1054" s="2">
        <v>45649</v>
      </c>
      <c r="C1054" s="12" t="s">
        <v>14</v>
      </c>
      <c r="D1054" s="12" t="s">
        <v>73</v>
      </c>
      <c r="E1054" s="12" t="s">
        <v>40</v>
      </c>
      <c r="F1054">
        <v>91</v>
      </c>
      <c r="G1054" s="12" t="s">
        <v>55</v>
      </c>
      <c r="H1054" s="9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Log'!$E$2:$V$70,
    MATCH(1,
      ('Golf Log'!$A$2:$A$70=$A1054)*
      ('Golf Log'!$B$2:$B$70=$B1054)*
      ('Golf Log'!$C$2:$C$70=$C1054),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Log'!$E$2:$V$70,
    MATCH(1,
      ('Putt Log'!$A$2:$A$70=$A1054)*
      ('Putt Log'!$B$2:$B$70=$B1054)*
      ('Putt Log'!$C$2:$C$70=$C1054),
    0),
    MATCH($G1054,'Putt Log'!$E$1:$V$1,0)
  ),
"")</f>
        <v>2</v>
      </c>
      <c r="P1054" t="str" cm="1">
        <f t="array" ref="P1054">IF(K1054=3,"",
  IFERROR(
    INDEX('Fairway Log'!$E$2:$V$70,
      MATCH(1,
        ('Fairway Log'!$A$2:$A$70=$A1054)*
        ('Fairway Log'!$B$2:$B$70=$B1054)*
        ('Fairway Log'!$C$2:$C1125=$C1054),
      0),
      MATCH($G1054,'Fairway Log'!$E$1:$V$1,0)
    ),
  "")
)</f>
        <v>←</v>
      </c>
      <c r="Q1054" t="str" cm="1">
        <f t="array" ref="Q1054">IFERROR(
  INDEX('GIR Log'!$E$2:$V$70,
    MATCH(1,
      ('GIR Log'!$A$2:$A$70=$A1054)*
      ('GIR Log'!$B$2:$B$70=$B1054)*
      ('GIR Log'!$C$2:$C$70=$C1054),
    0),
    MATCH($G1054,'GIR Log'!$E$1:$V$1,0)
  ),
"")</f>
        <v>↓</v>
      </c>
    </row>
    <row r="1055" spans="1:17" x14ac:dyDescent="0.25">
      <c r="A1055" s="51" t="s">
        <v>130</v>
      </c>
      <c r="B1055" s="2">
        <v>45649</v>
      </c>
      <c r="C1055" s="12" t="s">
        <v>14</v>
      </c>
      <c r="D1055" s="12" t="s">
        <v>73</v>
      </c>
      <c r="E1055" s="12" t="s">
        <v>40</v>
      </c>
      <c r="F1055">
        <v>91</v>
      </c>
      <c r="G1055" s="12" t="s">
        <v>56</v>
      </c>
      <c r="H1055" s="9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Log'!$E$2:$V$70,
    MATCH(1,
      ('Golf Log'!$A$2:$A$70=$A1055)*
      ('Golf Log'!$B$2:$B$70=$B1055)*
      ('Golf Log'!$C$2:$C$70=$C1055),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Log'!$E$2:$V$70,
    MATCH(1,
      ('Putt Log'!$A$2:$A$70=$A1055)*
      ('Putt Log'!$B$2:$B$70=$B1055)*
      ('Putt Log'!$C$2:$C$70=$C1055),
    0),
    MATCH($G1055,'Putt Log'!$E$1:$V$1,0)
  ),
"")</f>
        <v>2</v>
      </c>
      <c r="P1055" t="str" cm="1">
        <f t="array" ref="P1055">IF(K1055=3,"",
  IFERROR(
    INDEX('Fairway Log'!$E$2:$V$70,
      MATCH(1,
        ('Fairway Log'!$A$2:$A$70=$A1055)*
        ('Fairway Log'!$B$2:$B$70=$B1055)*
        ('Fairway Log'!$C$2:$C1126=$C1055),
      0),
      MATCH($G1055,'Fairway Log'!$E$1:$V$1,0)
    ),
  "")
)</f>
        <v>←</v>
      </c>
      <c r="Q1055" t="str" cm="1">
        <f t="array" ref="Q1055">IFERROR(
  INDEX('GIR Log'!$E$2:$V$70,
    MATCH(1,
      ('GIR Log'!$A$2:$A$70=$A1055)*
      ('GIR Log'!$B$2:$B$70=$B1055)*
      ('GIR Log'!$C$2:$C$70=$C1055),
    0),
    MATCH($G1055,'GIR Log'!$E$1:$V$1,0)
  ),
"")</f>
        <v>↓</v>
      </c>
    </row>
    <row r="1056" spans="1:17" x14ac:dyDescent="0.25">
      <c r="A1056" s="51" t="s">
        <v>130</v>
      </c>
      <c r="B1056" s="2">
        <v>45649</v>
      </c>
      <c r="C1056" s="12" t="s">
        <v>14</v>
      </c>
      <c r="D1056" s="12" t="s">
        <v>73</v>
      </c>
      <c r="E1056" s="12" t="s">
        <v>40</v>
      </c>
      <c r="F1056">
        <v>91</v>
      </c>
      <c r="G1056" s="12" t="s">
        <v>57</v>
      </c>
      <c r="H1056" s="9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Log'!$E$2:$V$70,
    MATCH(1,
      ('Golf Log'!$A$2:$A$70=$A1056)*
      ('Golf Log'!$B$2:$B$70=$B1056)*
      ('Golf Log'!$C$2:$C$70=$C1056),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Log'!$E$2:$V$70,
    MATCH(1,
      ('Putt Log'!$A$2:$A$70=$A1056)*
      ('Putt Log'!$B$2:$B$70=$B1056)*
      ('Putt Log'!$C$2:$C$70=$C1056),
    0),
    MATCH($G1056,'Putt Log'!$E$1:$V$1,0)
  ),
"")</f>
        <v>2</v>
      </c>
      <c r="P1056" t="str" cm="1">
        <f t="array" ref="P1056">IF(K1056=3,"",
  IFERROR(
    INDEX('Fairway Log'!$E$2:$V$70,
      MATCH(1,
        ('Fairway Log'!$A$2:$A$70=$A1056)*
        ('Fairway Log'!$B$2:$B$70=$B1056)*
        ('Fairway Log'!$C$2:$C1127=$C1056),
      0),
      MATCH($G1056,'Fairway Log'!$E$1:$V$1,0)
    ),
  "")
)</f>
        <v>←</v>
      </c>
      <c r="Q1056" cm="1">
        <f t="array" ref="Q1056">IFERROR(
  INDEX('GIR Log'!$E$2:$V$70,
    MATCH(1,
      ('GIR Log'!$A$2:$A$70=$A1056)*
      ('GIR Log'!$B$2:$B$70=$B1056)*
      ('GIR Log'!$C$2:$C$70=$C1056),
    0),
    MATCH($G1056,'GIR Log'!$E$1:$V$1,0)
  ),
"")</f>
        <v>1</v>
      </c>
    </row>
    <row r="1057" spans="1:17" x14ac:dyDescent="0.25">
      <c r="A1057" s="51" t="s">
        <v>130</v>
      </c>
      <c r="B1057" s="2">
        <v>45649</v>
      </c>
      <c r="C1057" s="12" t="s">
        <v>14</v>
      </c>
      <c r="D1057" s="12" t="s">
        <v>73</v>
      </c>
      <c r="E1057" s="12" t="s">
        <v>40</v>
      </c>
      <c r="F1057">
        <v>91</v>
      </c>
      <c r="G1057" s="12" t="s">
        <v>58</v>
      </c>
      <c r="H1057" s="9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Log'!$E$2:$V$70,
    MATCH(1,
      ('Golf Log'!$A$2:$A$70=$A1057)*
      ('Golf Log'!$B$2:$B$70=$B1057)*
      ('Golf Log'!$C$2:$C$70=$C1057),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Log'!$E$2:$V$70,
    MATCH(1,
      ('Putt Log'!$A$2:$A$70=$A1057)*
      ('Putt Log'!$B$2:$B$70=$B1057)*
      ('Putt Log'!$C$2:$C$70=$C1057),
    0),
    MATCH($G1057,'Putt Log'!$E$1:$V$1,0)
  ),
"")</f>
        <v>2</v>
      </c>
      <c r="P1057" t="str" cm="1">
        <f t="array" ref="P1057">IF(K1057=3,"",
  IFERROR(
    INDEX('Fairway Log'!$E$2:$V$70,
      MATCH(1,
        ('Fairway Log'!$A$2:$A$70=$A1057)*
        ('Fairway Log'!$B$2:$B$70=$B1057)*
        ('Fairway Log'!$C$2:$C1128=$C1057),
      0),
      MATCH($G1057,'Fairway Log'!$E$1:$V$1,0)
    ),
  "")
)</f>
        <v>←</v>
      </c>
      <c r="Q1057" t="str" cm="1">
        <f t="array" ref="Q1057">IFERROR(
  INDEX('GIR Log'!$E$2:$V$70,
    MATCH(1,
      ('GIR Log'!$A$2:$A$70=$A1057)*
      ('GIR Log'!$B$2:$B$70=$B1057)*
      ('GIR Log'!$C$2:$C$70=$C1057),
    0),
    MATCH($G1057,'GIR Log'!$E$1:$V$1,0)
  ),
"")</f>
        <v>←</v>
      </c>
    </row>
    <row r="1058" spans="1:17" x14ac:dyDescent="0.25">
      <c r="A1058" s="51" t="s">
        <v>130</v>
      </c>
      <c r="B1058" s="2">
        <v>45649</v>
      </c>
      <c r="C1058" s="12" t="s">
        <v>14</v>
      </c>
      <c r="D1058" s="12" t="s">
        <v>73</v>
      </c>
      <c r="E1058" s="12" t="s">
        <v>40</v>
      </c>
      <c r="F1058">
        <v>91</v>
      </c>
      <c r="G1058" s="12" t="s">
        <v>59</v>
      </c>
      <c r="H1058" s="9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Log'!$E$2:$V$70,
    MATCH(1,
      ('Golf Log'!$A$2:$A$70=$A1058)*
      ('Golf Log'!$B$2:$B$70=$B1058)*
      ('Golf Log'!$C$2:$C$70=$C1058),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Log'!$E$2:$V$70,
    MATCH(1,
      ('Putt Log'!$A$2:$A$70=$A1058)*
      ('Putt Log'!$B$2:$B$70=$B1058)*
      ('Putt Log'!$C$2:$C$70=$C1058),
    0),
    MATCH($G1058,'Putt Log'!$E$1:$V$1,0)
  ),
"")</f>
        <v>3</v>
      </c>
      <c r="P1058" cm="1">
        <f t="array" ref="P1058">IF(K1058=3,"",
  IFERROR(
    INDEX('Fairway Log'!$E$2:$V$70,
      MATCH(1,
        ('Fairway Log'!$A$2:$A$70=$A1058)*
        ('Fairway Log'!$B$2:$B$70=$B1058)*
        ('Fairway Log'!$C$2:$C1129=$C1058),
      0),
      MATCH($G1058,'Fairway Log'!$E$1:$V$1,0)
    ),
  "")
)</f>
        <v>1</v>
      </c>
      <c r="Q1058" cm="1">
        <f t="array" ref="Q1058">IFERROR(
  INDEX('GIR Log'!$E$2:$V$70,
    MATCH(1,
      ('GIR Log'!$A$2:$A$70=$A1058)*
      ('GIR Log'!$B$2:$B$70=$B1058)*
      ('GIR Log'!$C$2:$C$70=$C1058),
    0),
    MATCH($G1058,'GIR Log'!$E$1:$V$1,0)
  ),
"")</f>
        <v>1</v>
      </c>
    </row>
    <row r="1059" spans="1:17" x14ac:dyDescent="0.25">
      <c r="A1059" s="51" t="s">
        <v>130</v>
      </c>
      <c r="B1059" s="2">
        <v>45649</v>
      </c>
      <c r="C1059" s="12" t="s">
        <v>14</v>
      </c>
      <c r="D1059" s="12" t="s">
        <v>73</v>
      </c>
      <c r="E1059" s="12" t="s">
        <v>40</v>
      </c>
      <c r="F1059">
        <v>91</v>
      </c>
      <c r="G1059" s="12" t="s">
        <v>60</v>
      </c>
      <c r="H1059" s="9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Log'!$E$2:$V$70,
    MATCH(1,
      ('Golf Log'!$A$2:$A$70=$A1059)*
      ('Golf Log'!$B$2:$B$70=$B1059)*
      ('Golf Log'!$C$2:$C$70=$C1059),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Log'!$E$2:$V$70,
    MATCH(1,
      ('Putt Log'!$A$2:$A$70=$A1059)*
      ('Putt Log'!$B$2:$B$70=$B1059)*
      ('Putt Log'!$C$2:$C$70=$C1059),
    0),
    MATCH($G1059,'Putt Log'!$E$1:$V$1,0)
  ),
"")</f>
        <v>3</v>
      </c>
      <c r="P1059" cm="1">
        <f t="array" ref="P1059">IF(K1059=3,"",
  IFERROR(
    INDEX('Fairway Log'!$E$2:$V$70,
      MATCH(1,
        ('Fairway Log'!$A$2:$A$70=$A1059)*
        ('Fairway Log'!$B$2:$B$70=$B1059)*
        ('Fairway Log'!$C$2:$C1130=$C1059),
      0),
      MATCH($G1059,'Fairway Log'!$E$1:$V$1,0)
    ),
  "")
)</f>
        <v>1</v>
      </c>
      <c r="Q1059" t="str" cm="1">
        <f t="array" ref="Q1059">IFERROR(
  INDEX('GIR Log'!$E$2:$V$70,
    MATCH(1,
      ('GIR Log'!$A$2:$A$70=$A1059)*
      ('GIR Log'!$B$2:$B$70=$B1059)*
      ('GIR Log'!$C$2:$C$70=$C1059),
    0),
    MATCH($G1059,'GIR Log'!$E$1:$V$1,0)
  ),
"")</f>
        <v>←</v>
      </c>
    </row>
    <row r="1060" spans="1:17" x14ac:dyDescent="0.25">
      <c r="A1060" s="51" t="s">
        <v>130</v>
      </c>
      <c r="B1060" s="2">
        <v>45649</v>
      </c>
      <c r="C1060" s="12" t="s">
        <v>14</v>
      </c>
      <c r="D1060" s="12" t="s">
        <v>73</v>
      </c>
      <c r="E1060" s="12" t="s">
        <v>40</v>
      </c>
      <c r="F1060">
        <v>91</v>
      </c>
      <c r="G1060" s="12" t="s">
        <v>61</v>
      </c>
      <c r="H1060" s="9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Log'!$E$2:$V$70,
    MATCH(1,
      ('Golf Log'!$A$2:$A$70=$A1060)*
      ('Golf Log'!$B$2:$B$70=$B1060)*
      ('Golf Log'!$C$2:$C$70=$C1060),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Log'!$E$2:$V$70,
    MATCH(1,
      ('Putt Log'!$A$2:$A$70=$A1060)*
      ('Putt Log'!$B$2:$B$70=$B1060)*
      ('Putt Log'!$C$2:$C$70=$C1060),
    0),
    MATCH($G1060,'Putt Log'!$E$1:$V$1,0)
  ),
"")</f>
        <v>2</v>
      </c>
      <c r="P1060" t="str" cm="1">
        <f t="array" ref="P1060">IF(K1060=3,"",
  IFERROR(
    INDEX('Fairway Log'!$E$2:$V$70,
      MATCH(1,
        ('Fairway Log'!$A$2:$A$70=$A1060)*
        ('Fairway Log'!$B$2:$B$70=$B1060)*
        ('Fairway Log'!$C$2:$C1131=$C1060),
      0),
      MATCH($G1060,'Fairway Log'!$E$1:$V$1,0)
    ),
  "")
)</f>
        <v/>
      </c>
      <c r="Q1060" t="str" cm="1">
        <f t="array" ref="Q1060">IFERROR(
  INDEX('GIR Log'!$E$2:$V$70,
    MATCH(1,
      ('GIR Log'!$A$2:$A$70=$A1060)*
      ('GIR Log'!$B$2:$B$70=$B1060)*
      ('GIR Log'!$C$2:$C$70=$C1060),
    0),
    MATCH($G1060,'GIR Log'!$E$1:$V$1,0)
  ),
"")</f>
        <v>←</v>
      </c>
    </row>
    <row r="1061" spans="1:17" x14ac:dyDescent="0.25">
      <c r="A1061" s="51" t="s">
        <v>130</v>
      </c>
      <c r="B1061" s="2">
        <v>45649</v>
      </c>
      <c r="C1061" s="12" t="s">
        <v>14</v>
      </c>
      <c r="D1061" s="12" t="s">
        <v>73</v>
      </c>
      <c r="E1061" s="12" t="s">
        <v>40</v>
      </c>
      <c r="F1061">
        <v>91</v>
      </c>
      <c r="G1061" s="12" t="s">
        <v>62</v>
      </c>
      <c r="H1061" s="9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Log'!$E$2:$V$70,
    MATCH(1,
      ('Golf Log'!$A$2:$A$70=$A1061)*
      ('Golf Log'!$B$2:$B$70=$B1061)*
      ('Golf Log'!$C$2:$C$70=$C1061),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Log'!$E$2:$V$70,
    MATCH(1,
      ('Putt Log'!$A$2:$A$70=$A1061)*
      ('Putt Log'!$B$2:$B$70=$B1061)*
      ('Putt Log'!$C$2:$C$70=$C1061),
    0),
    MATCH($G1061,'Putt Log'!$E$1:$V$1,0)
  ),
"")</f>
        <v>2</v>
      </c>
      <c r="P1061" t="str" cm="1">
        <f t="array" ref="P1061">IF(K1061=3,"",
  IFERROR(
    INDEX('Fairway Log'!$E$2:$V$70,
      MATCH(1,
        ('Fairway Log'!$A$2:$A$70=$A1061)*
        ('Fairway Log'!$B$2:$B$70=$B1061)*
        ('Fairway Log'!$C$2:$C1132=$C1061),
      0),
      MATCH($G1061,'Fairway Log'!$E$1:$V$1,0)
    ),
  "")
)</f>
        <v>→</v>
      </c>
      <c r="Q1061" t="str" cm="1">
        <f t="array" ref="Q1061">IFERROR(
  INDEX('GIR Log'!$E$2:$V$70,
    MATCH(1,
      ('GIR Log'!$A$2:$A$70=$A1061)*
      ('GIR Log'!$B$2:$B$70=$B1061)*
      ('GIR Log'!$C$2:$C$70=$C1061),
    0),
    MATCH($G1061,'GIR Log'!$E$1:$V$1,0)
  ),
"")</f>
        <v>↓</v>
      </c>
    </row>
    <row r="1062" spans="1:17" x14ac:dyDescent="0.25">
      <c r="A1062" s="51" t="s">
        <v>130</v>
      </c>
      <c r="B1062" s="2">
        <v>45649</v>
      </c>
      <c r="C1062" s="12" t="s">
        <v>14</v>
      </c>
      <c r="D1062" s="12" t="s">
        <v>73</v>
      </c>
      <c r="E1062" s="12" t="s">
        <v>40</v>
      </c>
      <c r="F1062">
        <v>91</v>
      </c>
      <c r="G1062" s="12" t="s">
        <v>63</v>
      </c>
      <c r="H1062" s="9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Log'!$E$2:$V$70,
    MATCH(1,
      ('Golf Log'!$A$2:$A$70=$A1062)*
      ('Golf Log'!$B$2:$B$70=$B1062)*
      ('Golf Log'!$C$2:$C$70=$C1062),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Log'!$E$2:$V$70,
    MATCH(1,
      ('Putt Log'!$A$2:$A$70=$A1062)*
      ('Putt Log'!$B$2:$B$70=$B1062)*
      ('Putt Log'!$C$2:$C$70=$C1062),
    0),
    MATCH($G1062,'Putt Log'!$E$1:$V$1,0)
  ),
"")</f>
        <v>2</v>
      </c>
      <c r="P1062" t="str" cm="1">
        <f t="array" ref="P1062">IF(K1062=3,"",
  IFERROR(
    INDEX('Fairway Log'!$E$2:$V$70,
      MATCH(1,
        ('Fairway Log'!$A$2:$A$70=$A1062)*
        ('Fairway Log'!$B$2:$B$70=$B1062)*
        ('Fairway Log'!$C$2:$C1133=$C1062),
      0),
      MATCH($G1062,'Fairway Log'!$E$1:$V$1,0)
    ),
  "")
)</f>
        <v/>
      </c>
      <c r="Q1062" cm="1">
        <f t="array" ref="Q1062">IFERROR(
  INDEX('GIR Log'!$E$2:$V$70,
    MATCH(1,
      ('GIR Log'!$A$2:$A$70=$A1062)*
      ('GIR Log'!$B$2:$B$70=$B1062)*
      ('GIR Log'!$C$2:$C$70=$C1062),
    0),
    MATCH($G1062,'GIR Log'!$E$1:$V$1,0)
  ),
"")</f>
        <v>1</v>
      </c>
    </row>
    <row r="1063" spans="1:17" x14ac:dyDescent="0.25">
      <c r="A1063" s="51" t="s">
        <v>130</v>
      </c>
      <c r="B1063" s="2">
        <v>45649</v>
      </c>
      <c r="C1063" s="12" t="s">
        <v>14</v>
      </c>
      <c r="D1063" s="12" t="s">
        <v>73</v>
      </c>
      <c r="E1063" s="12" t="s">
        <v>40</v>
      </c>
      <c r="F1063">
        <v>91</v>
      </c>
      <c r="G1063" s="12" t="s">
        <v>64</v>
      </c>
      <c r="H1063" s="9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Log'!$E$2:$V$70,
    MATCH(1,
      ('Golf Log'!$A$2:$A$70=$A1063)*
      ('Golf Log'!$B$2:$B$70=$B1063)*
      ('Golf Log'!$C$2:$C$70=$C1063),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Log'!$E$2:$V$70,
    MATCH(1,
      ('Putt Log'!$A$2:$A$70=$A1063)*
      ('Putt Log'!$B$2:$B$70=$B1063)*
      ('Putt Log'!$C$2:$C$70=$C1063),
    0),
    MATCH($G1063,'Putt Log'!$E$1:$V$1,0)
  ),
"")</f>
        <v>2</v>
      </c>
      <c r="P1063" t="str" cm="1">
        <f t="array" ref="P1063">IF(K1063=3,"",
  IFERROR(
    INDEX('Fairway Log'!$E$2:$V$70,
      MATCH(1,
        ('Fairway Log'!$A$2:$A$70=$A1063)*
        ('Fairway Log'!$B$2:$B$70=$B1063)*
        ('Fairway Log'!$C$2:$C1134=$C1063),
      0),
      MATCH($G1063,'Fairway Log'!$E$1:$V$1,0)
    ),
  "")
)</f>
        <v>←</v>
      </c>
      <c r="Q1063" t="str" cm="1">
        <f t="array" ref="Q1063">IFERROR(
  INDEX('GIR Log'!$E$2:$V$70,
    MATCH(1,
      ('GIR Log'!$A$2:$A$70=$A1063)*
      ('GIR Log'!$B$2:$B$70=$B1063)*
      ('GIR Log'!$C$2:$C$70=$C1063),
    0),
    MATCH($G1063,'GIR Log'!$E$1:$V$1,0)
  ),
"")</f>
        <v>↓</v>
      </c>
    </row>
    <row r="1064" spans="1:17" x14ac:dyDescent="0.25">
      <c r="A1064" s="51" t="s">
        <v>130</v>
      </c>
      <c r="B1064" s="2">
        <v>45570</v>
      </c>
      <c r="C1064" s="51" t="s">
        <v>3</v>
      </c>
      <c r="D1064" s="51" t="s">
        <v>3</v>
      </c>
      <c r="E1064" s="51" t="s">
        <v>36</v>
      </c>
      <c r="F1064">
        <v>87</v>
      </c>
      <c r="G1064" t="s">
        <v>47</v>
      </c>
      <c r="H1064" s="9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Log'!$E$2:$V$70,
    MATCH(1,
      ('Golf Log'!$A$2:$A$70=$A1064)*
      ('Golf Log'!$B$2:$B$70=$B1064)*
      ('Golf Log'!$C$2:$C$70=$C1064),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Log'!$E$2:$V$70,
    MATCH(1,
      ('Putt Log'!$A$2:$A$70=$A1064)*
      ('Putt Log'!$B$2:$B$70=$B1064)*
      ('Putt Log'!$C$2:$C$70=$C1064),
    0),
    MATCH($G1064,'Putt Log'!$E$1:$V$1,0)
  ),
"")</f>
        <v>2</v>
      </c>
      <c r="P1064" t="str" cm="1">
        <f t="array" ref="P1064">IF(K1064=3,"",
  IFERROR(
    INDEX('Fairway Log'!$E$2:$V$70,
      MATCH(1,
        ('Fairway Log'!$A$2:$A$70=$A1064)*
        ('Fairway Log'!$B$2:$B$70=$B1064)*
        ('Fairway Log'!$C$2:$C1135=$C1064),
      0),
      MATCH($G1064,'Fairway Log'!$E$1:$V$1,0)
    ),
  "")
)</f>
        <v>←</v>
      </c>
      <c r="Q1064" t="str" cm="1">
        <f t="array" ref="Q1064">IFERROR(
  INDEX('GIR Log'!$E$2:$V$70,
    MATCH(1,
      ('GIR Log'!$A$2:$A$70=$A1064)*
      ('GIR Log'!$B$2:$B$70=$B1064)*
      ('GIR Log'!$C$2:$C$70=$C1064),
    0),
    MATCH($G1064,'GIR Log'!$E$1:$V$1,0)
  ),
"")</f>
        <v>→</v>
      </c>
    </row>
    <row r="1065" spans="1:17" x14ac:dyDescent="0.25">
      <c r="A1065" s="51" t="s">
        <v>130</v>
      </c>
      <c r="B1065" s="2">
        <v>45570</v>
      </c>
      <c r="C1065" s="51" t="s">
        <v>3</v>
      </c>
      <c r="D1065" s="51" t="s">
        <v>3</v>
      </c>
      <c r="E1065" s="51" t="s">
        <v>36</v>
      </c>
      <c r="F1065">
        <v>87</v>
      </c>
      <c r="G1065" t="s">
        <v>48</v>
      </c>
      <c r="H1065" s="9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Log'!$E$2:$V$70,
    MATCH(1,
      ('Golf Log'!$A$2:$A$70=$A1065)*
      ('Golf Log'!$B$2:$B$70=$B1065)*
      ('Golf Log'!$C$2:$C$70=$C1065),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Log'!$E$2:$V$70,
    MATCH(1,
      ('Putt Log'!$A$2:$A$70=$A1065)*
      ('Putt Log'!$B$2:$B$70=$B1065)*
      ('Putt Log'!$C$2:$C$70=$C1065),
    0),
    MATCH($G1065,'Putt Log'!$E$1:$V$1,0)
  ),
"")</f>
        <v>2</v>
      </c>
      <c r="P1065" cm="1">
        <f t="array" ref="P1065">IF(K1065=3,"",
  IFERROR(
    INDEX('Fairway Log'!$E$2:$V$70,
      MATCH(1,
        ('Fairway Log'!$A$2:$A$70=$A1065)*
        ('Fairway Log'!$B$2:$B$70=$B1065)*
        ('Fairway Log'!$C$2:$C1136=$C1065),
      0),
      MATCH($G1065,'Fairway Log'!$E$1:$V$1,0)
    ),
  "")
)</f>
        <v>1</v>
      </c>
      <c r="Q1065" cm="1">
        <f t="array" ref="Q1065">IFERROR(
  INDEX('GIR Log'!$E$2:$V$70,
    MATCH(1,
      ('GIR Log'!$A$2:$A$70=$A1065)*
      ('GIR Log'!$B$2:$B$70=$B1065)*
      ('GIR Log'!$C$2:$C$70=$C1065),
    0),
    MATCH($G1065,'GIR Log'!$E$1:$V$1,0)
  ),
"")</f>
        <v>1</v>
      </c>
    </row>
    <row r="1066" spans="1:17" x14ac:dyDescent="0.25">
      <c r="A1066" s="51" t="s">
        <v>130</v>
      </c>
      <c r="B1066" s="2">
        <v>45570</v>
      </c>
      <c r="C1066" s="51" t="s">
        <v>3</v>
      </c>
      <c r="D1066" s="51" t="s">
        <v>3</v>
      </c>
      <c r="E1066" s="51" t="s">
        <v>36</v>
      </c>
      <c r="F1066">
        <v>87</v>
      </c>
      <c r="G1066" t="s">
        <v>49</v>
      </c>
      <c r="H1066" s="9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Log'!$E$2:$V$70,
    MATCH(1,
      ('Golf Log'!$A$2:$A$70=$A1066)*
      ('Golf Log'!$B$2:$B$70=$B1066)*
      ('Golf Log'!$C$2:$C$70=$C1066),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Log'!$E$2:$V$70,
    MATCH(1,
      ('Putt Log'!$A$2:$A$70=$A1066)*
      ('Putt Log'!$B$2:$B$70=$B1066)*
      ('Putt Log'!$C$2:$C$70=$C1066),
    0),
    MATCH($G1066,'Putt Log'!$E$1:$V$1,0)
  ),
"")</f>
        <v>3</v>
      </c>
      <c r="P1066" t="str" cm="1">
        <f t="array" ref="P1066">IF(K1066=3,"",
  IFERROR(
    INDEX('Fairway Log'!$E$2:$V$70,
      MATCH(1,
        ('Fairway Log'!$A$2:$A$70=$A1066)*
        ('Fairway Log'!$B$2:$B$70=$B1066)*
        ('Fairway Log'!$C$2:$C1137=$C1066),
      0),
      MATCH($G1066,'Fairway Log'!$E$1:$V$1,0)
    ),
  "")
)</f>
        <v/>
      </c>
      <c r="Q1066" cm="1">
        <f t="array" ref="Q1066">IFERROR(
  INDEX('GIR Log'!$E$2:$V$70,
    MATCH(1,
      ('GIR Log'!$A$2:$A$70=$A1066)*
      ('GIR Log'!$B$2:$B$70=$B1066)*
      ('GIR Log'!$C$2:$C$70=$C1066),
    0),
    MATCH($G1066,'GIR Log'!$E$1:$V$1,0)
  ),
"")</f>
        <v>1</v>
      </c>
    </row>
    <row r="1067" spans="1:17" x14ac:dyDescent="0.25">
      <c r="A1067" s="51" t="s">
        <v>130</v>
      </c>
      <c r="B1067" s="2">
        <v>45570</v>
      </c>
      <c r="C1067" s="51" t="s">
        <v>3</v>
      </c>
      <c r="D1067" s="51" t="s">
        <v>3</v>
      </c>
      <c r="E1067" s="51" t="s">
        <v>36</v>
      </c>
      <c r="F1067">
        <v>87</v>
      </c>
      <c r="G1067" t="s">
        <v>50</v>
      </c>
      <c r="H1067" s="9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Log'!$E$2:$V$70,
    MATCH(1,
      ('Golf Log'!$A$2:$A$70=$A1067)*
      ('Golf Log'!$B$2:$B$70=$B1067)*
      ('Golf Log'!$C$2:$C$70=$C1067),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Log'!$E$2:$V$70,
    MATCH(1,
      ('Putt Log'!$A$2:$A$70=$A1067)*
      ('Putt Log'!$B$2:$B$70=$B1067)*
      ('Putt Log'!$C$2:$C$70=$C1067),
    0),
    MATCH($G1067,'Putt Log'!$E$1:$V$1,0)
  ),
"")</f>
        <v>2</v>
      </c>
      <c r="P1067" cm="1">
        <f t="array" ref="P1067">IF(K1067=3,"",
  IFERROR(
    INDEX('Fairway Log'!$E$2:$V$70,
      MATCH(1,
        ('Fairway Log'!$A$2:$A$70=$A1067)*
        ('Fairway Log'!$B$2:$B$70=$B1067)*
        ('Fairway Log'!$C$2:$C1138=$C1067),
      0),
      MATCH($G1067,'Fairway Log'!$E$1:$V$1,0)
    ),
  "")
)</f>
        <v>1</v>
      </c>
      <c r="Q1067" cm="1">
        <f t="array" ref="Q1067">IFERROR(
  INDEX('GIR Log'!$E$2:$V$70,
    MATCH(1,
      ('GIR Log'!$A$2:$A$70=$A1067)*
      ('GIR Log'!$B$2:$B$70=$B1067)*
      ('GIR Log'!$C$2:$C$70=$C1067),
    0),
    MATCH($G1067,'GIR Log'!$E$1:$V$1,0)
  ),
"")</f>
        <v>1</v>
      </c>
    </row>
    <row r="1068" spans="1:17" x14ac:dyDescent="0.25">
      <c r="A1068" s="51" t="s">
        <v>130</v>
      </c>
      <c r="B1068" s="2">
        <v>45570</v>
      </c>
      <c r="C1068" s="51" t="s">
        <v>3</v>
      </c>
      <c r="D1068" s="51" t="s">
        <v>3</v>
      </c>
      <c r="E1068" s="51" t="s">
        <v>36</v>
      </c>
      <c r="F1068">
        <v>87</v>
      </c>
      <c r="G1068" t="s">
        <v>51</v>
      </c>
      <c r="H1068" s="9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Log'!$E$2:$V$70,
    MATCH(1,
      ('Golf Log'!$A$2:$A$70=$A1068)*
      ('Golf Log'!$B$2:$B$70=$B1068)*
      ('Golf Log'!$C$2:$C$70=$C1068),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Log'!$E$2:$V$70,
    MATCH(1,
      ('Putt Log'!$A$2:$A$70=$A1068)*
      ('Putt Log'!$B$2:$B$70=$B1068)*
      ('Putt Log'!$C$2:$C$70=$C1068),
    0),
    MATCH($G1068,'Putt Log'!$E$1:$V$1,0)
  ),
"")</f>
        <v>2</v>
      </c>
      <c r="P1068" t="str" cm="1">
        <f t="array" ref="P1068">IF(K1068=3,"",
  IFERROR(
    INDEX('Fairway Log'!$E$2:$V$70,
      MATCH(1,
        ('Fairway Log'!$A$2:$A$70=$A1068)*
        ('Fairway Log'!$B$2:$B$70=$B1068)*
        ('Fairway Log'!$C$2:$C1139=$C1068),
      0),
      MATCH($G1068,'Fairway Log'!$E$1:$V$1,0)
    ),
  "")
)</f>
        <v>→</v>
      </c>
      <c r="Q1068" t="str" cm="1">
        <f t="array" ref="Q1068">IFERROR(
  INDEX('GIR Log'!$E$2:$V$70,
    MATCH(1,
      ('GIR Log'!$A$2:$A$70=$A1068)*
      ('GIR Log'!$B$2:$B$70=$B1068)*
      ('GIR Log'!$C$2:$C$70=$C1068),
    0),
    MATCH($G1068,'GIR Log'!$E$1:$V$1,0)
  ),
"")</f>
        <v>←</v>
      </c>
    </row>
    <row r="1069" spans="1:17" x14ac:dyDescent="0.25">
      <c r="A1069" s="51" t="s">
        <v>130</v>
      </c>
      <c r="B1069" s="2">
        <v>45570</v>
      </c>
      <c r="C1069" s="51" t="s">
        <v>3</v>
      </c>
      <c r="D1069" s="51" t="s">
        <v>3</v>
      </c>
      <c r="E1069" s="51" t="s">
        <v>36</v>
      </c>
      <c r="F1069">
        <v>87</v>
      </c>
      <c r="G1069" t="s">
        <v>52</v>
      </c>
      <c r="H1069" s="9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Log'!$E$2:$V$70,
    MATCH(1,
      ('Golf Log'!$A$2:$A$70=$A1069)*
      ('Golf Log'!$B$2:$B$70=$B1069)*
      ('Golf Log'!$C$2:$C$70=$C1069),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Log'!$E$2:$V$70,
    MATCH(1,
      ('Putt Log'!$A$2:$A$70=$A1069)*
      ('Putt Log'!$B$2:$B$70=$B1069)*
      ('Putt Log'!$C$2:$C$70=$C1069),
    0),
    MATCH($G1069,'Putt Log'!$E$1:$V$1,0)
  ),
"")</f>
        <v>2</v>
      </c>
      <c r="P1069" t="str" cm="1">
        <f t="array" ref="P1069">IF(K1069=3,"",
  IFERROR(
    INDEX('Fairway Log'!$E$2:$V$70,
      MATCH(1,
        ('Fairway Log'!$A$2:$A$70=$A1069)*
        ('Fairway Log'!$B$2:$B$70=$B1069)*
        ('Fairway Log'!$C$2:$C1140=$C1069),
      0),
      MATCH($G1069,'Fairway Log'!$E$1:$V$1,0)
    ),
  "")
)</f>
        <v/>
      </c>
      <c r="Q1069" t="str" cm="1">
        <f t="array" ref="Q1069">IFERROR(
  INDEX('GIR Log'!$E$2:$V$70,
    MATCH(1,
      ('GIR Log'!$A$2:$A$70=$A1069)*
      ('GIR Log'!$B$2:$B$70=$B1069)*
      ('GIR Log'!$C$2:$C$70=$C1069),
    0),
    MATCH($G1069,'GIR Log'!$E$1:$V$1,0)
  ),
"")</f>
        <v>→</v>
      </c>
    </row>
    <row r="1070" spans="1:17" x14ac:dyDescent="0.25">
      <c r="A1070" s="51" t="s">
        <v>130</v>
      </c>
      <c r="B1070" s="2">
        <v>45570</v>
      </c>
      <c r="C1070" s="51" t="s">
        <v>3</v>
      </c>
      <c r="D1070" s="51" t="s">
        <v>3</v>
      </c>
      <c r="E1070" s="51" t="s">
        <v>36</v>
      </c>
      <c r="F1070">
        <v>87</v>
      </c>
      <c r="G1070" t="s">
        <v>53</v>
      </c>
      <c r="H1070" s="9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Log'!$E$2:$V$70,
    MATCH(1,
      ('Golf Log'!$A$2:$A$70=$A1070)*
      ('Golf Log'!$B$2:$B$70=$B1070)*
      ('Golf Log'!$C$2:$C$70=$C1070),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Log'!$E$2:$V$70,
    MATCH(1,
      ('Putt Log'!$A$2:$A$70=$A1070)*
      ('Putt Log'!$B$2:$B$70=$B1070)*
      ('Putt Log'!$C$2:$C$70=$C1070),
    0),
    MATCH($G1070,'Putt Log'!$E$1:$V$1,0)
  ),
"")</f>
        <v>3</v>
      </c>
      <c r="P1070" t="str" cm="1">
        <f t="array" ref="P1070">IF(K1070=3,"",
  IFERROR(
    INDEX('Fairway Log'!$E$2:$V$70,
      MATCH(1,
        ('Fairway Log'!$A$2:$A$70=$A1070)*
        ('Fairway Log'!$B$2:$B$70=$B1070)*
        ('Fairway Log'!$C$2:$C1141=$C1070),
      0),
      MATCH($G1070,'Fairway Log'!$E$1:$V$1,0)
    ),
  "")
)</f>
        <v>←</v>
      </c>
      <c r="Q1070" t="str" cm="1">
        <f t="array" ref="Q1070">IFERROR(
  INDEX('GIR Log'!$E$2:$V$70,
    MATCH(1,
      ('GIR Log'!$A$2:$A$70=$A1070)*
      ('GIR Log'!$B$2:$B$70=$B1070)*
      ('GIR Log'!$C$2:$C$70=$C1070),
    0),
    MATCH($G1070,'GIR Log'!$E$1:$V$1,0)
  ),
"")</f>
        <v>↓</v>
      </c>
    </row>
    <row r="1071" spans="1:17" x14ac:dyDescent="0.25">
      <c r="A1071" s="51" t="s">
        <v>130</v>
      </c>
      <c r="B1071" s="2">
        <v>45570</v>
      </c>
      <c r="C1071" s="51" t="s">
        <v>3</v>
      </c>
      <c r="D1071" s="51" t="s">
        <v>3</v>
      </c>
      <c r="E1071" s="51" t="s">
        <v>36</v>
      </c>
      <c r="F1071">
        <v>87</v>
      </c>
      <c r="G1071" t="s">
        <v>54</v>
      </c>
      <c r="H1071" s="9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Log'!$E$2:$V$70,
    MATCH(1,
      ('Golf Log'!$A$2:$A$70=$A1071)*
      ('Golf Log'!$B$2:$B$70=$B1071)*
      ('Golf Log'!$C$2:$C$70=$C1071),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Log'!$E$2:$V$70,
    MATCH(1,
      ('Putt Log'!$A$2:$A$70=$A1071)*
      ('Putt Log'!$B$2:$B$70=$B1071)*
      ('Putt Log'!$C$2:$C$70=$C1071),
    0),
    MATCH($G1071,'Putt Log'!$E$1:$V$1,0)
  ),
"")</f>
        <v>2</v>
      </c>
      <c r="P1071" t="str" cm="1">
        <f t="array" ref="P1071">IF(K1071=3,"",
  IFERROR(
    INDEX('Fairway Log'!$E$2:$V$70,
      MATCH(1,
        ('Fairway Log'!$A$2:$A$70=$A1071)*
        ('Fairway Log'!$B$2:$B$70=$B1071)*
        ('Fairway Log'!$C$2:$C1142=$C1071),
      0),
      MATCH($G1071,'Fairway Log'!$E$1:$V$1,0)
    ),
  "")
)</f>
        <v>↓</v>
      </c>
      <c r="Q1071" t="str" cm="1">
        <f t="array" ref="Q1071">IFERROR(
  INDEX('GIR Log'!$E$2:$V$70,
    MATCH(1,
      ('GIR Log'!$A$2:$A$70=$A1071)*
      ('GIR Log'!$B$2:$B$70=$B1071)*
      ('GIR Log'!$C$2:$C$70=$C1071),
    0),
    MATCH($G1071,'GIR Log'!$E$1:$V$1,0)
  ),
"")</f>
        <v>↑</v>
      </c>
    </row>
    <row r="1072" spans="1:17" x14ac:dyDescent="0.25">
      <c r="A1072" s="51" t="s">
        <v>130</v>
      </c>
      <c r="B1072" s="2">
        <v>45570</v>
      </c>
      <c r="C1072" s="51" t="s">
        <v>3</v>
      </c>
      <c r="D1072" s="51" t="s">
        <v>3</v>
      </c>
      <c r="E1072" s="51" t="s">
        <v>36</v>
      </c>
      <c r="F1072">
        <v>87</v>
      </c>
      <c r="G1072" t="s">
        <v>55</v>
      </c>
      <c r="H1072" s="9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Log'!$E$2:$V$70,
    MATCH(1,
      ('Golf Log'!$A$2:$A$70=$A1072)*
      ('Golf Log'!$B$2:$B$70=$B1072)*
      ('Golf Log'!$C$2:$C$70=$C1072),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Log'!$E$2:$V$70,
    MATCH(1,
      ('Putt Log'!$A$2:$A$70=$A1072)*
      ('Putt Log'!$B$2:$B$70=$B1072)*
      ('Putt Log'!$C$2:$C$70=$C1072),
    0),
    MATCH($G1072,'Putt Log'!$E$1:$V$1,0)
  ),
"")</f>
        <v>3</v>
      </c>
      <c r="P1072" t="str" cm="1">
        <f t="array" ref="P1072">IF(K1072=3,"",
  IFERROR(
    INDEX('Fairway Log'!$E$2:$V$70,
      MATCH(1,
        ('Fairway Log'!$A$2:$A$70=$A1072)*
        ('Fairway Log'!$B$2:$B$70=$B1072)*
        ('Fairway Log'!$C$2:$C1143=$C1072),
      0),
      MATCH($G1072,'Fairway Log'!$E$1:$V$1,0)
    ),
  "")
)</f>
        <v>←</v>
      </c>
      <c r="Q1072" t="str" cm="1">
        <f t="array" ref="Q1072">IFERROR(
  INDEX('GIR Log'!$E$2:$V$70,
    MATCH(1,
      ('GIR Log'!$A$2:$A$70=$A1072)*
      ('GIR Log'!$B$2:$B$70=$B1072)*
      ('GIR Log'!$C$2:$C$70=$C1072),
    0),
    MATCH($G1072,'GIR Log'!$E$1:$V$1,0)
  ),
"")</f>
        <v>↓</v>
      </c>
    </row>
    <row r="1073" spans="1:17" x14ac:dyDescent="0.25">
      <c r="A1073" s="51" t="s">
        <v>130</v>
      </c>
      <c r="B1073" s="2">
        <v>45570</v>
      </c>
      <c r="C1073" s="51" t="s">
        <v>3</v>
      </c>
      <c r="D1073" s="51" t="s">
        <v>3</v>
      </c>
      <c r="E1073" s="51" t="s">
        <v>36</v>
      </c>
      <c r="F1073">
        <v>87</v>
      </c>
      <c r="G1073" t="s">
        <v>56</v>
      </c>
      <c r="H1073" s="9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Log'!$E$2:$V$70,
    MATCH(1,
      ('Golf Log'!$A$2:$A$70=$A1073)*
      ('Golf Log'!$B$2:$B$70=$B1073)*
      ('Golf Log'!$C$2:$C$70=$C1073),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Log'!$E$2:$V$70,
    MATCH(1,
      ('Putt Log'!$A$2:$A$70=$A1073)*
      ('Putt Log'!$B$2:$B$70=$B1073)*
      ('Putt Log'!$C$2:$C$70=$C1073),
    0),
    MATCH($G1073,'Putt Log'!$E$1:$V$1,0)
  ),
"")</f>
        <v>1</v>
      </c>
      <c r="P1073" t="str" cm="1">
        <f t="array" ref="P1073">IF(K1073=3,"",
  IFERROR(
    INDEX('Fairway Log'!$E$2:$V$70,
      MATCH(1,
        ('Fairway Log'!$A$2:$A$70=$A1073)*
        ('Fairway Log'!$B$2:$B$70=$B1073)*
        ('Fairway Log'!$C$2:$C1144=$C1073),
      0),
      MATCH($G1073,'Fairway Log'!$E$1:$V$1,0)
    ),
  "")
)</f>
        <v>←</v>
      </c>
      <c r="Q1073" t="str" cm="1">
        <f t="array" ref="Q1073">IFERROR(
  INDEX('GIR Log'!$E$2:$V$70,
    MATCH(1,
      ('GIR Log'!$A$2:$A$70=$A1073)*
      ('GIR Log'!$B$2:$B$70=$B1073)*
      ('GIR Log'!$C$2:$C$70=$C1073),
    0),
    MATCH($G1073,'GIR Log'!$E$1:$V$1,0)
  ),
"")</f>
        <v>↓</v>
      </c>
    </row>
    <row r="1074" spans="1:17" x14ac:dyDescent="0.25">
      <c r="A1074" s="51" t="s">
        <v>130</v>
      </c>
      <c r="B1074" s="2">
        <v>45570</v>
      </c>
      <c r="C1074" s="51" t="s">
        <v>3</v>
      </c>
      <c r="D1074" s="51" t="s">
        <v>3</v>
      </c>
      <c r="E1074" s="51" t="s">
        <v>36</v>
      </c>
      <c r="F1074">
        <v>87</v>
      </c>
      <c r="G1074" t="s">
        <v>57</v>
      </c>
      <c r="H1074" s="9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Log'!$E$2:$V$70,
    MATCH(1,
      ('Golf Log'!$A$2:$A$70=$A1074)*
      ('Golf Log'!$B$2:$B$70=$B1074)*
      ('Golf Log'!$C$2:$C$70=$C1074),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Log'!$E$2:$V$70,
    MATCH(1,
      ('Putt Log'!$A$2:$A$70=$A1074)*
      ('Putt Log'!$B$2:$B$70=$B1074)*
      ('Putt Log'!$C$2:$C$70=$C1074),
    0),
    MATCH($G1074,'Putt Log'!$E$1:$V$1,0)
  ),
"")</f>
        <v>2</v>
      </c>
      <c r="P1074" t="str" cm="1">
        <f t="array" ref="P1074">IF(K1074=3,"",
  IFERROR(
    INDEX('Fairway Log'!$E$2:$V$70,
      MATCH(1,
        ('Fairway Log'!$A$2:$A$70=$A1074)*
        ('Fairway Log'!$B$2:$B$70=$B1074)*
        ('Fairway Log'!$C$2:$C1145=$C1074),
      0),
      MATCH($G1074,'Fairway Log'!$E$1:$V$1,0)
    ),
  "")
)</f>
        <v/>
      </c>
      <c r="Q1074" t="str" cm="1">
        <f t="array" ref="Q1074">IFERROR(
  INDEX('GIR Log'!$E$2:$V$70,
    MATCH(1,
      ('GIR Log'!$A$2:$A$70=$A1074)*
      ('GIR Log'!$B$2:$B$70=$B1074)*
      ('GIR Log'!$C$2:$C$70=$C1074),
    0),
    MATCH($G1074,'GIR Log'!$E$1:$V$1,0)
  ),
"")</f>
        <v>↓</v>
      </c>
    </row>
    <row r="1075" spans="1:17" x14ac:dyDescent="0.25">
      <c r="A1075" s="51" t="s">
        <v>130</v>
      </c>
      <c r="B1075" s="2">
        <v>45570</v>
      </c>
      <c r="C1075" s="51" t="s">
        <v>3</v>
      </c>
      <c r="D1075" s="51" t="s">
        <v>3</v>
      </c>
      <c r="E1075" s="51" t="s">
        <v>36</v>
      </c>
      <c r="F1075">
        <v>87</v>
      </c>
      <c r="G1075" t="s">
        <v>58</v>
      </c>
      <c r="H1075" s="9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Log'!$E$2:$V$70,
    MATCH(1,
      ('Golf Log'!$A$2:$A$70=$A1075)*
      ('Golf Log'!$B$2:$B$70=$B1075)*
      ('Golf Log'!$C$2:$C$70=$C1075),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Log'!$E$2:$V$70,
    MATCH(1,
      ('Putt Log'!$A$2:$A$70=$A1075)*
      ('Putt Log'!$B$2:$B$70=$B1075)*
      ('Putt Log'!$C$2:$C$70=$C1075),
    0),
    MATCH($G1075,'Putt Log'!$E$1:$V$1,0)
  ),
"")</f>
        <v>3</v>
      </c>
      <c r="P1075" t="str" cm="1">
        <f t="array" ref="P1075">IF(K1075=3,"",
  IFERROR(
    INDEX('Fairway Log'!$E$2:$V$70,
      MATCH(1,
        ('Fairway Log'!$A$2:$A$70=$A1075)*
        ('Fairway Log'!$B$2:$B$70=$B1075)*
        ('Fairway Log'!$C$2:$C1146=$C1075),
      0),
      MATCH($G1075,'Fairway Log'!$E$1:$V$1,0)
    ),
  "")
)</f>
        <v>↑</v>
      </c>
      <c r="Q1075" cm="1">
        <f t="array" ref="Q1075">IFERROR(
  INDEX('GIR Log'!$E$2:$V$70,
    MATCH(1,
      ('GIR Log'!$A$2:$A$70=$A1075)*
      ('GIR Log'!$B$2:$B$70=$B1075)*
      ('GIR Log'!$C$2:$C$70=$C1075),
    0),
    MATCH($G1075,'GIR Log'!$E$1:$V$1,0)
  ),
"")</f>
        <v>1</v>
      </c>
    </row>
    <row r="1076" spans="1:17" x14ac:dyDescent="0.25">
      <c r="A1076" s="51" t="s">
        <v>130</v>
      </c>
      <c r="B1076" s="2">
        <v>45570</v>
      </c>
      <c r="C1076" s="51" t="s">
        <v>3</v>
      </c>
      <c r="D1076" s="51" t="s">
        <v>3</v>
      </c>
      <c r="E1076" s="51" t="s">
        <v>36</v>
      </c>
      <c r="F1076">
        <v>87</v>
      </c>
      <c r="G1076" t="s">
        <v>59</v>
      </c>
      <c r="H1076" s="9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Log'!$E$2:$V$70,
    MATCH(1,
      ('Golf Log'!$A$2:$A$70=$A1076)*
      ('Golf Log'!$B$2:$B$70=$B1076)*
      ('Golf Log'!$C$2:$C$70=$C1076),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Log'!$E$2:$V$70,
    MATCH(1,
      ('Putt Log'!$A$2:$A$70=$A1076)*
      ('Putt Log'!$B$2:$B$70=$B1076)*
      ('Putt Log'!$C$2:$C$70=$C1076),
    0),
    MATCH($G1076,'Putt Log'!$E$1:$V$1,0)
  ),
"")</f>
        <v>2</v>
      </c>
      <c r="P1076" t="str" cm="1">
        <f t="array" ref="P1076">IF(K1076=3,"",
  IFERROR(
    INDEX('Fairway Log'!$E$2:$V$70,
      MATCH(1,
        ('Fairway Log'!$A$2:$A$70=$A1076)*
        ('Fairway Log'!$B$2:$B$70=$B1076)*
        ('Fairway Log'!$C$2:$C1147=$C1076),
      0),
      MATCH($G1076,'Fairway Log'!$E$1:$V$1,0)
    ),
  "")
)</f>
        <v>←</v>
      </c>
      <c r="Q1076" t="str" cm="1">
        <f t="array" ref="Q1076">IFERROR(
  INDEX('GIR Log'!$E$2:$V$70,
    MATCH(1,
      ('GIR Log'!$A$2:$A$70=$A1076)*
      ('GIR Log'!$B$2:$B$70=$B1076)*
      ('GIR Log'!$C$2:$C$70=$C1076),
    0),
    MATCH($G1076,'GIR Log'!$E$1:$V$1,0)
  ),
"")</f>
        <v>↓</v>
      </c>
    </row>
    <row r="1077" spans="1:17" x14ac:dyDescent="0.25">
      <c r="A1077" s="51" t="s">
        <v>130</v>
      </c>
      <c r="B1077" s="2">
        <v>45570</v>
      </c>
      <c r="C1077" s="51" t="s">
        <v>3</v>
      </c>
      <c r="D1077" s="51" t="s">
        <v>3</v>
      </c>
      <c r="E1077" s="51" t="s">
        <v>36</v>
      </c>
      <c r="F1077">
        <v>87</v>
      </c>
      <c r="G1077" t="s">
        <v>60</v>
      </c>
      <c r="H1077" s="9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Log'!$E$2:$V$70,
    MATCH(1,
      ('Golf Log'!$A$2:$A$70=$A1077)*
      ('Golf Log'!$B$2:$B$70=$B1077)*
      ('Golf Log'!$C$2:$C$70=$C1077),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Log'!$E$2:$V$70,
    MATCH(1,
      ('Putt Log'!$A$2:$A$70=$A1077)*
      ('Putt Log'!$B$2:$B$70=$B1077)*
      ('Putt Log'!$C$2:$C$70=$C1077),
    0),
    MATCH($G1077,'Putt Log'!$E$1:$V$1,0)
  ),
"")</f>
        <v>1</v>
      </c>
      <c r="P1077" t="str" cm="1">
        <f t="array" ref="P1077">IF(K1077=3,"",
  IFERROR(
    INDEX('Fairway Log'!$E$2:$V$70,
      MATCH(1,
        ('Fairway Log'!$A$2:$A$70=$A1077)*
        ('Fairway Log'!$B$2:$B$70=$B1077)*
        ('Fairway Log'!$C$2:$C1148=$C1077),
      0),
      MATCH($G1077,'Fairway Log'!$E$1:$V$1,0)
    ),
  "")
)</f>
        <v>←</v>
      </c>
      <c r="Q1077" t="str" cm="1">
        <f t="array" ref="Q1077">IFERROR(
  INDEX('GIR Log'!$E$2:$V$70,
    MATCH(1,
      ('GIR Log'!$A$2:$A$70=$A1077)*
      ('GIR Log'!$B$2:$B$70=$B1077)*
      ('GIR Log'!$C$2:$C$70=$C1077),
    0),
    MATCH($G1077,'GIR Log'!$E$1:$V$1,0)
  ),
"")</f>
        <v>→</v>
      </c>
    </row>
    <row r="1078" spans="1:17" x14ac:dyDescent="0.25">
      <c r="A1078" s="51" t="s">
        <v>130</v>
      </c>
      <c r="B1078" s="2">
        <v>45570</v>
      </c>
      <c r="C1078" s="51" t="s">
        <v>3</v>
      </c>
      <c r="D1078" s="51" t="s">
        <v>3</v>
      </c>
      <c r="E1078" s="51" t="s">
        <v>36</v>
      </c>
      <c r="F1078">
        <v>87</v>
      </c>
      <c r="G1078" t="s">
        <v>61</v>
      </c>
      <c r="H1078" s="9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Log'!$E$2:$V$70,
    MATCH(1,
      ('Golf Log'!$A$2:$A$70=$A1078)*
      ('Golf Log'!$B$2:$B$70=$B1078)*
      ('Golf Log'!$C$2:$C$70=$C1078),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Log'!$E$2:$V$70,
    MATCH(1,
      ('Putt Log'!$A$2:$A$70=$A1078)*
      ('Putt Log'!$B$2:$B$70=$B1078)*
      ('Putt Log'!$C$2:$C$70=$C1078),
    0),
    MATCH($G1078,'Putt Log'!$E$1:$V$1,0)
  ),
"")</f>
        <v>3</v>
      </c>
      <c r="P1078" t="str" cm="1">
        <f t="array" ref="P1078">IF(K1078=3,"",
  IFERROR(
    INDEX('Fairway Log'!$E$2:$V$70,
      MATCH(1,
        ('Fairway Log'!$A$2:$A$70=$A1078)*
        ('Fairway Log'!$B$2:$B$70=$B1078)*
        ('Fairway Log'!$C$2:$C1149=$C1078),
      0),
      MATCH($G1078,'Fairway Log'!$E$1:$V$1,0)
    ),
  "")
)</f>
        <v/>
      </c>
      <c r="Q1078" cm="1">
        <f t="array" ref="Q1078">IFERROR(
  INDEX('GIR Log'!$E$2:$V$70,
    MATCH(1,
      ('GIR Log'!$A$2:$A$70=$A1078)*
      ('GIR Log'!$B$2:$B$70=$B1078)*
      ('GIR Log'!$C$2:$C$70=$C1078),
    0),
    MATCH($G1078,'GIR Log'!$E$1:$V$1,0)
  ),
"")</f>
        <v>1</v>
      </c>
    </row>
    <row r="1079" spans="1:17" x14ac:dyDescent="0.25">
      <c r="A1079" s="51" t="s">
        <v>130</v>
      </c>
      <c r="B1079" s="2">
        <v>45570</v>
      </c>
      <c r="C1079" s="51" t="s">
        <v>3</v>
      </c>
      <c r="D1079" s="51" t="s">
        <v>3</v>
      </c>
      <c r="E1079" s="51" t="s">
        <v>36</v>
      </c>
      <c r="F1079">
        <v>87</v>
      </c>
      <c r="G1079" t="s">
        <v>62</v>
      </c>
      <c r="H1079" s="9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Log'!$E$2:$V$70,
    MATCH(1,
      ('Golf Log'!$A$2:$A$70=$A1079)*
      ('Golf Log'!$B$2:$B$70=$B1079)*
      ('Golf Log'!$C$2:$C$70=$C1079),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Log'!$E$2:$V$70,
    MATCH(1,
      ('Putt Log'!$A$2:$A$70=$A1079)*
      ('Putt Log'!$B$2:$B$70=$B1079)*
      ('Putt Log'!$C$2:$C$70=$C1079),
    0),
    MATCH($G1079,'Putt Log'!$E$1:$V$1,0)
  ),
"")</f>
        <v>2</v>
      </c>
      <c r="P1079" t="str" cm="1">
        <f t="array" ref="P1079">IF(K1079=3,"",
  IFERROR(
    INDEX('Fairway Log'!$E$2:$V$70,
      MATCH(1,
        ('Fairway Log'!$A$2:$A$70=$A1079)*
        ('Fairway Log'!$B$2:$B$70=$B1079)*
        ('Fairway Log'!$C$2:$C1150=$C1079),
      0),
      MATCH($G1079,'Fairway Log'!$E$1:$V$1,0)
    ),
  "")
)</f>
        <v>→</v>
      </c>
      <c r="Q1079" cm="1">
        <f t="array" ref="Q1079">IFERROR(
  INDEX('GIR Log'!$E$2:$V$70,
    MATCH(1,
      ('GIR Log'!$A$2:$A$70=$A1079)*
      ('GIR Log'!$B$2:$B$70=$B1079)*
      ('GIR Log'!$C$2:$C$70=$C1079),
    0),
    MATCH($G1079,'GIR Log'!$E$1:$V$1,0)
  ),
"")</f>
        <v>1</v>
      </c>
    </row>
    <row r="1080" spans="1:17" x14ac:dyDescent="0.25">
      <c r="A1080" s="51" t="s">
        <v>130</v>
      </c>
      <c r="B1080" s="2">
        <v>45570</v>
      </c>
      <c r="C1080" s="51" t="s">
        <v>3</v>
      </c>
      <c r="D1080" s="51" t="s">
        <v>3</v>
      </c>
      <c r="E1080" s="51" t="s">
        <v>36</v>
      </c>
      <c r="F1080">
        <v>87</v>
      </c>
      <c r="G1080" t="s">
        <v>63</v>
      </c>
      <c r="H1080" s="9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Log'!$E$2:$V$70,
    MATCH(1,
      ('Golf Log'!$A$2:$A$70=$A1080)*
      ('Golf Log'!$B$2:$B$70=$B1080)*
      ('Golf Log'!$C$2:$C$70=$C1080),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Log'!$E$2:$V$70,
    MATCH(1,
      ('Putt Log'!$A$2:$A$70=$A1080)*
      ('Putt Log'!$B$2:$B$70=$B1080)*
      ('Putt Log'!$C$2:$C$70=$C1080),
    0),
    MATCH($G1080,'Putt Log'!$E$1:$V$1,0)
  ),
"")</f>
        <v>1</v>
      </c>
      <c r="P1080" t="str" cm="1">
        <f t="array" ref="P1080">IF(K1080=3,"",
  IFERROR(
    INDEX('Fairway Log'!$E$2:$V$70,
      MATCH(1,
        ('Fairway Log'!$A$2:$A$70=$A1080)*
        ('Fairway Log'!$B$2:$B$70=$B1080)*
        ('Fairway Log'!$C$2:$C1151=$C1080),
      0),
      MATCH($G1080,'Fairway Log'!$E$1:$V$1,0)
    ),
  "")
)</f>
        <v>←</v>
      </c>
      <c r="Q1080" t="str" cm="1">
        <f t="array" ref="Q1080">IFERROR(
  INDEX('GIR Log'!$E$2:$V$70,
    MATCH(1,
      ('GIR Log'!$A$2:$A$70=$A1080)*
      ('GIR Log'!$B$2:$B$70=$B1080)*
      ('GIR Log'!$C$2:$C$70=$C1080),
    0),
    MATCH($G1080,'GIR Log'!$E$1:$V$1,0)
  ),
"")</f>
        <v>↓</v>
      </c>
    </row>
    <row r="1081" spans="1:17" x14ac:dyDescent="0.25">
      <c r="A1081" s="51" t="s">
        <v>130</v>
      </c>
      <c r="B1081" s="2">
        <v>45570</v>
      </c>
      <c r="C1081" s="51" t="s">
        <v>3</v>
      </c>
      <c r="D1081" s="51" t="s">
        <v>3</v>
      </c>
      <c r="E1081" s="51" t="s">
        <v>36</v>
      </c>
      <c r="F1081">
        <v>87</v>
      </c>
      <c r="G1081" t="s">
        <v>64</v>
      </c>
      <c r="H1081" s="9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Log'!$E$2:$V$70,
    MATCH(1,
      ('Golf Log'!$A$2:$A$70=$A1081)*
      ('Golf Log'!$B$2:$B$70=$B1081)*
      ('Golf Log'!$C$2:$C$70=$C1081),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Log'!$E$2:$V$70,
    MATCH(1,
      ('Putt Log'!$A$2:$A$70=$A1081)*
      ('Putt Log'!$B$2:$B$70=$B1081)*
      ('Putt Log'!$C$2:$C$70=$C1081),
    0),
    MATCH($G1081,'Putt Log'!$E$1:$V$1,0)
  ),
"")</f>
        <v>2</v>
      </c>
      <c r="P1081" t="str" cm="1">
        <f t="array" ref="P1081">IF(K1081=3,"",
  IFERROR(
    INDEX('Fairway Log'!$E$2:$V$70,
      MATCH(1,
        ('Fairway Log'!$A$2:$A$70=$A1081)*
        ('Fairway Log'!$B$2:$B$70=$B1081)*
        ('Fairway Log'!$C$2:$C1152=$C1081),
      0),
      MATCH($G1081,'Fairway Log'!$E$1:$V$1,0)
    ),
  "")
)</f>
        <v>→</v>
      </c>
      <c r="Q1081" t="str" cm="1">
        <f t="array" ref="Q1081">IFERROR(
  INDEX('GIR Log'!$E$2:$V$70,
    MATCH(1,
      ('GIR Log'!$A$2:$A$70=$A1081)*
      ('GIR Log'!$B$2:$B$70=$B1081)*
      ('GIR Log'!$C$2:$C$70=$C1081),
    0),
    MATCH($G1081,'GIR Log'!$E$1:$V$1,0)
  ),
"")</f>
        <v>↓</v>
      </c>
    </row>
    <row r="1082" spans="1:17" x14ac:dyDescent="0.25">
      <c r="A1082" s="51" t="s">
        <v>130</v>
      </c>
      <c r="B1082" s="2">
        <v>45535</v>
      </c>
      <c r="C1082" s="51" t="s">
        <v>9</v>
      </c>
      <c r="D1082" s="51" t="s">
        <v>9</v>
      </c>
      <c r="E1082" s="51" t="s">
        <v>36</v>
      </c>
      <c r="F1082">
        <v>87</v>
      </c>
      <c r="G1082" s="12" t="s">
        <v>47</v>
      </c>
      <c r="H1082" s="9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Log'!$E$2:$V$70,
    MATCH(1,
      ('Golf Log'!$A$2:$A$70=$A1082)*
      ('Golf Log'!$B$2:$B$70=$B1082)*
      ('Golf Log'!$C$2:$C$70=$C1082),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Log'!$E$2:$V$70,
    MATCH(1,
      ('Putt Log'!$A$2:$A$70=$A1082)*
      ('Putt Log'!$B$2:$B$70=$B1082)*
      ('Putt Log'!$C$2:$C$70=$C1082),
    0),
    MATCH($G1082,'Putt Log'!$E$1:$V$1,0)
  ),
"")</f>
        <v>2</v>
      </c>
      <c r="P1082" t="str" cm="1">
        <f t="array" ref="P1082">IF(K1082=3,"",
  IFERROR(
    INDEX('Fairway Log'!$E$2:$V$70,
      MATCH(1,
        ('Fairway Log'!$A$2:$A$70=$A1082)*
        ('Fairway Log'!$B$2:$B$70=$B1082)*
        ('Fairway Log'!$C$2:$C1153=$C1082),
      0),
      MATCH($G1082,'Fairway Log'!$E$1:$V$1,0)
    ),
  "")
)</f>
        <v>←</v>
      </c>
      <c r="Q1082" t="str" cm="1">
        <f t="array" ref="Q1082">IFERROR(
  INDEX('GIR Log'!$E$2:$V$70,
    MATCH(1,
      ('GIR Log'!$A$2:$A$70=$A1082)*
      ('GIR Log'!$B$2:$B$70=$B1082)*
      ('GIR Log'!$C$2:$C$70=$C1082),
    0),
    MATCH($G1082,'GIR Log'!$E$1:$V$1,0)
  ),
"")</f>
        <v>NC</v>
      </c>
    </row>
    <row r="1083" spans="1:17" x14ac:dyDescent="0.25">
      <c r="A1083" s="51" t="s">
        <v>130</v>
      </c>
      <c r="B1083" s="2">
        <v>45535</v>
      </c>
      <c r="C1083" s="51" t="s">
        <v>9</v>
      </c>
      <c r="D1083" s="51" t="s">
        <v>9</v>
      </c>
      <c r="E1083" s="51" t="s">
        <v>36</v>
      </c>
      <c r="F1083">
        <v>87</v>
      </c>
      <c r="G1083" s="12" t="s">
        <v>48</v>
      </c>
      <c r="H1083" s="9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Log'!$E$2:$V$70,
    MATCH(1,
      ('Golf Log'!$A$2:$A$70=$A1083)*
      ('Golf Log'!$B$2:$B$70=$B1083)*
      ('Golf Log'!$C$2:$C$70=$C1083),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Log'!$E$2:$V$70,
    MATCH(1,
      ('Putt Log'!$A$2:$A$70=$A1083)*
      ('Putt Log'!$B$2:$B$70=$B1083)*
      ('Putt Log'!$C$2:$C$70=$C1083),
    0),
    MATCH($G1083,'Putt Log'!$E$1:$V$1,0)
  ),
"")</f>
        <v>2</v>
      </c>
      <c r="P1083" cm="1">
        <f t="array" ref="P1083">IF(K1083=3,"",
  IFERROR(
    INDEX('Fairway Log'!$E$2:$V$70,
      MATCH(1,
        ('Fairway Log'!$A$2:$A$70=$A1083)*
        ('Fairway Log'!$B$2:$B$70=$B1083)*
        ('Fairway Log'!$C$2:$C1154=$C1083),
      0),
      MATCH($G1083,'Fairway Log'!$E$1:$V$1,0)
    ),
  "")
)</f>
        <v>1</v>
      </c>
      <c r="Q1083" t="str" cm="1">
        <f t="array" ref="Q1083">IFERROR(
  INDEX('GIR Log'!$E$2:$V$70,
    MATCH(1,
      ('GIR Log'!$A$2:$A$70=$A1083)*
      ('GIR Log'!$B$2:$B$70=$B1083)*
      ('GIR Log'!$C$2:$C$70=$C1083),
    0),
    MATCH($G1083,'GIR Log'!$E$1:$V$1,0)
  ),
"")</f>
        <v>NC</v>
      </c>
    </row>
    <row r="1084" spans="1:17" x14ac:dyDescent="0.25">
      <c r="A1084" s="51" t="s">
        <v>130</v>
      </c>
      <c r="B1084" s="2">
        <v>45535</v>
      </c>
      <c r="C1084" s="51" t="s">
        <v>9</v>
      </c>
      <c r="D1084" s="51" t="s">
        <v>9</v>
      </c>
      <c r="E1084" s="51" t="s">
        <v>36</v>
      </c>
      <c r="F1084">
        <v>87</v>
      </c>
      <c r="G1084" s="12" t="s">
        <v>49</v>
      </c>
      <c r="H1084" s="9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Log'!$E$2:$V$70,
    MATCH(1,
      ('Golf Log'!$A$2:$A$70=$A1084)*
      ('Golf Log'!$B$2:$B$70=$B1084)*
      ('Golf Log'!$C$2:$C$70=$C1084),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Log'!$E$2:$V$70,
    MATCH(1,
      ('Putt Log'!$A$2:$A$70=$A1084)*
      ('Putt Log'!$B$2:$B$70=$B1084)*
      ('Putt Log'!$C$2:$C$70=$C1084),
    0),
    MATCH($G1084,'Putt Log'!$E$1:$V$1,0)
  ),
"")</f>
        <v>2</v>
      </c>
      <c r="P1084" t="str" cm="1">
        <f t="array" ref="P1084">IF(K1084=3,"",
  IFERROR(
    INDEX('Fairway Log'!$E$2:$V$70,
      MATCH(1,
        ('Fairway Log'!$A$2:$A$70=$A1084)*
        ('Fairway Log'!$B$2:$B$70=$B1084)*
        ('Fairway Log'!$C$2:$C1155=$C1084),
      0),
      MATCH($G1084,'Fairway Log'!$E$1:$V$1,0)
    ),
  "")
)</f>
        <v>→</v>
      </c>
      <c r="Q1084" t="str" cm="1">
        <f t="array" ref="Q1084">IFERROR(
  INDEX('GIR Log'!$E$2:$V$70,
    MATCH(1,
      ('GIR Log'!$A$2:$A$70=$A1084)*
      ('GIR Log'!$B$2:$B$70=$B1084)*
      ('GIR Log'!$C$2:$C$70=$C1084),
    0),
    MATCH($G1084,'GIR Log'!$E$1:$V$1,0)
  ),
"")</f>
        <v>NC</v>
      </c>
    </row>
    <row r="1085" spans="1:17" x14ac:dyDescent="0.25">
      <c r="A1085" s="51" t="s">
        <v>130</v>
      </c>
      <c r="B1085" s="2">
        <v>45535</v>
      </c>
      <c r="C1085" s="51" t="s">
        <v>9</v>
      </c>
      <c r="D1085" s="51" t="s">
        <v>9</v>
      </c>
      <c r="E1085" s="51" t="s">
        <v>36</v>
      </c>
      <c r="F1085">
        <v>87</v>
      </c>
      <c r="G1085" s="12" t="s">
        <v>50</v>
      </c>
      <c r="H1085" s="9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Log'!$E$2:$V$70,
    MATCH(1,
      ('Golf Log'!$A$2:$A$70=$A1085)*
      ('Golf Log'!$B$2:$B$70=$B1085)*
      ('Golf Log'!$C$2:$C$70=$C1085),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Log'!$E$2:$V$70,
    MATCH(1,
      ('Putt Log'!$A$2:$A$70=$A1085)*
      ('Putt Log'!$B$2:$B$70=$B1085)*
      ('Putt Log'!$C$2:$C$70=$C1085),
    0),
    MATCH($G1085,'Putt Log'!$E$1:$V$1,0)
  ),
"")</f>
        <v>2</v>
      </c>
      <c r="P1085" t="str" cm="1">
        <f t="array" ref="P1085">IF(K1085=3,"",
  IFERROR(
    INDEX('Fairway Log'!$E$2:$V$70,
      MATCH(1,
        ('Fairway Log'!$A$2:$A$70=$A1085)*
        ('Fairway Log'!$B$2:$B$70=$B1085)*
        ('Fairway Log'!$C$2:$C1156=$C1085),
      0),
      MATCH($G1085,'Fairway Log'!$E$1:$V$1,0)
    ),
  "")
)</f>
        <v/>
      </c>
      <c r="Q1085" t="str" cm="1">
        <f t="array" ref="Q1085">IFERROR(
  INDEX('GIR Log'!$E$2:$V$70,
    MATCH(1,
      ('GIR Log'!$A$2:$A$70=$A1085)*
      ('GIR Log'!$B$2:$B$70=$B1085)*
      ('GIR Log'!$C$2:$C$70=$C1085),
    0),
    MATCH($G1085,'GIR Log'!$E$1:$V$1,0)
  ),
"")</f>
        <v>↓</v>
      </c>
    </row>
    <row r="1086" spans="1:17" x14ac:dyDescent="0.25">
      <c r="A1086" s="51" t="s">
        <v>130</v>
      </c>
      <c r="B1086" s="2">
        <v>45535</v>
      </c>
      <c r="C1086" s="51" t="s">
        <v>9</v>
      </c>
      <c r="D1086" s="51" t="s">
        <v>9</v>
      </c>
      <c r="E1086" s="51" t="s">
        <v>36</v>
      </c>
      <c r="F1086">
        <v>87</v>
      </c>
      <c r="G1086" s="12" t="s">
        <v>51</v>
      </c>
      <c r="H1086" s="9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Log'!$E$2:$V$70,
    MATCH(1,
      ('Golf Log'!$A$2:$A$70=$A1086)*
      ('Golf Log'!$B$2:$B$70=$B1086)*
      ('Golf Log'!$C$2:$C$70=$C1086),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Log'!$E$2:$V$70,
    MATCH(1,
      ('Putt Log'!$A$2:$A$70=$A1086)*
      ('Putt Log'!$B$2:$B$70=$B1086)*
      ('Putt Log'!$C$2:$C$70=$C1086),
    0),
    MATCH($G1086,'Putt Log'!$E$1:$V$1,0)
  ),
"")</f>
        <v>2</v>
      </c>
      <c r="P1086" cm="1">
        <f t="array" ref="P1086">IF(K1086=3,"",
  IFERROR(
    INDEX('Fairway Log'!$E$2:$V$70,
      MATCH(1,
        ('Fairway Log'!$A$2:$A$70=$A1086)*
        ('Fairway Log'!$B$2:$B$70=$B1086)*
        ('Fairway Log'!$C$2:$C1157=$C1086),
      0),
      MATCH($G1086,'Fairway Log'!$E$1:$V$1,0)
    ),
  "")
)</f>
        <v>1</v>
      </c>
      <c r="Q1086" cm="1">
        <f t="array" ref="Q1086">IFERROR(
  INDEX('GIR Log'!$E$2:$V$70,
    MATCH(1,
      ('GIR Log'!$A$2:$A$70=$A1086)*
      ('GIR Log'!$B$2:$B$70=$B1086)*
      ('GIR Log'!$C$2:$C$70=$C1086),
    0),
    MATCH($G1086,'GIR Log'!$E$1:$V$1,0)
  ),
"")</f>
        <v>0</v>
      </c>
    </row>
    <row r="1087" spans="1:17" x14ac:dyDescent="0.25">
      <c r="A1087" s="51" t="s">
        <v>130</v>
      </c>
      <c r="B1087" s="2">
        <v>45535</v>
      </c>
      <c r="C1087" s="51" t="s">
        <v>9</v>
      </c>
      <c r="D1087" s="51" t="s">
        <v>9</v>
      </c>
      <c r="E1087" s="51" t="s">
        <v>36</v>
      </c>
      <c r="F1087">
        <v>87</v>
      </c>
      <c r="G1087" s="12" t="s">
        <v>52</v>
      </c>
      <c r="H1087" s="9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Log'!$E$2:$V$70,
    MATCH(1,
      ('Golf Log'!$A$2:$A$70=$A1087)*
      ('Golf Log'!$B$2:$B$70=$B1087)*
      ('Golf Log'!$C$2:$C$70=$C1087),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Log'!$E$2:$V$70,
    MATCH(1,
      ('Putt Log'!$A$2:$A$70=$A1087)*
      ('Putt Log'!$B$2:$B$70=$B1087)*
      ('Putt Log'!$C$2:$C$70=$C1087),
    0),
    MATCH($G1087,'Putt Log'!$E$1:$V$1,0)
  ),
"")</f>
        <v>2</v>
      </c>
      <c r="P1087" cm="1">
        <f t="array" ref="P1087">IF(K1087=3,"",
  IFERROR(
    INDEX('Fairway Log'!$E$2:$V$70,
      MATCH(1,
        ('Fairway Log'!$A$2:$A$70=$A1087)*
        ('Fairway Log'!$B$2:$B$70=$B1087)*
        ('Fairway Log'!$C$2:$C1158=$C1087),
      0),
      MATCH($G1087,'Fairway Log'!$E$1:$V$1,0)
    ),
  "")
)</f>
        <v>1</v>
      </c>
      <c r="Q1087" cm="1">
        <f t="array" ref="Q1087">IFERROR(
  INDEX('GIR Log'!$E$2:$V$70,
    MATCH(1,
      ('GIR Log'!$A$2:$A$70=$A1087)*
      ('GIR Log'!$B$2:$B$70=$B1087)*
      ('GIR Log'!$C$2:$C$70=$C1087),
    0),
    MATCH($G1087,'GIR Log'!$E$1:$V$1,0)
  ),
"")</f>
        <v>1</v>
      </c>
    </row>
    <row r="1088" spans="1:17" x14ac:dyDescent="0.25">
      <c r="A1088" s="51" t="s">
        <v>130</v>
      </c>
      <c r="B1088" s="2">
        <v>45535</v>
      </c>
      <c r="C1088" s="51" t="s">
        <v>9</v>
      </c>
      <c r="D1088" s="51" t="s">
        <v>9</v>
      </c>
      <c r="E1088" s="51" t="s">
        <v>36</v>
      </c>
      <c r="F1088">
        <v>87</v>
      </c>
      <c r="G1088" s="12" t="s">
        <v>53</v>
      </c>
      <c r="H1088" s="9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Log'!$E$2:$V$70,
    MATCH(1,
      ('Golf Log'!$A$2:$A$70=$A1088)*
      ('Golf Log'!$B$2:$B$70=$B1088)*
      ('Golf Log'!$C$2:$C$70=$C1088),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Log'!$E$2:$V$70,
    MATCH(1,
      ('Putt Log'!$A$2:$A$70=$A1088)*
      ('Putt Log'!$B$2:$B$70=$B1088)*
      ('Putt Log'!$C$2:$C$70=$C1088),
    0),
    MATCH($G1088,'Putt Log'!$E$1:$V$1,0)
  ),
"")</f>
        <v>2</v>
      </c>
      <c r="P1088" t="str" cm="1">
        <f t="array" ref="P1088">IF(K1088=3,"",
  IFERROR(
    INDEX('Fairway Log'!$E$2:$V$70,
      MATCH(1,
        ('Fairway Log'!$A$2:$A$70=$A1088)*
        ('Fairway Log'!$B$2:$B$70=$B1088)*
        ('Fairway Log'!$C$2:$C1159=$C1088),
      0),
      MATCH($G1088,'Fairway Log'!$E$1:$V$1,0)
    ),
  "")
)</f>
        <v/>
      </c>
      <c r="Q1088" t="str" cm="1">
        <f t="array" ref="Q1088">IFERROR(
  INDEX('GIR Log'!$E$2:$V$70,
    MATCH(1,
      ('GIR Log'!$A$2:$A$70=$A1088)*
      ('GIR Log'!$B$2:$B$70=$B1088)*
      ('GIR Log'!$C$2:$C$70=$C1088),
    0),
    MATCH($G1088,'GIR Log'!$E$1:$V$1,0)
  ),
"")</f>
        <v>↓</v>
      </c>
    </row>
    <row r="1089" spans="1:17" x14ac:dyDescent="0.25">
      <c r="A1089" s="51" t="s">
        <v>130</v>
      </c>
      <c r="B1089" s="2">
        <v>45535</v>
      </c>
      <c r="C1089" s="51" t="s">
        <v>9</v>
      </c>
      <c r="D1089" s="51" t="s">
        <v>9</v>
      </c>
      <c r="E1089" s="51" t="s">
        <v>36</v>
      </c>
      <c r="F1089">
        <v>87</v>
      </c>
      <c r="G1089" s="12" t="s">
        <v>54</v>
      </c>
      <c r="H1089" s="9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Log'!$E$2:$V$70,
    MATCH(1,
      ('Golf Log'!$A$2:$A$70=$A1089)*
      ('Golf Log'!$B$2:$B$70=$B1089)*
      ('Golf Log'!$C$2:$C$70=$C1089),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Log'!$E$2:$V$70,
    MATCH(1,
      ('Putt Log'!$A$2:$A$70=$A1089)*
      ('Putt Log'!$B$2:$B$70=$B1089)*
      ('Putt Log'!$C$2:$C$70=$C1089),
    0),
    MATCH($G1089,'Putt Log'!$E$1:$V$1,0)
  ),
"")</f>
        <v>2</v>
      </c>
      <c r="P1089" t="str" cm="1">
        <f t="array" ref="P1089">IF(K1089=3,"",
  IFERROR(
    INDEX('Fairway Log'!$E$2:$V$70,
      MATCH(1,
        ('Fairway Log'!$A$2:$A$70=$A1089)*
        ('Fairway Log'!$B$2:$B$70=$B1089)*
        ('Fairway Log'!$C$2:$C1160=$C1089),
      0),
      MATCH($G1089,'Fairway Log'!$E$1:$V$1,0)
    ),
  "")
)</f>
        <v>←</v>
      </c>
      <c r="Q1089" t="str" cm="1">
        <f t="array" ref="Q1089">IFERROR(
  INDEX('GIR Log'!$E$2:$V$70,
    MATCH(1,
      ('GIR Log'!$A$2:$A$70=$A1089)*
      ('GIR Log'!$B$2:$B$70=$B1089)*
      ('GIR Log'!$C$2:$C$70=$C1089),
    0),
    MATCH($G1089,'GIR Log'!$E$1:$V$1,0)
  ),
"")</f>
        <v>↓</v>
      </c>
    </row>
    <row r="1090" spans="1:17" x14ac:dyDescent="0.25">
      <c r="A1090" s="51" t="s">
        <v>130</v>
      </c>
      <c r="B1090" s="2">
        <v>45535</v>
      </c>
      <c r="C1090" s="51" t="s">
        <v>9</v>
      </c>
      <c r="D1090" s="51" t="s">
        <v>9</v>
      </c>
      <c r="E1090" s="51" t="s">
        <v>36</v>
      </c>
      <c r="F1090">
        <v>87</v>
      </c>
      <c r="G1090" s="12" t="s">
        <v>55</v>
      </c>
      <c r="H1090" s="9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Log'!$E$2:$V$70,
    MATCH(1,
      ('Golf Log'!$A$2:$A$70=$A1090)*
      ('Golf Log'!$B$2:$B$70=$B1090)*
      ('Golf Log'!$C$2:$C$70=$C1090),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Log'!$E$2:$V$70,
    MATCH(1,
      ('Putt Log'!$A$2:$A$70=$A1090)*
      ('Putt Log'!$B$2:$B$70=$B1090)*
      ('Putt Log'!$C$2:$C$70=$C1090),
    0),
    MATCH($G1090,'Putt Log'!$E$1:$V$1,0)
  ),
"")</f>
        <v>2</v>
      </c>
      <c r="P1090" t="str" cm="1">
        <f t="array" ref="P1090">IF(K1090=3,"",
  IFERROR(
    INDEX('Fairway Log'!$E$2:$V$70,
      MATCH(1,
        ('Fairway Log'!$A$2:$A$70=$A1090)*
        ('Fairway Log'!$B$2:$B$70=$B1090)*
        ('Fairway Log'!$C$2:$C1161=$C1090),
      0),
      MATCH($G1090,'Fairway Log'!$E$1:$V$1,0)
    ),
  "")
)</f>
        <v>←</v>
      </c>
      <c r="Q1090" t="str" cm="1">
        <f t="array" ref="Q1090">IFERROR(
  INDEX('GIR Log'!$E$2:$V$70,
    MATCH(1,
      ('GIR Log'!$A$2:$A$70=$A1090)*
      ('GIR Log'!$B$2:$B$70=$B1090)*
      ('GIR Log'!$C$2:$C$70=$C1090),
    0),
    MATCH($G1090,'GIR Log'!$E$1:$V$1,0)
  ),
"")</f>
        <v>↑</v>
      </c>
    </row>
    <row r="1091" spans="1:17" x14ac:dyDescent="0.25">
      <c r="A1091" s="51" t="s">
        <v>130</v>
      </c>
      <c r="B1091" s="2">
        <v>45535</v>
      </c>
      <c r="C1091" s="51" t="s">
        <v>9</v>
      </c>
      <c r="D1091" s="51" t="s">
        <v>9</v>
      </c>
      <c r="E1091" s="51" t="s">
        <v>36</v>
      </c>
      <c r="F1091">
        <v>87</v>
      </c>
      <c r="G1091" s="12" t="s">
        <v>56</v>
      </c>
      <c r="H1091" s="9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Log'!$E$2:$V$70,
    MATCH(1,
      ('Golf Log'!$A$2:$A$70=$A1091)*
      ('Golf Log'!$B$2:$B$70=$B1091)*
      ('Golf Log'!$C$2:$C$70=$C1091),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Log'!$E$2:$V$70,
    MATCH(1,
      ('Putt Log'!$A$2:$A$70=$A1091)*
      ('Putt Log'!$B$2:$B$70=$B1091)*
      ('Putt Log'!$C$2:$C$70=$C1091),
    0),
    MATCH($G1091,'Putt Log'!$E$1:$V$1,0)
  ),
"")</f>
        <v>2</v>
      </c>
      <c r="P1091" t="str" cm="1">
        <f t="array" ref="P1091">IF(K1091=3,"",
  IFERROR(
    INDEX('Fairway Log'!$E$2:$V$70,
      MATCH(1,
        ('Fairway Log'!$A$2:$A$70=$A1091)*
        ('Fairway Log'!$B$2:$B$70=$B1091)*
        ('Fairway Log'!$C$2:$C1162=$C1091),
      0),
      MATCH($G1091,'Fairway Log'!$E$1:$V$1,0)
    ),
  "")
)</f>
        <v>↓</v>
      </c>
      <c r="Q1091" t="str" cm="1">
        <f t="array" ref="Q1091">IFERROR(
  INDEX('GIR Log'!$E$2:$V$70,
    MATCH(1,
      ('GIR Log'!$A$2:$A$70=$A1091)*
      ('GIR Log'!$B$2:$B$70=$B1091)*
      ('GIR Log'!$C$2:$C$70=$C1091),
    0),
    MATCH($G1091,'GIR Log'!$E$1:$V$1,0)
  ),
"")</f>
        <v>↑</v>
      </c>
    </row>
    <row r="1092" spans="1:17" x14ac:dyDescent="0.25">
      <c r="A1092" s="51" t="s">
        <v>130</v>
      </c>
      <c r="B1092" s="2">
        <v>45535</v>
      </c>
      <c r="C1092" s="51" t="s">
        <v>9</v>
      </c>
      <c r="D1092" s="51" t="s">
        <v>9</v>
      </c>
      <c r="E1092" s="51" t="s">
        <v>36</v>
      </c>
      <c r="F1092">
        <v>87</v>
      </c>
      <c r="G1092" s="12" t="s">
        <v>57</v>
      </c>
      <c r="H1092" s="9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Log'!$E$2:$V$70,
    MATCH(1,
      ('Golf Log'!$A$2:$A$70=$A1092)*
      ('Golf Log'!$B$2:$B$70=$B1092)*
      ('Golf Log'!$C$2:$C$70=$C1092),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Log'!$E$2:$V$70,
    MATCH(1,
      ('Putt Log'!$A$2:$A$70=$A1092)*
      ('Putt Log'!$B$2:$B$70=$B1092)*
      ('Putt Log'!$C$2:$C$70=$C1092),
    0),
    MATCH($G1092,'Putt Log'!$E$1:$V$1,0)
  ),
"")</f>
        <v>2</v>
      </c>
      <c r="P1092" t="str" cm="1">
        <f t="array" ref="P1092">IF(K1092=3,"",
  IFERROR(
    INDEX('Fairway Log'!$E$2:$V$70,
      MATCH(1,
        ('Fairway Log'!$A$2:$A$70=$A1092)*
        ('Fairway Log'!$B$2:$B$70=$B1092)*
        ('Fairway Log'!$C$2:$C1163=$C1092),
      0),
      MATCH($G1092,'Fairway Log'!$E$1:$V$1,0)
    ),
  "")
)</f>
        <v/>
      </c>
      <c r="Q1092" cm="1">
        <f t="array" ref="Q1092">IFERROR(
  INDEX('GIR Log'!$E$2:$V$70,
    MATCH(1,
      ('GIR Log'!$A$2:$A$70=$A1092)*
      ('GIR Log'!$B$2:$B$70=$B1092)*
      ('GIR Log'!$C$2:$C$70=$C1092),
    0),
    MATCH($G1092,'GIR Log'!$E$1:$V$1,0)
  ),
"")</f>
        <v>1</v>
      </c>
    </row>
    <row r="1093" spans="1:17" x14ac:dyDescent="0.25">
      <c r="A1093" s="51" t="s">
        <v>130</v>
      </c>
      <c r="B1093" s="2">
        <v>45535</v>
      </c>
      <c r="C1093" s="51" t="s">
        <v>9</v>
      </c>
      <c r="D1093" s="51" t="s">
        <v>9</v>
      </c>
      <c r="E1093" s="51" t="s">
        <v>36</v>
      </c>
      <c r="F1093">
        <v>87</v>
      </c>
      <c r="G1093" s="12" t="s">
        <v>58</v>
      </c>
      <c r="H1093" s="9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Log'!$E$2:$V$70,
    MATCH(1,
      ('Golf Log'!$A$2:$A$70=$A1093)*
      ('Golf Log'!$B$2:$B$70=$B1093)*
      ('Golf Log'!$C$2:$C$70=$C1093),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Log'!$E$2:$V$70,
    MATCH(1,
      ('Putt Log'!$A$2:$A$70=$A1093)*
      ('Putt Log'!$B$2:$B$70=$B1093)*
      ('Putt Log'!$C$2:$C$70=$C1093),
    0),
    MATCH($G1093,'Putt Log'!$E$1:$V$1,0)
  ),
"")</f>
        <v>2</v>
      </c>
      <c r="P1093" t="str" cm="1">
        <f t="array" ref="P1093">IF(K1093=3,"",
  IFERROR(
    INDEX('Fairway Log'!$E$2:$V$70,
      MATCH(1,
        ('Fairway Log'!$A$2:$A$70=$A1093)*
        ('Fairway Log'!$B$2:$B$70=$B1093)*
        ('Fairway Log'!$C$2:$C1164=$C1093),
      0),
      MATCH($G1093,'Fairway Log'!$E$1:$V$1,0)
    ),
  "")
)</f>
        <v>←</v>
      </c>
      <c r="Q1093" t="str" cm="1">
        <f t="array" ref="Q1093">IFERROR(
  INDEX('GIR Log'!$E$2:$V$70,
    MATCH(1,
      ('GIR Log'!$A$2:$A$70=$A1093)*
      ('GIR Log'!$B$2:$B$70=$B1093)*
      ('GIR Log'!$C$2:$C$70=$C1093),
    0),
    MATCH($G1093,'GIR Log'!$E$1:$V$1,0)
  ),
"")</f>
        <v>↑</v>
      </c>
    </row>
    <row r="1094" spans="1:17" x14ac:dyDescent="0.25">
      <c r="A1094" s="51" t="s">
        <v>130</v>
      </c>
      <c r="B1094" s="2">
        <v>45535</v>
      </c>
      <c r="C1094" s="51" t="s">
        <v>9</v>
      </c>
      <c r="D1094" s="51" t="s">
        <v>9</v>
      </c>
      <c r="E1094" s="51" t="s">
        <v>36</v>
      </c>
      <c r="F1094">
        <v>87</v>
      </c>
      <c r="G1094" s="12" t="s">
        <v>59</v>
      </c>
      <c r="H1094" s="9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Log'!$E$2:$V$70,
    MATCH(1,
      ('Golf Log'!$A$2:$A$70=$A1094)*
      ('Golf Log'!$B$2:$B$70=$B1094)*
      ('Golf Log'!$C$2:$C$70=$C1094),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Log'!$E$2:$V$70,
    MATCH(1,
      ('Putt Log'!$A$2:$A$70=$A1094)*
      ('Putt Log'!$B$2:$B$70=$B1094)*
      ('Putt Log'!$C$2:$C$70=$C1094),
    0),
    MATCH($G1094,'Putt Log'!$E$1:$V$1,0)
  ),
"")</f>
        <v>2</v>
      </c>
      <c r="P1094" t="str" cm="1">
        <f t="array" ref="P1094">IF(K1094=3,"",
  IFERROR(
    INDEX('Fairway Log'!$E$2:$V$70,
      MATCH(1,
        ('Fairway Log'!$A$2:$A$70=$A1094)*
        ('Fairway Log'!$B$2:$B$70=$B1094)*
        ('Fairway Log'!$C$2:$C1165=$C1094),
      0),
      MATCH($G1094,'Fairway Log'!$E$1:$V$1,0)
    ),
  "")
)</f>
        <v>←</v>
      </c>
      <c r="Q1094" t="str" cm="1">
        <f t="array" ref="Q1094">IFERROR(
  INDEX('GIR Log'!$E$2:$V$70,
    MATCH(1,
      ('GIR Log'!$A$2:$A$70=$A1094)*
      ('GIR Log'!$B$2:$B$70=$B1094)*
      ('GIR Log'!$C$2:$C$70=$C1094),
    0),
    MATCH($G1094,'GIR Log'!$E$1:$V$1,0)
  ),
"")</f>
        <v>→</v>
      </c>
    </row>
    <row r="1095" spans="1:17" x14ac:dyDescent="0.25">
      <c r="A1095" s="51" t="s">
        <v>130</v>
      </c>
      <c r="B1095" s="2">
        <v>45535</v>
      </c>
      <c r="C1095" s="51" t="s">
        <v>9</v>
      </c>
      <c r="D1095" s="51" t="s">
        <v>9</v>
      </c>
      <c r="E1095" s="51" t="s">
        <v>36</v>
      </c>
      <c r="F1095">
        <v>87</v>
      </c>
      <c r="G1095" s="12" t="s">
        <v>60</v>
      </c>
      <c r="H1095" s="9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Log'!$E$2:$V$70,
    MATCH(1,
      ('Golf Log'!$A$2:$A$70=$A1095)*
      ('Golf Log'!$B$2:$B$70=$B1095)*
      ('Golf Log'!$C$2:$C$70=$C1095),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Log'!$E$2:$V$70,
    MATCH(1,
      ('Putt Log'!$A$2:$A$70=$A1095)*
      ('Putt Log'!$B$2:$B$70=$B1095)*
      ('Putt Log'!$C$2:$C$70=$C1095),
    0),
    MATCH($G1095,'Putt Log'!$E$1:$V$1,0)
  ),
"")</f>
        <v>2</v>
      </c>
      <c r="P1095" t="str" cm="1">
        <f t="array" ref="P1095">IF(K1095=3,"",
  IFERROR(
    INDEX('Fairway Log'!$E$2:$V$70,
      MATCH(1,
        ('Fairway Log'!$A$2:$A$70=$A1095)*
        ('Fairway Log'!$B$2:$B$70=$B1095)*
        ('Fairway Log'!$C$2:$C1166=$C1095),
      0),
      MATCH($G1095,'Fairway Log'!$E$1:$V$1,0)
    ),
  "")
)</f>
        <v/>
      </c>
      <c r="Q1095" t="str" cm="1">
        <f t="array" ref="Q1095">IFERROR(
  INDEX('GIR Log'!$E$2:$V$70,
    MATCH(1,
      ('GIR Log'!$A$2:$A$70=$A1095)*
      ('GIR Log'!$B$2:$B$70=$B1095)*
      ('GIR Log'!$C$2:$C$70=$C1095),
    0),
    MATCH($G1095,'GIR Log'!$E$1:$V$1,0)
  ),
"")</f>
        <v>←</v>
      </c>
    </row>
    <row r="1096" spans="1:17" x14ac:dyDescent="0.25">
      <c r="A1096" s="51" t="s">
        <v>130</v>
      </c>
      <c r="B1096" s="2">
        <v>45535</v>
      </c>
      <c r="C1096" s="51" t="s">
        <v>9</v>
      </c>
      <c r="D1096" s="51" t="s">
        <v>9</v>
      </c>
      <c r="E1096" s="51" t="s">
        <v>36</v>
      </c>
      <c r="F1096">
        <v>87</v>
      </c>
      <c r="G1096" s="12" t="s">
        <v>61</v>
      </c>
      <c r="H1096" s="9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Log'!$E$2:$V$70,
    MATCH(1,
      ('Golf Log'!$A$2:$A$70=$A1096)*
      ('Golf Log'!$B$2:$B$70=$B1096)*
      ('Golf Log'!$C$2:$C$70=$C1096),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Log'!$E$2:$V$70,
    MATCH(1,
      ('Putt Log'!$A$2:$A$70=$A1096)*
      ('Putt Log'!$B$2:$B$70=$B1096)*
      ('Putt Log'!$C$2:$C$70=$C1096),
    0),
    MATCH($G1096,'Putt Log'!$E$1:$V$1,0)
  ),
"")</f>
        <v>2</v>
      </c>
      <c r="P1096" t="str" cm="1">
        <f t="array" ref="P1096">IF(K1096=3,"",
  IFERROR(
    INDEX('Fairway Log'!$E$2:$V$70,
      MATCH(1,
        ('Fairway Log'!$A$2:$A$70=$A1096)*
        ('Fairway Log'!$B$2:$B$70=$B1096)*
        ('Fairway Log'!$C$2:$C1167=$C1096),
      0),
      MATCH($G1096,'Fairway Log'!$E$1:$V$1,0)
    ),
  "")
)</f>
        <v>←</v>
      </c>
      <c r="Q1096" t="str" cm="1">
        <f t="array" ref="Q1096">IFERROR(
  INDEX('GIR Log'!$E$2:$V$70,
    MATCH(1,
      ('GIR Log'!$A$2:$A$70=$A1096)*
      ('GIR Log'!$B$2:$B$70=$B1096)*
      ('GIR Log'!$C$2:$C$70=$C1096),
    0),
    MATCH($G1096,'GIR Log'!$E$1:$V$1,0)
  ),
"")</f>
        <v>↓</v>
      </c>
    </row>
    <row r="1097" spans="1:17" x14ac:dyDescent="0.25">
      <c r="A1097" s="51" t="s">
        <v>130</v>
      </c>
      <c r="B1097" s="2">
        <v>45535</v>
      </c>
      <c r="C1097" s="51" t="s">
        <v>9</v>
      </c>
      <c r="D1097" s="51" t="s">
        <v>9</v>
      </c>
      <c r="E1097" s="51" t="s">
        <v>36</v>
      </c>
      <c r="F1097">
        <v>87</v>
      </c>
      <c r="G1097" s="12" t="s">
        <v>62</v>
      </c>
      <c r="H1097" s="9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Log'!$E$2:$V$70,
    MATCH(1,
      ('Golf Log'!$A$2:$A$70=$A1097)*
      ('Golf Log'!$B$2:$B$70=$B1097)*
      ('Golf Log'!$C$2:$C$70=$C1097),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Log'!$E$2:$V$70,
    MATCH(1,
      ('Putt Log'!$A$2:$A$70=$A1097)*
      ('Putt Log'!$B$2:$B$70=$B1097)*
      ('Putt Log'!$C$2:$C$70=$C1097),
    0),
    MATCH($G1097,'Putt Log'!$E$1:$V$1,0)
  ),
"")</f>
        <v>2</v>
      </c>
      <c r="P1097" t="str" cm="1">
        <f t="array" ref="P1097">IF(K1097=3,"",
  IFERROR(
    INDEX('Fairway Log'!$E$2:$V$70,
      MATCH(1,
        ('Fairway Log'!$A$2:$A$70=$A1097)*
        ('Fairway Log'!$B$2:$B$70=$B1097)*
        ('Fairway Log'!$C$2:$C1168=$C1097),
      0),
      MATCH($G1097,'Fairway Log'!$E$1:$V$1,0)
    ),
  "")
)</f>
        <v>←</v>
      </c>
      <c r="Q1097" t="str" cm="1">
        <f t="array" ref="Q1097">IFERROR(
  INDEX('GIR Log'!$E$2:$V$70,
    MATCH(1,
      ('GIR Log'!$A$2:$A$70=$A1097)*
      ('GIR Log'!$B$2:$B$70=$B1097)*
      ('GIR Log'!$C$2:$C$70=$C1097),
    0),
    MATCH($G1097,'GIR Log'!$E$1:$V$1,0)
  ),
"")</f>
        <v>←</v>
      </c>
    </row>
    <row r="1098" spans="1:17" x14ac:dyDescent="0.25">
      <c r="A1098" s="51" t="s">
        <v>130</v>
      </c>
      <c r="B1098" s="2">
        <v>45535</v>
      </c>
      <c r="C1098" s="51" t="s">
        <v>9</v>
      </c>
      <c r="D1098" s="51" t="s">
        <v>9</v>
      </c>
      <c r="E1098" s="51" t="s">
        <v>36</v>
      </c>
      <c r="F1098">
        <v>87</v>
      </c>
      <c r="G1098" s="12" t="s">
        <v>63</v>
      </c>
      <c r="H1098" s="9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Log'!$E$2:$V$70,
    MATCH(1,
      ('Golf Log'!$A$2:$A$70=$A1098)*
      ('Golf Log'!$B$2:$B$70=$B1098)*
      ('Golf Log'!$C$2:$C$70=$C1098),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Log'!$E$2:$V$70,
    MATCH(1,
      ('Putt Log'!$A$2:$A$70=$A1098)*
      ('Putt Log'!$B$2:$B$70=$B1098)*
      ('Putt Log'!$C$2:$C$70=$C1098),
    0),
    MATCH($G1098,'Putt Log'!$E$1:$V$1,0)
  ),
"")</f>
        <v>2</v>
      </c>
      <c r="P1098" cm="1">
        <f t="array" ref="P1098">IF(K1098=3,"",
  IFERROR(
    INDEX('Fairway Log'!$E$2:$V$70,
      MATCH(1,
        ('Fairway Log'!$A$2:$A$70=$A1098)*
        ('Fairway Log'!$B$2:$B$70=$B1098)*
        ('Fairway Log'!$C$2:$C1169=$C1098),
      0),
      MATCH($G1098,'Fairway Log'!$E$1:$V$1,0)
    ),
  "")
)</f>
        <v>1</v>
      </c>
      <c r="Q1098" cm="1">
        <f t="array" ref="Q1098">IFERROR(
  INDEX('GIR Log'!$E$2:$V$70,
    MATCH(1,
      ('GIR Log'!$A$2:$A$70=$A1098)*
      ('GIR Log'!$B$2:$B$70=$B1098)*
      ('GIR Log'!$C$2:$C$70=$C1098),
    0),
    MATCH($G1098,'GIR Log'!$E$1:$V$1,0)
  ),
"")</f>
        <v>1</v>
      </c>
    </row>
    <row r="1099" spans="1:17" x14ac:dyDescent="0.25">
      <c r="A1099" s="51" t="s">
        <v>130</v>
      </c>
      <c r="B1099" s="2">
        <v>45535</v>
      </c>
      <c r="C1099" s="51" t="s">
        <v>9</v>
      </c>
      <c r="D1099" s="51" t="s">
        <v>9</v>
      </c>
      <c r="E1099" s="51" t="s">
        <v>36</v>
      </c>
      <c r="F1099">
        <v>87</v>
      </c>
      <c r="G1099" s="12" t="s">
        <v>64</v>
      </c>
      <c r="H1099" s="9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Log'!$E$2:$V$70,
    MATCH(1,
      ('Golf Log'!$A$2:$A$70=$A1099)*
      ('Golf Log'!$B$2:$B$70=$B1099)*
      ('Golf Log'!$C$2:$C$70=$C1099),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Log'!$E$2:$V$70,
    MATCH(1,
      ('Putt Log'!$A$2:$A$70=$A1099)*
      ('Putt Log'!$B$2:$B$70=$B1099)*
      ('Putt Log'!$C$2:$C$70=$C1099),
    0),
    MATCH($G1099,'Putt Log'!$E$1:$V$1,0)
  ),
"")</f>
        <v>2</v>
      </c>
      <c r="P1099" t="str" cm="1">
        <f t="array" ref="P1099">IF(K1099=3,"",
  IFERROR(
    INDEX('Fairway Log'!$E$2:$V$70,
      MATCH(1,
        ('Fairway Log'!$A$2:$A$70=$A1099)*
        ('Fairway Log'!$B$2:$B$70=$B1099)*
        ('Fairway Log'!$C$2:$C1170=$C1099),
      0),
      MATCH($G1099,'Fairway Log'!$E$1:$V$1,0)
    ),
  "")
)</f>
        <v>←</v>
      </c>
      <c r="Q1099" t="str" cm="1">
        <f t="array" ref="Q1099">IFERROR(
  INDEX('GIR Log'!$E$2:$V$70,
    MATCH(1,
      ('GIR Log'!$A$2:$A$70=$A1099)*
      ('GIR Log'!$B$2:$B$70=$B1099)*
      ('GIR Log'!$C$2:$C$70=$C1099),
    0),
    MATCH($G1099,'GIR Log'!$E$1:$V$1,0)
  ),
"")</f>
        <v>←</v>
      </c>
    </row>
    <row r="1100" spans="1:17" x14ac:dyDescent="0.25">
      <c r="A1100" s="51" t="s">
        <v>130</v>
      </c>
      <c r="B1100" s="2">
        <v>45487</v>
      </c>
      <c r="C1100" s="51" t="s">
        <v>3</v>
      </c>
      <c r="D1100" s="51" t="s">
        <v>3</v>
      </c>
      <c r="E1100" s="51" t="s">
        <v>34</v>
      </c>
      <c r="F1100">
        <v>89</v>
      </c>
      <c r="G1100" t="s">
        <v>47</v>
      </c>
      <c r="H1100" s="9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Log'!$E$2:$V$70,
    MATCH(1,
      ('Golf Log'!$A$2:$A$70=$A1100)*
      ('Golf Log'!$B$2:$B$70=$B1100)*
      ('Golf Log'!$C$2:$C$70=$C1100),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Log'!$E$2:$V$70,
    MATCH(1,
      ('Putt Log'!$A$2:$A$70=$A1100)*
      ('Putt Log'!$B$2:$B$70=$B1100)*
      ('Putt Log'!$C$2:$C$70=$C1100),
    0),
    MATCH($G1100,'Putt Log'!$E$1:$V$1,0)
  ),
"")</f>
        <v>2</v>
      </c>
      <c r="P1100" t="str" cm="1">
        <f t="array" ref="P1100">IF(K1100=3,"",
  IFERROR(
    INDEX('Fairway Log'!$E$2:$V$70,
      MATCH(1,
        ('Fairway Log'!$A$2:$A$70=$A1100)*
        ('Fairway Log'!$B$2:$B$70=$B1100)*
        ('Fairway Log'!$C$2:$C1171=$C1100),
      0),
      MATCH($G1100,'Fairway Log'!$E$1:$V$1,0)
    ),
  "")
)</f>
        <v>←</v>
      </c>
      <c r="Q1100" t="str" cm="1">
        <f t="array" ref="Q1100">IFERROR(
  INDEX('GIR Log'!$E$2:$V$70,
    MATCH(1,
      ('GIR Log'!$A$2:$A$70=$A1100)*
      ('GIR Log'!$B$2:$B$70=$B1100)*
      ('GIR Log'!$C$2:$C$70=$C1100),
    0),
    MATCH($G1100,'GIR Log'!$E$1:$V$1,0)
  ),
"")</f>
        <v>NC</v>
      </c>
    </row>
    <row r="1101" spans="1:17" x14ac:dyDescent="0.25">
      <c r="A1101" s="51" t="s">
        <v>130</v>
      </c>
      <c r="B1101" s="2">
        <v>45487</v>
      </c>
      <c r="C1101" s="51" t="s">
        <v>3</v>
      </c>
      <c r="D1101" s="51" t="s">
        <v>3</v>
      </c>
      <c r="E1101" s="51" t="s">
        <v>34</v>
      </c>
      <c r="F1101">
        <v>89</v>
      </c>
      <c r="G1101" t="s">
        <v>48</v>
      </c>
      <c r="H1101" s="9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Log'!$E$2:$V$70,
    MATCH(1,
      ('Golf Log'!$A$2:$A$70=$A1101)*
      ('Golf Log'!$B$2:$B$70=$B1101)*
      ('Golf Log'!$C$2:$C$70=$C1101),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Log'!$E$2:$V$70,
    MATCH(1,
      ('Putt Log'!$A$2:$A$70=$A1101)*
      ('Putt Log'!$B$2:$B$70=$B1101)*
      ('Putt Log'!$C$2:$C$70=$C1101),
    0),
    MATCH($G1101,'Putt Log'!$E$1:$V$1,0)
  ),
"")</f>
        <v>2</v>
      </c>
      <c r="P1101" t="str" cm="1">
        <f t="array" ref="P1101">IF(K1101=3,"",
  IFERROR(
    INDEX('Fairway Log'!$E$2:$V$70,
      MATCH(1,
        ('Fairway Log'!$A$2:$A$70=$A1101)*
        ('Fairway Log'!$B$2:$B$70=$B1101)*
        ('Fairway Log'!$C$2:$C1172=$C1101),
      0),
      MATCH($G1101,'Fairway Log'!$E$1:$V$1,0)
    ),
  "")
)</f>
        <v>↓</v>
      </c>
      <c r="Q1101" t="str" cm="1">
        <f t="array" ref="Q1101">IFERROR(
  INDEX('GIR Log'!$E$2:$V$70,
    MATCH(1,
      ('GIR Log'!$A$2:$A$70=$A1101)*
      ('GIR Log'!$B$2:$B$70=$B1101)*
      ('GIR Log'!$C$2:$C$70=$C1101),
    0),
    MATCH($G1101,'GIR Log'!$E$1:$V$1,0)
  ),
"")</f>
        <v>NC</v>
      </c>
    </row>
    <row r="1102" spans="1:17" x14ac:dyDescent="0.25">
      <c r="A1102" s="51" t="s">
        <v>130</v>
      </c>
      <c r="B1102" s="2">
        <v>45487</v>
      </c>
      <c r="C1102" s="51" t="s">
        <v>3</v>
      </c>
      <c r="D1102" s="51" t="s">
        <v>3</v>
      </c>
      <c r="E1102" s="51" t="s">
        <v>34</v>
      </c>
      <c r="F1102">
        <v>89</v>
      </c>
      <c r="G1102" t="s">
        <v>49</v>
      </c>
      <c r="H1102" s="9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Log'!$E$2:$V$70,
    MATCH(1,
      ('Golf Log'!$A$2:$A$70=$A1102)*
      ('Golf Log'!$B$2:$B$70=$B1102)*
      ('Golf Log'!$C$2:$C$70=$C1102),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Log'!$E$2:$V$70,
    MATCH(1,
      ('Putt Log'!$A$2:$A$70=$A1102)*
      ('Putt Log'!$B$2:$B$70=$B1102)*
      ('Putt Log'!$C$2:$C$70=$C1102),
    0),
    MATCH($G1102,'Putt Log'!$E$1:$V$1,0)
  ),
"")</f>
        <v>2</v>
      </c>
      <c r="P1102" t="str" cm="1">
        <f t="array" ref="P1102">IF(K1102=3,"",
  IFERROR(
    INDEX('Fairway Log'!$E$2:$V$70,
      MATCH(1,
        ('Fairway Log'!$A$2:$A$70=$A1102)*
        ('Fairway Log'!$B$2:$B$70=$B1102)*
        ('Fairway Log'!$C$2:$C1173=$C1102),
      0),
      MATCH($G1102,'Fairway Log'!$E$1:$V$1,0)
    ),
  "")
)</f>
        <v/>
      </c>
      <c r="Q1102" cm="1">
        <f t="array" ref="Q1102">IFERROR(
  INDEX('GIR Log'!$E$2:$V$70,
    MATCH(1,
      ('GIR Log'!$A$2:$A$70=$A1102)*
      ('GIR Log'!$B$2:$B$70=$B1102)*
      ('GIR Log'!$C$2:$C$70=$C1102),
    0),
    MATCH($G1102,'GIR Log'!$E$1:$V$1,0)
  ),
"")</f>
        <v>1</v>
      </c>
    </row>
    <row r="1103" spans="1:17" x14ac:dyDescent="0.25">
      <c r="A1103" s="51" t="s">
        <v>130</v>
      </c>
      <c r="B1103" s="2">
        <v>45487</v>
      </c>
      <c r="C1103" s="51" t="s">
        <v>3</v>
      </c>
      <c r="D1103" s="51" t="s">
        <v>3</v>
      </c>
      <c r="E1103" s="51" t="s">
        <v>34</v>
      </c>
      <c r="F1103">
        <v>89</v>
      </c>
      <c r="G1103" t="s">
        <v>50</v>
      </c>
      <c r="H1103" s="9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Log'!$E$2:$V$70,
    MATCH(1,
      ('Golf Log'!$A$2:$A$70=$A1103)*
      ('Golf Log'!$B$2:$B$70=$B1103)*
      ('Golf Log'!$C$2:$C$70=$C1103),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Log'!$E$2:$V$70,
    MATCH(1,
      ('Putt Log'!$A$2:$A$70=$A1103)*
      ('Putt Log'!$B$2:$B$70=$B1103)*
      ('Putt Log'!$C$2:$C$70=$C1103),
    0),
    MATCH($G1103,'Putt Log'!$E$1:$V$1,0)
  ),
"")</f>
        <v>1</v>
      </c>
      <c r="P1103" t="str" cm="1">
        <f t="array" ref="P1103">IF(K1103=3,"",
  IFERROR(
    INDEX('Fairway Log'!$E$2:$V$70,
      MATCH(1,
        ('Fairway Log'!$A$2:$A$70=$A1103)*
        ('Fairway Log'!$B$2:$B$70=$B1103)*
        ('Fairway Log'!$C$2:$C1174=$C1103),
      0),
      MATCH($G1103,'Fairway Log'!$E$1:$V$1,0)
    ),
  "")
)</f>
        <v>←</v>
      </c>
      <c r="Q1103" t="str" cm="1">
        <f t="array" ref="Q1103">IFERROR(
  INDEX('GIR Log'!$E$2:$V$70,
    MATCH(1,
      ('GIR Log'!$A$2:$A$70=$A1103)*
      ('GIR Log'!$B$2:$B$70=$B1103)*
      ('GIR Log'!$C$2:$C$70=$C1103),
    0),
    MATCH($G1103,'GIR Log'!$E$1:$V$1,0)
  ),
"")</f>
        <v>↓</v>
      </c>
    </row>
    <row r="1104" spans="1:17" x14ac:dyDescent="0.25">
      <c r="A1104" s="51" t="s">
        <v>130</v>
      </c>
      <c r="B1104" s="2">
        <v>45487</v>
      </c>
      <c r="C1104" s="51" t="s">
        <v>3</v>
      </c>
      <c r="D1104" s="51" t="s">
        <v>3</v>
      </c>
      <c r="E1104" s="51" t="s">
        <v>34</v>
      </c>
      <c r="F1104">
        <v>89</v>
      </c>
      <c r="G1104" t="s">
        <v>51</v>
      </c>
      <c r="H1104" s="9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Log'!$E$2:$V$70,
    MATCH(1,
      ('Golf Log'!$A$2:$A$70=$A1104)*
      ('Golf Log'!$B$2:$B$70=$B1104)*
      ('Golf Log'!$C$2:$C$70=$C1104),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Log'!$E$2:$V$70,
    MATCH(1,
      ('Putt Log'!$A$2:$A$70=$A1104)*
      ('Putt Log'!$B$2:$B$70=$B1104)*
      ('Putt Log'!$C$2:$C$70=$C1104),
    0),
    MATCH($G1104,'Putt Log'!$E$1:$V$1,0)
  ),
"")</f>
        <v>2</v>
      </c>
      <c r="P1104" t="str" cm="1">
        <f t="array" ref="P1104">IF(K1104=3,"",
  IFERROR(
    INDEX('Fairway Log'!$E$2:$V$70,
      MATCH(1,
        ('Fairway Log'!$A$2:$A$70=$A1104)*
        ('Fairway Log'!$B$2:$B$70=$B1104)*
        ('Fairway Log'!$C$2:$C1175=$C1104),
      0),
      MATCH($G1104,'Fairway Log'!$E$1:$V$1,0)
    ),
  "")
)</f>
        <v>↓</v>
      </c>
      <c r="Q1104" t="str" cm="1">
        <f t="array" ref="Q1104">IFERROR(
  INDEX('GIR Log'!$E$2:$V$70,
    MATCH(1,
      ('GIR Log'!$A$2:$A$70=$A1104)*
      ('GIR Log'!$B$2:$B$70=$B1104)*
      ('GIR Log'!$C$2:$C$70=$C1104),
    0),
    MATCH($G1104,'GIR Log'!$E$1:$V$1,0)
  ),
"")</f>
        <v>NC</v>
      </c>
    </row>
    <row r="1105" spans="1:17" x14ac:dyDescent="0.25">
      <c r="A1105" s="51" t="s">
        <v>130</v>
      </c>
      <c r="B1105" s="2">
        <v>45487</v>
      </c>
      <c r="C1105" s="51" t="s">
        <v>3</v>
      </c>
      <c r="D1105" s="51" t="s">
        <v>3</v>
      </c>
      <c r="E1105" s="51" t="s">
        <v>34</v>
      </c>
      <c r="F1105">
        <v>89</v>
      </c>
      <c r="G1105" t="s">
        <v>52</v>
      </c>
      <c r="H1105" s="9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Log'!$E$2:$V$70,
    MATCH(1,
      ('Golf Log'!$A$2:$A$70=$A1105)*
      ('Golf Log'!$B$2:$B$70=$B1105)*
      ('Golf Log'!$C$2:$C$70=$C1105),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Log'!$E$2:$V$70,
    MATCH(1,
      ('Putt Log'!$A$2:$A$70=$A1105)*
      ('Putt Log'!$B$2:$B$70=$B1105)*
      ('Putt Log'!$C$2:$C$70=$C1105),
    0),
    MATCH($G1105,'Putt Log'!$E$1:$V$1,0)
  ),
"")</f>
        <v>2</v>
      </c>
      <c r="P1105" t="str" cm="1">
        <f t="array" ref="P1105">IF(K1105=3,"",
  IFERROR(
    INDEX('Fairway Log'!$E$2:$V$70,
      MATCH(1,
        ('Fairway Log'!$A$2:$A$70=$A1105)*
        ('Fairway Log'!$B$2:$B$70=$B1105)*
        ('Fairway Log'!$C$2:$C1176=$C1105),
      0),
      MATCH($G1105,'Fairway Log'!$E$1:$V$1,0)
    ),
  "")
)</f>
        <v/>
      </c>
      <c r="Q1105" t="str" cm="1">
        <f t="array" ref="Q1105">IFERROR(
  INDEX('GIR Log'!$E$2:$V$70,
    MATCH(1,
      ('GIR Log'!$A$2:$A$70=$A1105)*
      ('GIR Log'!$B$2:$B$70=$B1105)*
      ('GIR Log'!$C$2:$C$70=$C1105),
    0),
    MATCH($G1105,'GIR Log'!$E$1:$V$1,0)
  ),
"")</f>
        <v>←</v>
      </c>
    </row>
    <row r="1106" spans="1:17" x14ac:dyDescent="0.25">
      <c r="A1106" s="51" t="s">
        <v>130</v>
      </c>
      <c r="B1106" s="2">
        <v>45487</v>
      </c>
      <c r="C1106" s="51" t="s">
        <v>3</v>
      </c>
      <c r="D1106" s="51" t="s">
        <v>3</v>
      </c>
      <c r="E1106" s="51" t="s">
        <v>34</v>
      </c>
      <c r="F1106">
        <v>89</v>
      </c>
      <c r="G1106" t="s">
        <v>53</v>
      </c>
      <c r="H1106" s="9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Log'!$E$2:$V$70,
    MATCH(1,
      ('Golf Log'!$A$2:$A$70=$A1106)*
      ('Golf Log'!$B$2:$B$70=$B1106)*
      ('Golf Log'!$C$2:$C$70=$C1106),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Log'!$E$2:$V$70,
    MATCH(1,
      ('Putt Log'!$A$2:$A$70=$A1106)*
      ('Putt Log'!$B$2:$B$70=$B1106)*
      ('Putt Log'!$C$2:$C$70=$C1106),
    0),
    MATCH($G1106,'Putt Log'!$E$1:$V$1,0)
  ),
"")</f>
        <v>2</v>
      </c>
      <c r="P1106" t="str" cm="1">
        <f t="array" ref="P1106">IF(K1106=3,"",
  IFERROR(
    INDEX('Fairway Log'!$E$2:$V$70,
      MATCH(1,
        ('Fairway Log'!$A$2:$A$70=$A1106)*
        ('Fairway Log'!$B$2:$B$70=$B1106)*
        ('Fairway Log'!$C$2:$C1177=$C1106),
      0),
      MATCH($G1106,'Fairway Log'!$E$1:$V$1,0)
    ),
  "")
)</f>
        <v>↓</v>
      </c>
      <c r="Q1106" t="str" cm="1">
        <f t="array" ref="Q1106">IFERROR(
  INDEX('GIR Log'!$E$2:$V$70,
    MATCH(1,
      ('GIR Log'!$A$2:$A$70=$A1106)*
      ('GIR Log'!$B$2:$B$70=$B1106)*
      ('GIR Log'!$C$2:$C$70=$C1106),
    0),
    MATCH($G1106,'GIR Log'!$E$1:$V$1,0)
  ),
"")</f>
        <v>↓</v>
      </c>
    </row>
    <row r="1107" spans="1:17" x14ac:dyDescent="0.25">
      <c r="A1107" s="51" t="s">
        <v>130</v>
      </c>
      <c r="B1107" s="2">
        <v>45487</v>
      </c>
      <c r="C1107" s="51" t="s">
        <v>3</v>
      </c>
      <c r="D1107" s="51" t="s">
        <v>3</v>
      </c>
      <c r="E1107" s="51" t="s">
        <v>34</v>
      </c>
      <c r="F1107">
        <v>89</v>
      </c>
      <c r="G1107" t="s">
        <v>54</v>
      </c>
      <c r="H1107" s="9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Log'!$E$2:$V$70,
    MATCH(1,
      ('Golf Log'!$A$2:$A$70=$A1107)*
      ('Golf Log'!$B$2:$B$70=$B1107)*
      ('Golf Log'!$C$2:$C$70=$C1107),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Log'!$E$2:$V$70,
    MATCH(1,
      ('Putt Log'!$A$2:$A$70=$A1107)*
      ('Putt Log'!$B$2:$B$70=$B1107)*
      ('Putt Log'!$C$2:$C$70=$C1107),
    0),
    MATCH($G1107,'Putt Log'!$E$1:$V$1,0)
  ),
"")</f>
        <v>3</v>
      </c>
      <c r="P1107" t="str" cm="1">
        <f t="array" ref="P1107">IF(K1107=3,"",
  IFERROR(
    INDEX('Fairway Log'!$E$2:$V$70,
      MATCH(1,
        ('Fairway Log'!$A$2:$A$70=$A1107)*
        ('Fairway Log'!$B$2:$B$70=$B1107)*
        ('Fairway Log'!$C$2:$C1178=$C1107),
      0),
      MATCH($G1107,'Fairway Log'!$E$1:$V$1,0)
    ),
  "")
)</f>
        <v>←</v>
      </c>
      <c r="Q1107" cm="1">
        <f t="array" ref="Q1107">IFERROR(
  INDEX('GIR Log'!$E$2:$V$70,
    MATCH(1,
      ('GIR Log'!$A$2:$A$70=$A1107)*
      ('GIR Log'!$B$2:$B$70=$B1107)*
      ('GIR Log'!$C$2:$C$70=$C1107),
    0),
    MATCH($G1107,'GIR Log'!$E$1:$V$1,0)
  ),
"")</f>
        <v>1</v>
      </c>
    </row>
    <row r="1108" spans="1:17" x14ac:dyDescent="0.25">
      <c r="A1108" s="51" t="s">
        <v>130</v>
      </c>
      <c r="B1108" s="2">
        <v>45487</v>
      </c>
      <c r="C1108" s="51" t="s">
        <v>3</v>
      </c>
      <c r="D1108" s="51" t="s">
        <v>3</v>
      </c>
      <c r="E1108" s="51" t="s">
        <v>34</v>
      </c>
      <c r="F1108">
        <v>89</v>
      </c>
      <c r="G1108" t="s">
        <v>55</v>
      </c>
      <c r="H1108" s="9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Log'!$E$2:$V$70,
    MATCH(1,
      ('Golf Log'!$A$2:$A$70=$A1108)*
      ('Golf Log'!$B$2:$B$70=$B1108)*
      ('Golf Log'!$C$2:$C$70=$C1108),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Log'!$E$2:$V$70,
    MATCH(1,
      ('Putt Log'!$A$2:$A$70=$A1108)*
      ('Putt Log'!$B$2:$B$70=$B1108)*
      ('Putt Log'!$C$2:$C$70=$C1108),
    0),
    MATCH($G1108,'Putt Log'!$E$1:$V$1,0)
  ),
"")</f>
        <v>2</v>
      </c>
      <c r="P1108" cm="1">
        <f t="array" ref="P1108">IF(K1108=3,"",
  IFERROR(
    INDEX('Fairway Log'!$E$2:$V$70,
      MATCH(1,
        ('Fairway Log'!$A$2:$A$70=$A1108)*
        ('Fairway Log'!$B$2:$B$70=$B1108)*
        ('Fairway Log'!$C$2:$C1179=$C1108),
      0),
      MATCH($G1108,'Fairway Log'!$E$1:$V$1,0)
    ),
  "")
)</f>
        <v>1</v>
      </c>
      <c r="Q1108" t="str" cm="1">
        <f t="array" ref="Q1108">IFERROR(
  INDEX('GIR Log'!$E$2:$V$70,
    MATCH(1,
      ('GIR Log'!$A$2:$A$70=$A1108)*
      ('GIR Log'!$B$2:$B$70=$B1108)*
      ('GIR Log'!$C$2:$C$70=$C1108),
    0),
    MATCH($G1108,'GIR Log'!$E$1:$V$1,0)
  ),
"")</f>
        <v>→</v>
      </c>
    </row>
    <row r="1109" spans="1:17" x14ac:dyDescent="0.25">
      <c r="A1109" s="51" t="s">
        <v>130</v>
      </c>
      <c r="B1109" s="2">
        <v>45487</v>
      </c>
      <c r="C1109" s="51" t="s">
        <v>3</v>
      </c>
      <c r="D1109" s="51" t="s">
        <v>3</v>
      </c>
      <c r="E1109" s="51" t="s">
        <v>34</v>
      </c>
      <c r="F1109">
        <v>89</v>
      </c>
      <c r="G1109" t="s">
        <v>56</v>
      </c>
      <c r="H1109" s="9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Log'!$E$2:$V$70,
    MATCH(1,
      ('Golf Log'!$A$2:$A$70=$A1109)*
      ('Golf Log'!$B$2:$B$70=$B1109)*
      ('Golf Log'!$C$2:$C$70=$C1109),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Log'!$E$2:$V$70,
    MATCH(1,
      ('Putt Log'!$A$2:$A$70=$A1109)*
      ('Putt Log'!$B$2:$B$70=$B1109)*
      ('Putt Log'!$C$2:$C$70=$C1109),
    0),
    MATCH($G1109,'Putt Log'!$E$1:$V$1,0)
  ),
"")</f>
        <v>2</v>
      </c>
      <c r="P1109" t="str" cm="1">
        <f t="array" ref="P1109">IF(K1109=3,"",
  IFERROR(
    INDEX('Fairway Log'!$E$2:$V$70,
      MATCH(1,
        ('Fairway Log'!$A$2:$A$70=$A1109)*
        ('Fairway Log'!$B$2:$B$70=$B1109)*
        ('Fairway Log'!$C$2:$C1180=$C1109),
      0),
      MATCH($G1109,'Fairway Log'!$E$1:$V$1,0)
    ),
  "")
)</f>
        <v>↓</v>
      </c>
      <c r="Q1109" t="str" cm="1">
        <f t="array" ref="Q1109">IFERROR(
  INDEX('GIR Log'!$E$2:$V$70,
    MATCH(1,
      ('GIR Log'!$A$2:$A$70=$A1109)*
      ('GIR Log'!$B$2:$B$70=$B1109)*
      ('GIR Log'!$C$2:$C$70=$C1109),
    0),
    MATCH($G1109,'GIR Log'!$E$1:$V$1,0)
  ),
"")</f>
        <v>NC</v>
      </c>
    </row>
    <row r="1110" spans="1:17" x14ac:dyDescent="0.25">
      <c r="A1110" s="51" t="s">
        <v>130</v>
      </c>
      <c r="B1110" s="2">
        <v>45487</v>
      </c>
      <c r="C1110" s="51" t="s">
        <v>3</v>
      </c>
      <c r="D1110" s="51" t="s">
        <v>3</v>
      </c>
      <c r="E1110" s="51" t="s">
        <v>34</v>
      </c>
      <c r="F1110">
        <v>89</v>
      </c>
      <c r="G1110" t="s">
        <v>57</v>
      </c>
      <c r="H1110" s="9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Log'!$E$2:$V$70,
    MATCH(1,
      ('Golf Log'!$A$2:$A$70=$A1110)*
      ('Golf Log'!$B$2:$B$70=$B1110)*
      ('Golf Log'!$C$2:$C$70=$C1110),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Log'!$E$2:$V$70,
    MATCH(1,
      ('Putt Log'!$A$2:$A$70=$A1110)*
      ('Putt Log'!$B$2:$B$70=$B1110)*
      ('Putt Log'!$C$2:$C$70=$C1110),
    0),
    MATCH($G1110,'Putt Log'!$E$1:$V$1,0)
  ),
"")</f>
        <v>2</v>
      </c>
      <c r="P1110" t="str" cm="1">
        <f t="array" ref="P1110">IF(K1110=3,"",
  IFERROR(
    INDEX('Fairway Log'!$E$2:$V$70,
      MATCH(1,
        ('Fairway Log'!$A$2:$A$70=$A1110)*
        ('Fairway Log'!$B$2:$B$70=$B1110)*
        ('Fairway Log'!$C$2:$C1181=$C1110),
      0),
      MATCH($G1110,'Fairway Log'!$E$1:$V$1,0)
    ),
  "")
)</f>
        <v/>
      </c>
      <c r="Q1110" t="str" cm="1">
        <f t="array" ref="Q1110">IFERROR(
  INDEX('GIR Log'!$E$2:$V$70,
    MATCH(1,
      ('GIR Log'!$A$2:$A$70=$A1110)*
      ('GIR Log'!$B$2:$B$70=$B1110)*
      ('GIR Log'!$C$2:$C$70=$C1110),
    0),
    MATCH($G1110,'GIR Log'!$E$1:$V$1,0)
  ),
"")</f>
        <v>↑</v>
      </c>
    </row>
    <row r="1111" spans="1:17" x14ac:dyDescent="0.25">
      <c r="A1111" s="51" t="s">
        <v>130</v>
      </c>
      <c r="B1111" s="2">
        <v>45487</v>
      </c>
      <c r="C1111" s="51" t="s">
        <v>3</v>
      </c>
      <c r="D1111" s="51" t="s">
        <v>3</v>
      </c>
      <c r="E1111" s="51" t="s">
        <v>34</v>
      </c>
      <c r="F1111">
        <v>89</v>
      </c>
      <c r="G1111" t="s">
        <v>58</v>
      </c>
      <c r="H1111" s="9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Log'!$E$2:$V$70,
    MATCH(1,
      ('Golf Log'!$A$2:$A$70=$A1111)*
      ('Golf Log'!$B$2:$B$70=$B1111)*
      ('Golf Log'!$C$2:$C$70=$C1111),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Log'!$E$2:$V$70,
    MATCH(1,
      ('Putt Log'!$A$2:$A$70=$A1111)*
      ('Putt Log'!$B$2:$B$70=$B1111)*
      ('Putt Log'!$C$2:$C$70=$C1111),
    0),
    MATCH($G1111,'Putt Log'!$E$1:$V$1,0)
  ),
"")</f>
        <v>2</v>
      </c>
      <c r="P1111" t="str" cm="1">
        <f t="array" ref="P1111">IF(K1111=3,"",
  IFERROR(
    INDEX('Fairway Log'!$E$2:$V$70,
      MATCH(1,
        ('Fairway Log'!$A$2:$A$70=$A1111)*
        ('Fairway Log'!$B$2:$B$70=$B1111)*
        ('Fairway Log'!$C$2:$C1182=$C1111),
      0),
      MATCH($G1111,'Fairway Log'!$E$1:$V$1,0)
    ),
  "")
)</f>
        <v>↑</v>
      </c>
      <c r="Q1111" t="str" cm="1">
        <f t="array" ref="Q1111">IFERROR(
  INDEX('GIR Log'!$E$2:$V$70,
    MATCH(1,
      ('GIR Log'!$A$2:$A$70=$A1111)*
      ('GIR Log'!$B$2:$B$70=$B1111)*
      ('GIR Log'!$C$2:$C$70=$C1111),
    0),
    MATCH($G1111,'GIR Log'!$E$1:$V$1,0)
  ),
"")</f>
        <v>↑</v>
      </c>
    </row>
    <row r="1112" spans="1:17" x14ac:dyDescent="0.25">
      <c r="A1112" s="51" t="s">
        <v>130</v>
      </c>
      <c r="B1112" s="2">
        <v>45487</v>
      </c>
      <c r="C1112" s="51" t="s">
        <v>3</v>
      </c>
      <c r="D1112" s="51" t="s">
        <v>3</v>
      </c>
      <c r="E1112" s="51" t="s">
        <v>34</v>
      </c>
      <c r="F1112">
        <v>89</v>
      </c>
      <c r="G1112" t="s">
        <v>59</v>
      </c>
      <c r="H1112" s="9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Log'!$E$2:$V$70,
    MATCH(1,
      ('Golf Log'!$A$2:$A$70=$A1112)*
      ('Golf Log'!$B$2:$B$70=$B1112)*
      ('Golf Log'!$C$2:$C$70=$C1112),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Log'!$E$2:$V$70,
    MATCH(1,
      ('Putt Log'!$A$2:$A$70=$A1112)*
      ('Putt Log'!$B$2:$B$70=$B1112)*
      ('Putt Log'!$C$2:$C$70=$C1112),
    0),
    MATCH($G1112,'Putt Log'!$E$1:$V$1,0)
  ),
"")</f>
        <v>2</v>
      </c>
      <c r="P1112" t="str" cm="1">
        <f t="array" ref="P1112">IF(K1112=3,"",
  IFERROR(
    INDEX('Fairway Log'!$E$2:$V$70,
      MATCH(1,
        ('Fairway Log'!$A$2:$A$70=$A1112)*
        ('Fairway Log'!$B$2:$B$70=$B1112)*
        ('Fairway Log'!$C$2:$C1183=$C1112),
      0),
      MATCH($G1112,'Fairway Log'!$E$1:$V$1,0)
    ),
  "")
)</f>
        <v>←</v>
      </c>
      <c r="Q1112" t="str" cm="1">
        <f t="array" ref="Q1112">IFERROR(
  INDEX('GIR Log'!$E$2:$V$70,
    MATCH(1,
      ('GIR Log'!$A$2:$A$70=$A1112)*
      ('GIR Log'!$B$2:$B$70=$B1112)*
      ('GIR Log'!$C$2:$C$70=$C1112),
    0),
    MATCH($G1112,'GIR Log'!$E$1:$V$1,0)
  ),
"")</f>
        <v>↑</v>
      </c>
    </row>
    <row r="1113" spans="1:17" x14ac:dyDescent="0.25">
      <c r="A1113" s="51" t="s">
        <v>130</v>
      </c>
      <c r="B1113" s="2">
        <v>45487</v>
      </c>
      <c r="C1113" s="51" t="s">
        <v>3</v>
      </c>
      <c r="D1113" s="51" t="s">
        <v>3</v>
      </c>
      <c r="E1113" s="51" t="s">
        <v>34</v>
      </c>
      <c r="F1113">
        <v>89</v>
      </c>
      <c r="G1113" t="s">
        <v>60</v>
      </c>
      <c r="H1113" s="9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Log'!$E$2:$V$70,
    MATCH(1,
      ('Golf Log'!$A$2:$A$70=$A1113)*
      ('Golf Log'!$B$2:$B$70=$B1113)*
      ('Golf Log'!$C$2:$C$70=$C1113),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Log'!$E$2:$V$70,
    MATCH(1,
      ('Putt Log'!$A$2:$A$70=$A1113)*
      ('Putt Log'!$B$2:$B$70=$B1113)*
      ('Putt Log'!$C$2:$C$70=$C1113),
    0),
    MATCH($G1113,'Putt Log'!$E$1:$V$1,0)
  ),
"")</f>
        <v>1</v>
      </c>
      <c r="P1113" t="str" cm="1">
        <f t="array" ref="P1113">IF(K1113=3,"",
  IFERROR(
    INDEX('Fairway Log'!$E$2:$V$70,
      MATCH(1,
        ('Fairway Log'!$A$2:$A$70=$A1113)*
        ('Fairway Log'!$B$2:$B$70=$B1113)*
        ('Fairway Log'!$C$2:$C1184=$C1113),
      0),
      MATCH($G1113,'Fairway Log'!$E$1:$V$1,0)
    ),
  "")
)</f>
        <v>←</v>
      </c>
      <c r="Q1113" t="str" cm="1">
        <f t="array" ref="Q1113">IFERROR(
  INDEX('GIR Log'!$E$2:$V$70,
    MATCH(1,
      ('GIR Log'!$A$2:$A$70=$A1113)*
      ('GIR Log'!$B$2:$B$70=$B1113)*
      ('GIR Log'!$C$2:$C$70=$C1113),
    0),
    MATCH($G1113,'GIR Log'!$E$1:$V$1,0)
  ),
"")</f>
        <v>↑</v>
      </c>
    </row>
    <row r="1114" spans="1:17" x14ac:dyDescent="0.25">
      <c r="A1114" s="51" t="s">
        <v>130</v>
      </c>
      <c r="B1114" s="2">
        <v>45487</v>
      </c>
      <c r="C1114" s="51" t="s">
        <v>3</v>
      </c>
      <c r="D1114" s="51" t="s">
        <v>3</v>
      </c>
      <c r="E1114" s="51" t="s">
        <v>34</v>
      </c>
      <c r="F1114">
        <v>89</v>
      </c>
      <c r="G1114" t="s">
        <v>61</v>
      </c>
      <c r="H1114" s="9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Log'!$E$2:$V$70,
    MATCH(1,
      ('Golf Log'!$A$2:$A$70=$A1114)*
      ('Golf Log'!$B$2:$B$70=$B1114)*
      ('Golf Log'!$C$2:$C$70=$C1114),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Log'!$E$2:$V$70,
    MATCH(1,
      ('Putt Log'!$A$2:$A$70=$A1114)*
      ('Putt Log'!$B$2:$B$70=$B1114)*
      ('Putt Log'!$C$2:$C$70=$C1114),
    0),
    MATCH($G1114,'Putt Log'!$E$1:$V$1,0)
  ),
"")</f>
        <v>1</v>
      </c>
      <c r="P1114" t="str" cm="1">
        <f t="array" ref="P1114">IF(K1114=3,"",
  IFERROR(
    INDEX('Fairway Log'!$E$2:$V$70,
      MATCH(1,
        ('Fairway Log'!$A$2:$A$70=$A1114)*
        ('Fairway Log'!$B$2:$B$70=$B1114)*
        ('Fairway Log'!$C$2:$C1185=$C1114),
      0),
      MATCH($G1114,'Fairway Log'!$E$1:$V$1,0)
    ),
  "")
)</f>
        <v/>
      </c>
      <c r="Q1114" t="str" cm="1">
        <f t="array" ref="Q1114">IFERROR(
  INDEX('GIR Log'!$E$2:$V$70,
    MATCH(1,
      ('GIR Log'!$A$2:$A$70=$A1114)*
      ('GIR Log'!$B$2:$B$70=$B1114)*
      ('GIR Log'!$C$2:$C$70=$C1114),
    0),
    MATCH($G1114,'GIR Log'!$E$1:$V$1,0)
  ),
"")</f>
        <v>←</v>
      </c>
    </row>
    <row r="1115" spans="1:17" x14ac:dyDescent="0.25">
      <c r="A1115" s="51" t="s">
        <v>130</v>
      </c>
      <c r="B1115" s="2">
        <v>45487</v>
      </c>
      <c r="C1115" s="51" t="s">
        <v>3</v>
      </c>
      <c r="D1115" s="51" t="s">
        <v>3</v>
      </c>
      <c r="E1115" s="51" t="s">
        <v>34</v>
      </c>
      <c r="F1115">
        <v>89</v>
      </c>
      <c r="G1115" t="s">
        <v>62</v>
      </c>
      <c r="H1115" s="9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Log'!$E$2:$V$70,
    MATCH(1,
      ('Golf Log'!$A$2:$A$70=$A1115)*
      ('Golf Log'!$B$2:$B$70=$B1115)*
      ('Golf Log'!$C$2:$C$70=$C1115),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Log'!$E$2:$V$70,
    MATCH(1,
      ('Putt Log'!$A$2:$A$70=$A1115)*
      ('Putt Log'!$B$2:$B$70=$B1115)*
      ('Putt Log'!$C$2:$C$70=$C1115),
    0),
    MATCH($G1115,'Putt Log'!$E$1:$V$1,0)
  ),
"")</f>
        <v>2</v>
      </c>
      <c r="P1115" t="str" cm="1">
        <f t="array" ref="P1115">IF(K1115=3,"",
  IFERROR(
    INDEX('Fairway Log'!$E$2:$V$70,
      MATCH(1,
        ('Fairway Log'!$A$2:$A$70=$A1115)*
        ('Fairway Log'!$B$2:$B$70=$B1115)*
        ('Fairway Log'!$C$2:$C1186=$C1115),
      0),
      MATCH($G1115,'Fairway Log'!$E$1:$V$1,0)
    ),
  "")
)</f>
        <v>↓</v>
      </c>
      <c r="Q1115" t="str" cm="1">
        <f t="array" ref="Q1115">IFERROR(
  INDEX('GIR Log'!$E$2:$V$70,
    MATCH(1,
      ('GIR Log'!$A$2:$A$70=$A1115)*
      ('GIR Log'!$B$2:$B$70=$B1115)*
      ('GIR Log'!$C$2:$C$70=$C1115),
    0),
    MATCH($G1115,'GIR Log'!$E$1:$V$1,0)
  ),
"")</f>
        <v>↓</v>
      </c>
    </row>
    <row r="1116" spans="1:17" x14ac:dyDescent="0.25">
      <c r="A1116" s="51" t="s">
        <v>130</v>
      </c>
      <c r="B1116" s="2">
        <v>45487</v>
      </c>
      <c r="C1116" s="51" t="s">
        <v>3</v>
      </c>
      <c r="D1116" s="51" t="s">
        <v>3</v>
      </c>
      <c r="E1116" s="51" t="s">
        <v>34</v>
      </c>
      <c r="F1116">
        <v>89</v>
      </c>
      <c r="G1116" t="s">
        <v>63</v>
      </c>
      <c r="H1116" s="9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Log'!$E$2:$V$70,
    MATCH(1,
      ('Golf Log'!$A$2:$A$70=$A1116)*
      ('Golf Log'!$B$2:$B$70=$B1116)*
      ('Golf Log'!$C$2:$C$70=$C1116),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Log'!$E$2:$V$70,
    MATCH(1,
      ('Putt Log'!$A$2:$A$70=$A1116)*
      ('Putt Log'!$B$2:$B$70=$B1116)*
      ('Putt Log'!$C$2:$C$70=$C1116),
    0),
    MATCH($G1116,'Putt Log'!$E$1:$V$1,0)
  ),
"")</f>
        <v>2</v>
      </c>
      <c r="P1116" cm="1">
        <f t="array" ref="P1116">IF(K1116=3,"",
  IFERROR(
    INDEX('Fairway Log'!$E$2:$V$70,
      MATCH(1,
        ('Fairway Log'!$A$2:$A$70=$A1116)*
        ('Fairway Log'!$B$2:$B$70=$B1116)*
        ('Fairway Log'!$C$2:$C1187=$C1116),
      0),
      MATCH($G1116,'Fairway Log'!$E$1:$V$1,0)
    ),
  "")
)</f>
        <v>1</v>
      </c>
      <c r="Q1116" t="str" cm="1">
        <f t="array" ref="Q1116">IFERROR(
  INDEX('GIR Log'!$E$2:$V$70,
    MATCH(1,
      ('GIR Log'!$A$2:$A$70=$A1116)*
      ('GIR Log'!$B$2:$B$70=$B1116)*
      ('GIR Log'!$C$2:$C$70=$C1116),
    0),
    MATCH($G1116,'GIR Log'!$E$1:$V$1,0)
  ),
"")</f>
        <v>→</v>
      </c>
    </row>
    <row r="1117" spans="1:17" x14ac:dyDescent="0.25">
      <c r="A1117" s="51" t="s">
        <v>130</v>
      </c>
      <c r="B1117" s="2">
        <v>45487</v>
      </c>
      <c r="C1117" s="51" t="s">
        <v>3</v>
      </c>
      <c r="D1117" s="51" t="s">
        <v>3</v>
      </c>
      <c r="E1117" s="51" t="s">
        <v>34</v>
      </c>
      <c r="F1117">
        <v>89</v>
      </c>
      <c r="G1117" t="s">
        <v>64</v>
      </c>
      <c r="H1117" s="9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Log'!$E$2:$V$70,
    MATCH(1,
      ('Golf Log'!$A$2:$A$70=$A1117)*
      ('Golf Log'!$B$2:$B$70=$B1117)*
      ('Golf Log'!$C$2:$C$70=$C1117),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Log'!$E$2:$V$70,
    MATCH(1,
      ('Putt Log'!$A$2:$A$70=$A1117)*
      ('Putt Log'!$B$2:$B$70=$B1117)*
      ('Putt Log'!$C$2:$C$70=$C1117),
    0),
    MATCH($G1117,'Putt Log'!$E$1:$V$1,0)
  ),
"")</f>
        <v>2</v>
      </c>
      <c r="P1117" t="str" cm="1">
        <f t="array" ref="P1117">IF(K1117=3,"",
  IFERROR(
    INDEX('Fairway Log'!$E$2:$V$70,
      MATCH(1,
        ('Fairway Log'!$A$2:$A$70=$A1117)*
        ('Fairway Log'!$B$2:$B$70=$B1117)*
        ('Fairway Log'!$C$2:$C1188=$C1117),
      0),
      MATCH($G1117,'Fairway Log'!$E$1:$V$1,0)
    ),
  "")
)</f>
        <v>←</v>
      </c>
      <c r="Q1117" t="str" cm="1">
        <f t="array" ref="Q1117">IFERROR(
  INDEX('GIR Log'!$E$2:$V$70,
    MATCH(1,
      ('GIR Log'!$A$2:$A$70=$A1117)*
      ('GIR Log'!$B$2:$B$70=$B1117)*
      ('GIR Log'!$C$2:$C$70=$C1117),
    0),
    MATCH($G1117,'GIR Log'!$E$1:$V$1,0)
  ),
"")</f>
        <v>↑</v>
      </c>
    </row>
    <row r="1118" spans="1:17" x14ac:dyDescent="0.25">
      <c r="A1118" s="51" t="s">
        <v>130</v>
      </c>
      <c r="B1118" s="2">
        <v>45172</v>
      </c>
      <c r="C1118" s="51" t="s">
        <v>3</v>
      </c>
      <c r="D1118" s="51" t="s">
        <v>3</v>
      </c>
      <c r="E1118" s="51" t="s">
        <v>34</v>
      </c>
      <c r="F1118">
        <v>82</v>
      </c>
      <c r="G1118" s="12" t="s">
        <v>47</v>
      </c>
      <c r="H1118" s="9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Log'!$E$2:$V$70,
    MATCH(1,
      ('Golf Log'!$A$2:$A$70=$A1118)*
      ('Golf Log'!$B$2:$B$70=$B1118)*
      ('Golf Log'!$C$2:$C$70=$C1118),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Log'!$E$2:$V$70,
    MATCH(1,
      ('Putt Log'!$A$2:$A$70=$A1118)*
      ('Putt Log'!$B$2:$B$70=$B1118)*
      ('Putt Log'!$C$2:$C$70=$C1118),
    0),
    MATCH($G1118,'Putt Log'!$E$1:$V$1,0)
  ),
"")</f>
        <v>2</v>
      </c>
      <c r="P1118" t="str" cm="1">
        <f t="array" ref="P1118">IF(K1118=3,"",
  IFERROR(
    INDEX('Fairway Log'!$E$2:$V$70,
      MATCH(1,
        ('Fairway Log'!$A$2:$A$70=$A1118)*
        ('Fairway Log'!$B$2:$B$70=$B1118)*
        ('Fairway Log'!$C$2:$C1189=$C1118),
      0),
      MATCH($G1118,'Fairway Log'!$E$1:$V$1,0)
    ),
  "")
)</f>
        <v>→</v>
      </c>
      <c r="Q1118" cm="1">
        <f t="array" ref="Q1118">IFERROR(
  INDEX('GIR Log'!$E$2:$V$70,
    MATCH(1,
      ('GIR Log'!$A$2:$A$70=$A1118)*
      ('GIR Log'!$B$2:$B$70=$B1118)*
      ('GIR Log'!$C$2:$C$70=$C1118),
    0),
    MATCH($G1118,'GIR Log'!$E$1:$V$1,0)
  ),
"")</f>
        <v>1</v>
      </c>
    </row>
    <row r="1119" spans="1:17" x14ac:dyDescent="0.25">
      <c r="A1119" s="51" t="s">
        <v>130</v>
      </c>
      <c r="B1119" s="2">
        <v>45172</v>
      </c>
      <c r="C1119" s="51" t="s">
        <v>3</v>
      </c>
      <c r="D1119" s="51" t="s">
        <v>3</v>
      </c>
      <c r="E1119" s="51" t="s">
        <v>34</v>
      </c>
      <c r="F1119">
        <v>82</v>
      </c>
      <c r="G1119" s="12" t="s">
        <v>48</v>
      </c>
      <c r="H1119" s="9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Log'!$E$2:$V$70,
    MATCH(1,
      ('Golf Log'!$A$2:$A$70=$A1119)*
      ('Golf Log'!$B$2:$B$70=$B1119)*
      ('Golf Log'!$C$2:$C$70=$C1119),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Log'!$E$2:$V$70,
    MATCH(1,
      ('Putt Log'!$A$2:$A$70=$A1119)*
      ('Putt Log'!$B$2:$B$70=$B1119)*
      ('Putt Log'!$C$2:$C$70=$C1119),
    0),
    MATCH($G1119,'Putt Log'!$E$1:$V$1,0)
  ),
"")</f>
        <v>1</v>
      </c>
      <c r="P1119" t="str" cm="1">
        <f t="array" ref="P1119">IF(K1119=3,"",
  IFERROR(
    INDEX('Fairway Log'!$E$2:$V$70,
      MATCH(1,
        ('Fairway Log'!$A$2:$A$70=$A1119)*
        ('Fairway Log'!$B$2:$B$70=$B1119)*
        ('Fairway Log'!$C$2:$C1190=$C1119),
      0),
      MATCH($G1119,'Fairway Log'!$E$1:$V$1,0)
    ),
  "")
)</f>
        <v>←</v>
      </c>
      <c r="Q1119" cm="1">
        <f t="array" ref="Q1119">IFERROR(
  INDEX('GIR Log'!$E$2:$V$70,
    MATCH(1,
      ('GIR Log'!$A$2:$A$70=$A1119)*
      ('GIR Log'!$B$2:$B$70=$B1119)*
      ('GIR Log'!$C$2:$C$70=$C1119),
    0),
    MATCH($G1119,'GIR Log'!$E$1:$V$1,0)
  ),
"")</f>
        <v>0</v>
      </c>
    </row>
    <row r="1120" spans="1:17" x14ac:dyDescent="0.25">
      <c r="A1120" s="51" t="s">
        <v>130</v>
      </c>
      <c r="B1120" s="2">
        <v>45172</v>
      </c>
      <c r="C1120" s="51" t="s">
        <v>3</v>
      </c>
      <c r="D1120" s="51" t="s">
        <v>3</v>
      </c>
      <c r="E1120" s="51" t="s">
        <v>34</v>
      </c>
      <c r="F1120">
        <v>82</v>
      </c>
      <c r="G1120" s="12" t="s">
        <v>49</v>
      </c>
      <c r="H1120" s="9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Log'!$E$2:$V$70,
    MATCH(1,
      ('Golf Log'!$A$2:$A$70=$A1120)*
      ('Golf Log'!$B$2:$B$70=$B1120)*
      ('Golf Log'!$C$2:$C$70=$C1120),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Log'!$E$2:$V$70,
    MATCH(1,
      ('Putt Log'!$A$2:$A$70=$A1120)*
      ('Putt Log'!$B$2:$B$70=$B1120)*
      ('Putt Log'!$C$2:$C$70=$C1120),
    0),
    MATCH($G1120,'Putt Log'!$E$1:$V$1,0)
  ),
"")</f>
        <v>3</v>
      </c>
      <c r="P1120" t="str" cm="1">
        <f t="array" ref="P1120">IF(K1120=3,"",
  IFERROR(
    INDEX('Fairway Log'!$E$2:$V$70,
      MATCH(1,
        ('Fairway Log'!$A$2:$A$70=$A1120)*
        ('Fairway Log'!$B$2:$B$70=$B1120)*
        ('Fairway Log'!$C$2:$C1191=$C1120),
      0),
      MATCH($G1120,'Fairway Log'!$E$1:$V$1,0)
    ),
  "")
)</f>
        <v/>
      </c>
      <c r="Q1120" cm="1">
        <f t="array" ref="Q1120">IFERROR(
  INDEX('GIR Log'!$E$2:$V$70,
    MATCH(1,
      ('GIR Log'!$A$2:$A$70=$A1120)*
      ('GIR Log'!$B$2:$B$70=$B1120)*
      ('GIR Log'!$C$2:$C$70=$C1120),
    0),
    MATCH($G1120,'GIR Log'!$E$1:$V$1,0)
  ),
"")</f>
        <v>0</v>
      </c>
    </row>
    <row r="1121" spans="1:17" x14ac:dyDescent="0.25">
      <c r="A1121" s="51" t="s">
        <v>130</v>
      </c>
      <c r="B1121" s="2">
        <v>45172</v>
      </c>
      <c r="C1121" s="51" t="s">
        <v>3</v>
      </c>
      <c r="D1121" s="51" t="s">
        <v>3</v>
      </c>
      <c r="E1121" s="51" t="s">
        <v>34</v>
      </c>
      <c r="F1121">
        <v>82</v>
      </c>
      <c r="G1121" s="12" t="s">
        <v>50</v>
      </c>
      <c r="H1121" s="9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Log'!$E$2:$V$70,
    MATCH(1,
      ('Golf Log'!$A$2:$A$70=$A1121)*
      ('Golf Log'!$B$2:$B$70=$B1121)*
      ('Golf Log'!$C$2:$C$70=$C1121),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Log'!$E$2:$V$70,
    MATCH(1,
      ('Putt Log'!$A$2:$A$70=$A1121)*
      ('Putt Log'!$B$2:$B$70=$B1121)*
      ('Putt Log'!$C$2:$C$70=$C1121),
    0),
    MATCH($G1121,'Putt Log'!$E$1:$V$1,0)
  ),
"")</f>
        <v>2</v>
      </c>
      <c r="P1121" cm="1">
        <f t="array" ref="P1121">IF(K1121=3,"",
  IFERROR(
    INDEX('Fairway Log'!$E$2:$V$70,
      MATCH(1,
        ('Fairway Log'!$A$2:$A$70=$A1121)*
        ('Fairway Log'!$B$2:$B$70=$B1121)*
        ('Fairway Log'!$C$2:$C1192=$C1121),
      0),
      MATCH($G1121,'Fairway Log'!$E$1:$V$1,0)
    ),
  "")
)</f>
        <v>1</v>
      </c>
      <c r="Q1121" cm="1">
        <f t="array" ref="Q1121">IFERROR(
  INDEX('GIR Log'!$E$2:$V$70,
    MATCH(1,
      ('GIR Log'!$A$2:$A$70=$A1121)*
      ('GIR Log'!$B$2:$B$70=$B1121)*
      ('GIR Log'!$C$2:$C$70=$C1121),
    0),
    MATCH($G1121,'GIR Log'!$E$1:$V$1,0)
  ),
"")</f>
        <v>0</v>
      </c>
    </row>
    <row r="1122" spans="1:17" x14ac:dyDescent="0.25">
      <c r="A1122" s="51" t="s">
        <v>130</v>
      </c>
      <c r="B1122" s="2">
        <v>45172</v>
      </c>
      <c r="C1122" s="51" t="s">
        <v>3</v>
      </c>
      <c r="D1122" s="51" t="s">
        <v>3</v>
      </c>
      <c r="E1122" s="51" t="s">
        <v>34</v>
      </c>
      <c r="F1122">
        <v>82</v>
      </c>
      <c r="G1122" s="12" t="s">
        <v>51</v>
      </c>
      <c r="H1122" s="9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Log'!$E$2:$V$70,
    MATCH(1,
      ('Golf Log'!$A$2:$A$70=$A1122)*
      ('Golf Log'!$B$2:$B$70=$B1122)*
      ('Golf Log'!$C$2:$C$70=$C1122),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Log'!$E$2:$V$70,
    MATCH(1,
      ('Putt Log'!$A$2:$A$70=$A1122)*
      ('Putt Log'!$B$2:$B$70=$B1122)*
      ('Putt Log'!$C$2:$C$70=$C1122),
    0),
    MATCH($G1122,'Putt Log'!$E$1:$V$1,0)
  ),
"")</f>
        <v>2</v>
      </c>
      <c r="P1122" t="str" cm="1">
        <f t="array" ref="P1122">IF(K1122=3,"",
  IFERROR(
    INDEX('Fairway Log'!$E$2:$V$70,
      MATCH(1,
        ('Fairway Log'!$A$2:$A$70=$A1122)*
        ('Fairway Log'!$B$2:$B$70=$B1122)*
        ('Fairway Log'!$C$2:$C1193=$C1122),
      0),
      MATCH($G1122,'Fairway Log'!$E$1:$V$1,0)
    ),
  "")
)</f>
        <v>↓</v>
      </c>
      <c r="Q1122" cm="1">
        <f t="array" ref="Q1122">IFERROR(
  INDEX('GIR Log'!$E$2:$V$70,
    MATCH(1,
      ('GIR Log'!$A$2:$A$70=$A1122)*
      ('GIR Log'!$B$2:$B$70=$B1122)*
      ('GIR Log'!$C$2:$C$70=$C1122),
    0),
    MATCH($G1122,'GIR Log'!$E$1:$V$1,0)
  ),
"")</f>
        <v>0</v>
      </c>
    </row>
    <row r="1123" spans="1:17" x14ac:dyDescent="0.25">
      <c r="A1123" s="51" t="s">
        <v>130</v>
      </c>
      <c r="B1123" s="2">
        <v>45172</v>
      </c>
      <c r="C1123" s="51" t="s">
        <v>3</v>
      </c>
      <c r="D1123" s="51" t="s">
        <v>3</v>
      </c>
      <c r="E1123" s="51" t="s">
        <v>34</v>
      </c>
      <c r="F1123">
        <v>82</v>
      </c>
      <c r="G1123" s="12" t="s">
        <v>52</v>
      </c>
      <c r="H1123" s="9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Log'!$E$2:$V$70,
    MATCH(1,
      ('Golf Log'!$A$2:$A$70=$A1123)*
      ('Golf Log'!$B$2:$B$70=$B1123)*
      ('Golf Log'!$C$2:$C$70=$C1123),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Log'!$E$2:$V$70,
    MATCH(1,
      ('Putt Log'!$A$2:$A$70=$A1123)*
      ('Putt Log'!$B$2:$B$70=$B1123)*
      ('Putt Log'!$C$2:$C$70=$C1123),
    0),
    MATCH($G1123,'Putt Log'!$E$1:$V$1,0)
  ),
"")</f>
        <v>2</v>
      </c>
      <c r="P1123" t="str" cm="1">
        <f t="array" ref="P1123">IF(K1123=3,"",
  IFERROR(
    INDEX('Fairway Log'!$E$2:$V$70,
      MATCH(1,
        ('Fairway Log'!$A$2:$A$70=$A1123)*
        ('Fairway Log'!$B$2:$B$70=$B1123)*
        ('Fairway Log'!$C$2:$C1194=$C1123),
      0),
      MATCH($G1123,'Fairway Log'!$E$1:$V$1,0)
    ),
  "")
)</f>
        <v/>
      </c>
      <c r="Q1123" cm="1">
        <f t="array" ref="Q1123">IFERROR(
  INDEX('GIR Log'!$E$2:$V$70,
    MATCH(1,
      ('GIR Log'!$A$2:$A$70=$A1123)*
      ('GIR Log'!$B$2:$B$70=$B1123)*
      ('GIR Log'!$C$2:$C$70=$C1123),
    0),
    MATCH($G1123,'GIR Log'!$E$1:$V$1,0)
  ),
"")</f>
        <v>0</v>
      </c>
    </row>
    <row r="1124" spans="1:17" x14ac:dyDescent="0.25">
      <c r="A1124" s="51" t="s">
        <v>130</v>
      </c>
      <c r="B1124" s="2">
        <v>45172</v>
      </c>
      <c r="C1124" s="51" t="s">
        <v>3</v>
      </c>
      <c r="D1124" s="51" t="s">
        <v>3</v>
      </c>
      <c r="E1124" s="51" t="s">
        <v>34</v>
      </c>
      <c r="F1124">
        <v>82</v>
      </c>
      <c r="G1124" s="12" t="s">
        <v>53</v>
      </c>
      <c r="H1124" s="9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Log'!$E$2:$V$70,
    MATCH(1,
      ('Golf Log'!$A$2:$A$70=$A1124)*
      ('Golf Log'!$B$2:$B$70=$B1124)*
      ('Golf Log'!$C$2:$C$70=$C1124),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Log'!$E$2:$V$70,
    MATCH(1,
      ('Putt Log'!$A$2:$A$70=$A1124)*
      ('Putt Log'!$B$2:$B$70=$B1124)*
      ('Putt Log'!$C$2:$C$70=$C1124),
    0),
    MATCH($G1124,'Putt Log'!$E$1:$V$1,0)
  ),
"")</f>
        <v>2</v>
      </c>
      <c r="P1124" cm="1">
        <f t="array" ref="P1124">IF(K1124=3,"",
  IFERROR(
    INDEX('Fairway Log'!$E$2:$V$70,
      MATCH(1,
        ('Fairway Log'!$A$2:$A$70=$A1124)*
        ('Fairway Log'!$B$2:$B$70=$B1124)*
        ('Fairway Log'!$C$2:$C1195=$C1124),
      0),
      MATCH($G1124,'Fairway Log'!$E$1:$V$1,0)
    ),
  "")
)</f>
        <v>1</v>
      </c>
      <c r="Q1124" cm="1">
        <f t="array" ref="Q1124">IFERROR(
  INDEX('GIR Log'!$E$2:$V$70,
    MATCH(1,
      ('GIR Log'!$A$2:$A$70=$A1124)*
      ('GIR Log'!$B$2:$B$70=$B1124)*
      ('GIR Log'!$C$2:$C$70=$C1124),
    0),
    MATCH($G1124,'GIR Log'!$E$1:$V$1,0)
  ),
"")</f>
        <v>1</v>
      </c>
    </row>
    <row r="1125" spans="1:17" x14ac:dyDescent="0.25">
      <c r="A1125" s="51" t="s">
        <v>130</v>
      </c>
      <c r="B1125" s="2">
        <v>45172</v>
      </c>
      <c r="C1125" s="51" t="s">
        <v>3</v>
      </c>
      <c r="D1125" s="51" t="s">
        <v>3</v>
      </c>
      <c r="E1125" s="51" t="s">
        <v>34</v>
      </c>
      <c r="F1125">
        <v>82</v>
      </c>
      <c r="G1125" s="12" t="s">
        <v>54</v>
      </c>
      <c r="H1125" s="9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Log'!$E$2:$V$70,
    MATCH(1,
      ('Golf Log'!$A$2:$A$70=$A1125)*
      ('Golf Log'!$B$2:$B$70=$B1125)*
      ('Golf Log'!$C$2:$C$70=$C1125),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Log'!$E$2:$V$70,
    MATCH(1,
      ('Putt Log'!$A$2:$A$70=$A1125)*
      ('Putt Log'!$B$2:$B$70=$B1125)*
      ('Putt Log'!$C$2:$C$70=$C1125),
    0),
    MATCH($G1125,'Putt Log'!$E$1:$V$1,0)
  ),
"")</f>
        <v>2</v>
      </c>
      <c r="P1125" cm="1">
        <f t="array" ref="P1125">IF(K1125=3,"",
  IFERROR(
    INDEX('Fairway Log'!$E$2:$V$70,
      MATCH(1,
        ('Fairway Log'!$A$2:$A$70=$A1125)*
        ('Fairway Log'!$B$2:$B$70=$B1125)*
        ('Fairway Log'!$C$2:$C1196=$C1125),
      0),
      MATCH($G1125,'Fairway Log'!$E$1:$V$1,0)
    ),
  "")
)</f>
        <v>1</v>
      </c>
      <c r="Q1125" cm="1">
        <f t="array" ref="Q1125">IFERROR(
  INDEX('GIR Log'!$E$2:$V$70,
    MATCH(1,
      ('GIR Log'!$A$2:$A$70=$A1125)*
      ('GIR Log'!$B$2:$B$70=$B1125)*
      ('GIR Log'!$C$2:$C$70=$C1125),
    0),
    MATCH($G1125,'GIR Log'!$E$1:$V$1,0)
  ),
"")</f>
        <v>1</v>
      </c>
    </row>
    <row r="1126" spans="1:17" x14ac:dyDescent="0.25">
      <c r="A1126" s="51" t="s">
        <v>130</v>
      </c>
      <c r="B1126" s="2">
        <v>45172</v>
      </c>
      <c r="C1126" s="51" t="s">
        <v>3</v>
      </c>
      <c r="D1126" s="51" t="s">
        <v>3</v>
      </c>
      <c r="E1126" s="51" t="s">
        <v>34</v>
      </c>
      <c r="F1126">
        <v>82</v>
      </c>
      <c r="G1126" s="12" t="s">
        <v>55</v>
      </c>
      <c r="H1126" s="9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Log'!$E$2:$V$70,
    MATCH(1,
      ('Golf Log'!$A$2:$A$70=$A1126)*
      ('Golf Log'!$B$2:$B$70=$B1126)*
      ('Golf Log'!$C$2:$C$70=$C1126),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Log'!$E$2:$V$70,
    MATCH(1,
      ('Putt Log'!$A$2:$A$70=$A1126)*
      ('Putt Log'!$B$2:$B$70=$B1126)*
      ('Putt Log'!$C$2:$C$70=$C1126),
    0),
    MATCH($G1126,'Putt Log'!$E$1:$V$1,0)
  ),
"")</f>
        <v>2</v>
      </c>
      <c r="P1126" cm="1">
        <f t="array" ref="P1126">IF(K1126=3,"",
  IFERROR(
    INDEX('Fairway Log'!$E$2:$V$70,
      MATCH(1,
        ('Fairway Log'!$A$2:$A$70=$A1126)*
        ('Fairway Log'!$B$2:$B$70=$B1126)*
        ('Fairway Log'!$C$2:$C1197=$C1126),
      0),
      MATCH($G1126,'Fairway Log'!$E$1:$V$1,0)
    ),
  "")
)</f>
        <v>1</v>
      </c>
      <c r="Q1126" cm="1">
        <f t="array" ref="Q1126">IFERROR(
  INDEX('GIR Log'!$E$2:$V$70,
    MATCH(1,
      ('GIR Log'!$A$2:$A$70=$A1126)*
      ('GIR Log'!$B$2:$B$70=$B1126)*
      ('GIR Log'!$C$2:$C$70=$C1126),
    0),
    MATCH($G1126,'GIR Log'!$E$1:$V$1,0)
  ),
"")</f>
        <v>0</v>
      </c>
    </row>
    <row r="1127" spans="1:17" x14ac:dyDescent="0.25">
      <c r="A1127" s="51" t="s">
        <v>130</v>
      </c>
      <c r="B1127" s="2">
        <v>45172</v>
      </c>
      <c r="C1127" s="51" t="s">
        <v>3</v>
      </c>
      <c r="D1127" s="51" t="s">
        <v>3</v>
      </c>
      <c r="E1127" s="51" t="s">
        <v>34</v>
      </c>
      <c r="F1127">
        <v>82</v>
      </c>
      <c r="G1127" s="12" t="s">
        <v>56</v>
      </c>
      <c r="H1127" s="9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Log'!$E$2:$V$70,
    MATCH(1,
      ('Golf Log'!$A$2:$A$70=$A1127)*
      ('Golf Log'!$B$2:$B$70=$B1127)*
      ('Golf Log'!$C$2:$C$70=$C1127),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Log'!$E$2:$V$70,
    MATCH(1,
      ('Putt Log'!$A$2:$A$70=$A1127)*
      ('Putt Log'!$B$2:$B$70=$B1127)*
      ('Putt Log'!$C$2:$C$70=$C1127),
    0),
    MATCH($G1127,'Putt Log'!$E$1:$V$1,0)
  ),
"")</f>
        <v>2</v>
      </c>
      <c r="P1127" t="str" cm="1">
        <f t="array" ref="P1127">IF(K1127=3,"",
  IFERROR(
    INDEX('Fairway Log'!$E$2:$V$70,
      MATCH(1,
        ('Fairway Log'!$A$2:$A$70=$A1127)*
        ('Fairway Log'!$B$2:$B$70=$B1127)*
        ('Fairway Log'!$C$2:$C1198=$C1127),
      0),
      MATCH($G1127,'Fairway Log'!$E$1:$V$1,0)
    ),
  "")
)</f>
        <v>→</v>
      </c>
      <c r="Q1127" cm="1">
        <f t="array" ref="Q1127">IFERROR(
  INDEX('GIR Log'!$E$2:$V$70,
    MATCH(1,
      ('GIR Log'!$A$2:$A$70=$A1127)*
      ('GIR Log'!$B$2:$B$70=$B1127)*
      ('GIR Log'!$C$2:$C$70=$C1127),
    0),
    MATCH($G1127,'GIR Log'!$E$1:$V$1,0)
  ),
"")</f>
        <v>1</v>
      </c>
    </row>
    <row r="1128" spans="1:17" x14ac:dyDescent="0.25">
      <c r="A1128" s="51" t="s">
        <v>130</v>
      </c>
      <c r="B1128" s="2">
        <v>45172</v>
      </c>
      <c r="C1128" s="51" t="s">
        <v>3</v>
      </c>
      <c r="D1128" s="51" t="s">
        <v>3</v>
      </c>
      <c r="E1128" s="51" t="s">
        <v>34</v>
      </c>
      <c r="F1128">
        <v>82</v>
      </c>
      <c r="G1128" s="12" t="s">
        <v>57</v>
      </c>
      <c r="H1128" s="9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Log'!$E$2:$V$70,
    MATCH(1,
      ('Golf Log'!$A$2:$A$70=$A1128)*
      ('Golf Log'!$B$2:$B$70=$B1128)*
      ('Golf Log'!$C$2:$C$70=$C1128),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Log'!$E$2:$V$70,
    MATCH(1,
      ('Putt Log'!$A$2:$A$70=$A1128)*
      ('Putt Log'!$B$2:$B$70=$B1128)*
      ('Putt Log'!$C$2:$C$70=$C1128),
    0),
    MATCH($G1128,'Putt Log'!$E$1:$V$1,0)
  ),
"")</f>
        <v>2</v>
      </c>
      <c r="P1128" t="str" cm="1">
        <f t="array" ref="P1128">IF(K1128=3,"",
  IFERROR(
    INDEX('Fairway Log'!$E$2:$V$70,
      MATCH(1,
        ('Fairway Log'!$A$2:$A$70=$A1128)*
        ('Fairway Log'!$B$2:$B$70=$B1128)*
        ('Fairway Log'!$C$2:$C1199=$C1128),
      0),
      MATCH($G1128,'Fairway Log'!$E$1:$V$1,0)
    ),
  "")
)</f>
        <v/>
      </c>
      <c r="Q1128" cm="1">
        <f t="array" ref="Q1128">IFERROR(
  INDEX('GIR Log'!$E$2:$V$70,
    MATCH(1,
      ('GIR Log'!$A$2:$A$70=$A1128)*
      ('GIR Log'!$B$2:$B$70=$B1128)*
      ('GIR Log'!$C$2:$C$70=$C1128),
    0),
    MATCH($G1128,'GIR Log'!$E$1:$V$1,0)
  ),
"")</f>
        <v>0</v>
      </c>
    </row>
    <row r="1129" spans="1:17" x14ac:dyDescent="0.25">
      <c r="A1129" s="51" t="s">
        <v>130</v>
      </c>
      <c r="B1129" s="2">
        <v>45172</v>
      </c>
      <c r="C1129" s="51" t="s">
        <v>3</v>
      </c>
      <c r="D1129" s="51" t="s">
        <v>3</v>
      </c>
      <c r="E1129" s="51" t="s">
        <v>34</v>
      </c>
      <c r="F1129">
        <v>82</v>
      </c>
      <c r="G1129" s="12" t="s">
        <v>58</v>
      </c>
      <c r="H1129" s="9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Log'!$E$2:$V$70,
    MATCH(1,
      ('Golf Log'!$A$2:$A$70=$A1129)*
      ('Golf Log'!$B$2:$B$70=$B1129)*
      ('Golf Log'!$C$2:$C$70=$C1129),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Log'!$E$2:$V$70,
    MATCH(1,
      ('Putt Log'!$A$2:$A$70=$A1129)*
      ('Putt Log'!$B$2:$B$70=$B1129)*
      ('Putt Log'!$C$2:$C$70=$C1129),
    0),
    MATCH($G1129,'Putt Log'!$E$1:$V$1,0)
  ),
"")</f>
        <v>1</v>
      </c>
      <c r="P1129" t="str" cm="1">
        <f t="array" ref="P1129">IF(K1129=3,"",
  IFERROR(
    INDEX('Fairway Log'!$E$2:$V$70,
      MATCH(1,
        ('Fairway Log'!$A$2:$A$70=$A1129)*
        ('Fairway Log'!$B$2:$B$70=$B1129)*
        ('Fairway Log'!$C$2:$C1200=$C1129),
      0),
      MATCH($G1129,'Fairway Log'!$E$1:$V$1,0)
    ),
  "")
)</f>
        <v>↑</v>
      </c>
      <c r="Q1129" cm="1">
        <f t="array" ref="Q1129">IFERROR(
  INDEX('GIR Log'!$E$2:$V$70,
    MATCH(1,
      ('GIR Log'!$A$2:$A$70=$A1129)*
      ('GIR Log'!$B$2:$B$70=$B1129)*
      ('GIR Log'!$C$2:$C$70=$C1129),
    0),
    MATCH($G1129,'GIR Log'!$E$1:$V$1,0)
  ),
"")</f>
        <v>1</v>
      </c>
    </row>
    <row r="1130" spans="1:17" x14ac:dyDescent="0.25">
      <c r="A1130" s="51" t="s">
        <v>130</v>
      </c>
      <c r="B1130" s="2">
        <v>45172</v>
      </c>
      <c r="C1130" s="51" t="s">
        <v>3</v>
      </c>
      <c r="D1130" s="51" t="s">
        <v>3</v>
      </c>
      <c r="E1130" s="51" t="s">
        <v>34</v>
      </c>
      <c r="F1130">
        <v>82</v>
      </c>
      <c r="G1130" s="12" t="s">
        <v>59</v>
      </c>
      <c r="H1130" s="9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Log'!$E$2:$V$70,
    MATCH(1,
      ('Golf Log'!$A$2:$A$70=$A1130)*
      ('Golf Log'!$B$2:$B$70=$B1130)*
      ('Golf Log'!$C$2:$C$70=$C1130),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Log'!$E$2:$V$70,
    MATCH(1,
      ('Putt Log'!$A$2:$A$70=$A1130)*
      ('Putt Log'!$B$2:$B$70=$B1130)*
      ('Putt Log'!$C$2:$C$70=$C1130),
    0),
    MATCH($G1130,'Putt Log'!$E$1:$V$1,0)
  ),
"")</f>
        <v>1</v>
      </c>
      <c r="P1130" t="str" cm="1">
        <f t="array" ref="P1130">IF(K1130=3,"",
  IFERROR(
    INDEX('Fairway Log'!$E$2:$V$70,
      MATCH(1,
        ('Fairway Log'!$A$2:$A$70=$A1130)*
        ('Fairway Log'!$B$2:$B$70=$B1130)*
        ('Fairway Log'!$C$2:$C1201=$C1130),
      0),
      MATCH($G1130,'Fairway Log'!$E$1:$V$1,0)
    ),
  "")
)</f>
        <v>→</v>
      </c>
      <c r="Q1130" cm="1">
        <f t="array" ref="Q1130">IFERROR(
  INDEX('GIR Log'!$E$2:$V$70,
    MATCH(1,
      ('GIR Log'!$A$2:$A$70=$A1130)*
      ('GIR Log'!$B$2:$B$70=$B1130)*
      ('GIR Log'!$C$2:$C$70=$C1130),
    0),
    MATCH($G1130,'GIR Log'!$E$1:$V$1,0)
  ),
"")</f>
        <v>0</v>
      </c>
    </row>
    <row r="1131" spans="1:17" x14ac:dyDescent="0.25">
      <c r="A1131" s="51" t="s">
        <v>130</v>
      </c>
      <c r="B1131" s="2">
        <v>45172</v>
      </c>
      <c r="C1131" s="51" t="s">
        <v>3</v>
      </c>
      <c r="D1131" s="51" t="s">
        <v>3</v>
      </c>
      <c r="E1131" s="51" t="s">
        <v>34</v>
      </c>
      <c r="F1131">
        <v>82</v>
      </c>
      <c r="G1131" s="12" t="s">
        <v>60</v>
      </c>
      <c r="H1131" s="9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Log'!$E$2:$V$70,
    MATCH(1,
      ('Golf Log'!$A$2:$A$70=$A1131)*
      ('Golf Log'!$B$2:$B$70=$B1131)*
      ('Golf Log'!$C$2:$C$70=$C1131),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Log'!$E$2:$V$70,
    MATCH(1,
      ('Putt Log'!$A$2:$A$70=$A1131)*
      ('Putt Log'!$B$2:$B$70=$B1131)*
      ('Putt Log'!$C$2:$C$70=$C1131),
    0),
    MATCH($G1131,'Putt Log'!$E$1:$V$1,0)
  ),
"")</f>
        <v>2</v>
      </c>
      <c r="P1131" t="str" cm="1">
        <f t="array" ref="P1131">IF(K1131=3,"",
  IFERROR(
    INDEX('Fairway Log'!$E$2:$V$70,
      MATCH(1,
        ('Fairway Log'!$A$2:$A$70=$A1131)*
        ('Fairway Log'!$B$2:$B$70=$B1131)*
        ('Fairway Log'!$C$2:$C1202=$C1131),
      0),
      MATCH($G1131,'Fairway Log'!$E$1:$V$1,0)
    ),
  "")
)</f>
        <v>→</v>
      </c>
      <c r="Q1131" cm="1">
        <f t="array" ref="Q1131">IFERROR(
  INDEX('GIR Log'!$E$2:$V$70,
    MATCH(1,
      ('GIR Log'!$A$2:$A$70=$A1131)*
      ('GIR Log'!$B$2:$B$70=$B1131)*
      ('GIR Log'!$C$2:$C$70=$C1131),
    0),
    MATCH($G1131,'GIR Log'!$E$1:$V$1,0)
  ),
"")</f>
        <v>0</v>
      </c>
    </row>
    <row r="1132" spans="1:17" x14ac:dyDescent="0.25">
      <c r="A1132" s="51" t="s">
        <v>130</v>
      </c>
      <c r="B1132" s="2">
        <v>45172</v>
      </c>
      <c r="C1132" s="51" t="s">
        <v>3</v>
      </c>
      <c r="D1132" s="51" t="s">
        <v>3</v>
      </c>
      <c r="E1132" s="51" t="s">
        <v>34</v>
      </c>
      <c r="F1132">
        <v>82</v>
      </c>
      <c r="G1132" s="12" t="s">
        <v>61</v>
      </c>
      <c r="H1132" s="9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Log'!$E$2:$V$70,
    MATCH(1,
      ('Golf Log'!$A$2:$A$70=$A1132)*
      ('Golf Log'!$B$2:$B$70=$B1132)*
      ('Golf Log'!$C$2:$C$70=$C1132),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Log'!$E$2:$V$70,
    MATCH(1,
      ('Putt Log'!$A$2:$A$70=$A1132)*
      ('Putt Log'!$B$2:$B$70=$B1132)*
      ('Putt Log'!$C$2:$C$70=$C1132),
    0),
    MATCH($G1132,'Putt Log'!$E$1:$V$1,0)
  ),
"")</f>
        <v>1</v>
      </c>
      <c r="P1132" t="str" cm="1">
        <f t="array" ref="P1132">IF(K1132=3,"",
  IFERROR(
    INDEX('Fairway Log'!$E$2:$V$70,
      MATCH(1,
        ('Fairway Log'!$A$2:$A$70=$A1132)*
        ('Fairway Log'!$B$2:$B$70=$B1132)*
        ('Fairway Log'!$C$2:$C1203=$C1132),
      0),
      MATCH($G1132,'Fairway Log'!$E$1:$V$1,0)
    ),
  "")
)</f>
        <v/>
      </c>
      <c r="Q1132" cm="1">
        <f t="array" ref="Q1132">IFERROR(
  INDEX('GIR Log'!$E$2:$V$70,
    MATCH(1,
      ('GIR Log'!$A$2:$A$70=$A1132)*
      ('GIR Log'!$B$2:$B$70=$B1132)*
      ('GIR Log'!$C$2:$C$70=$C1132),
    0),
    MATCH($G1132,'GIR Log'!$E$1:$V$1,0)
  ),
"")</f>
        <v>0</v>
      </c>
    </row>
    <row r="1133" spans="1:17" x14ac:dyDescent="0.25">
      <c r="A1133" s="51" t="s">
        <v>130</v>
      </c>
      <c r="B1133" s="2">
        <v>45172</v>
      </c>
      <c r="C1133" s="51" t="s">
        <v>3</v>
      </c>
      <c r="D1133" s="51" t="s">
        <v>3</v>
      </c>
      <c r="E1133" s="51" t="s">
        <v>34</v>
      </c>
      <c r="F1133">
        <v>82</v>
      </c>
      <c r="G1133" s="12" t="s">
        <v>62</v>
      </c>
      <c r="H1133" s="9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Log'!$E$2:$V$70,
    MATCH(1,
      ('Golf Log'!$A$2:$A$70=$A1133)*
      ('Golf Log'!$B$2:$B$70=$B1133)*
      ('Golf Log'!$C$2:$C$70=$C1133),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Log'!$E$2:$V$70,
    MATCH(1,
      ('Putt Log'!$A$2:$A$70=$A1133)*
      ('Putt Log'!$B$2:$B$70=$B1133)*
      ('Putt Log'!$C$2:$C$70=$C1133),
    0),
    MATCH($G1133,'Putt Log'!$E$1:$V$1,0)
  ),
"")</f>
        <v>1</v>
      </c>
      <c r="P1133" cm="1">
        <f t="array" ref="P1133">IF(K1133=3,"",
  IFERROR(
    INDEX('Fairway Log'!$E$2:$V$70,
      MATCH(1,
        ('Fairway Log'!$A$2:$A$70=$A1133)*
        ('Fairway Log'!$B$2:$B$70=$B1133)*
        ('Fairway Log'!$C$2:$C1204=$C1133),
      0),
      MATCH($G1133,'Fairway Log'!$E$1:$V$1,0)
    ),
  "")
)</f>
        <v>1</v>
      </c>
      <c r="Q1133" cm="1">
        <f t="array" ref="Q1133">IFERROR(
  INDEX('GIR Log'!$E$2:$V$70,
    MATCH(1,
      ('GIR Log'!$A$2:$A$70=$A1133)*
      ('GIR Log'!$B$2:$B$70=$B1133)*
      ('GIR Log'!$C$2:$C$70=$C1133),
    0),
    MATCH($G1133,'GIR Log'!$E$1:$V$1,0)
  ),
"")</f>
        <v>0</v>
      </c>
    </row>
    <row r="1134" spans="1:17" x14ac:dyDescent="0.25">
      <c r="A1134" s="51" t="s">
        <v>130</v>
      </c>
      <c r="B1134" s="2">
        <v>45172</v>
      </c>
      <c r="C1134" s="51" t="s">
        <v>3</v>
      </c>
      <c r="D1134" s="51" t="s">
        <v>3</v>
      </c>
      <c r="E1134" s="51" t="s">
        <v>34</v>
      </c>
      <c r="F1134">
        <v>82</v>
      </c>
      <c r="G1134" s="12" t="s">
        <v>63</v>
      </c>
      <c r="H1134" s="9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Log'!$E$2:$V$70,
    MATCH(1,
      ('Golf Log'!$A$2:$A$70=$A1134)*
      ('Golf Log'!$B$2:$B$70=$B1134)*
      ('Golf Log'!$C$2:$C$70=$C1134),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Log'!$E$2:$V$70,
    MATCH(1,
      ('Putt Log'!$A$2:$A$70=$A1134)*
      ('Putt Log'!$B$2:$B$70=$B1134)*
      ('Putt Log'!$C$2:$C$70=$C1134),
    0),
    MATCH($G1134,'Putt Log'!$E$1:$V$1,0)
  ),
"")</f>
        <v>2</v>
      </c>
      <c r="P1134" t="str" cm="1">
        <f t="array" ref="P1134">IF(K1134=3,"",
  IFERROR(
    INDEX('Fairway Log'!$E$2:$V$70,
      MATCH(1,
        ('Fairway Log'!$A$2:$A$70=$A1134)*
        ('Fairway Log'!$B$2:$B$70=$B1134)*
        ('Fairway Log'!$C$2:$C1205=$C1134),
      0),
      MATCH($G1134,'Fairway Log'!$E$1:$V$1,0)
    ),
  "")
)</f>
        <v>↑</v>
      </c>
      <c r="Q1134" cm="1">
        <f t="array" ref="Q1134">IFERROR(
  INDEX('GIR Log'!$E$2:$V$70,
    MATCH(1,
      ('GIR Log'!$A$2:$A$70=$A1134)*
      ('GIR Log'!$B$2:$B$70=$B1134)*
      ('GIR Log'!$C$2:$C$70=$C1134),
    0),
    MATCH($G1134,'GIR Log'!$E$1:$V$1,0)
  ),
"")</f>
        <v>0</v>
      </c>
    </row>
    <row r="1135" spans="1:17" x14ac:dyDescent="0.25">
      <c r="A1135" s="51" t="s">
        <v>130</v>
      </c>
      <c r="B1135" s="2">
        <v>45172</v>
      </c>
      <c r="C1135" s="51" t="s">
        <v>3</v>
      </c>
      <c r="D1135" s="51" t="s">
        <v>3</v>
      </c>
      <c r="E1135" s="51" t="s">
        <v>34</v>
      </c>
      <c r="F1135">
        <v>82</v>
      </c>
      <c r="G1135" s="12" t="s">
        <v>64</v>
      </c>
      <c r="H1135" s="9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Log'!$E$2:$V$70,
    MATCH(1,
      ('Golf Log'!$A$2:$A$70=$A1135)*
      ('Golf Log'!$B$2:$B$70=$B1135)*
      ('Golf Log'!$C$2:$C$70=$C1135),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Log'!$E$2:$V$70,
    MATCH(1,
      ('Putt Log'!$A$2:$A$70=$A1135)*
      ('Putt Log'!$B$2:$B$70=$B1135)*
      ('Putt Log'!$C$2:$C$70=$C1135),
    0),
    MATCH($G1135,'Putt Log'!$E$1:$V$1,0)
  ),
"")</f>
        <v>2</v>
      </c>
      <c r="P1135" t="str" cm="1">
        <f t="array" ref="P1135">IF(K1135=3,"",
  IFERROR(
    INDEX('Fairway Log'!$E$2:$V$70,
      MATCH(1,
        ('Fairway Log'!$A$2:$A$70=$A1135)*
        ('Fairway Log'!$B$2:$B$70=$B1135)*
        ('Fairway Log'!$C$2:$C1206=$C1135),
      0),
      MATCH($G1135,'Fairway Log'!$E$1:$V$1,0)
    ),
  "")
)</f>
        <v>→</v>
      </c>
      <c r="Q1135" cm="1">
        <f t="array" ref="Q1135">IFERROR(
  INDEX('GIR Log'!$E$2:$V$70,
    MATCH(1,
      ('GIR Log'!$A$2:$A$70=$A1135)*
      ('GIR Log'!$B$2:$B$70=$B1135)*
      ('GIR Log'!$C$2:$C$70=$C1135),
    0),
    MATCH($G1135,'GIR Log'!$E$1:$V$1,0)
  ),
"")</f>
        <v>0</v>
      </c>
    </row>
    <row r="1136" spans="1:17" x14ac:dyDescent="0.25">
      <c r="A1136" s="68" t="s">
        <v>126</v>
      </c>
      <c r="B1136" s="2">
        <v>45941</v>
      </c>
      <c r="C1136" s="68" t="s">
        <v>12</v>
      </c>
      <c r="D1136" s="68" t="s">
        <v>76</v>
      </c>
      <c r="E1136" s="68" t="s">
        <v>36</v>
      </c>
      <c r="F1136">
        <v>91</v>
      </c>
      <c r="G1136" t="s">
        <v>47</v>
      </c>
      <c r="H1136" s="9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Log'!$E$2:$V$70,
    MATCH(1,
      ('Golf Log'!$A$2:$A$70=$A1136)*
      ('Golf Log'!$B$2:$B$70=$B1136)*
      ('Golf Log'!$C$2:$C$70=$C1136),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Log'!$E$2:$V$70,
    MATCH(1,
      ('Putt Log'!$A$2:$A$70=$A1136)*
      ('Putt Log'!$B$2:$B$70=$B1136)*
      ('Putt Log'!$C$2:$C$70=$C1136),
    0),
    MATCH($G1136,'Putt Log'!$E$1:$V$1,0)
  ),
"")</f>
        <v>2</v>
      </c>
      <c r="P1136" t="str" cm="1">
        <f t="array" ref="P1136">IF(K1136=3,"",
  IFERROR(
    INDEX('Fairway Log'!$E$2:$V$70,
      MATCH(1,
        ('Fairway Log'!$A$2:$A$70=$A1136)*
        ('Fairway Log'!$B$2:$B$70=$B1136)*
        ('Fairway Log'!$C$2:$C1207=$C1136),
      0),
      MATCH($G1136,'Fairway Log'!$E$1:$V$1,0)
    ),
  "")
)</f>
        <v>←</v>
      </c>
      <c r="Q1136" t="str" cm="1">
        <f t="array" ref="Q1136">IFERROR(
  INDEX('GIR Log'!$E$2:$V$70,
    MATCH(1,
      ('GIR Log'!$A$2:$A$70=$A1136)*
      ('GIR Log'!$B$2:$B$70=$B1136)*
      ('GIR Log'!$C$2:$C$70=$C1136),
    0),
    MATCH($G1136,'GIR Log'!$E$1:$V$1,0)
  ),
"")</f>
        <v>↓</v>
      </c>
    </row>
    <row r="1137" spans="1:17" x14ac:dyDescent="0.25">
      <c r="A1137" s="68" t="s">
        <v>126</v>
      </c>
      <c r="B1137" s="2">
        <v>45941</v>
      </c>
      <c r="C1137" s="68" t="s">
        <v>12</v>
      </c>
      <c r="D1137" s="68" t="s">
        <v>76</v>
      </c>
      <c r="E1137" s="68" t="s">
        <v>36</v>
      </c>
      <c r="F1137">
        <v>91</v>
      </c>
      <c r="G1137" t="s">
        <v>48</v>
      </c>
      <c r="H1137" s="9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Log'!$E$2:$V$70,
    MATCH(1,
      ('Golf Log'!$A$2:$A$70=$A1137)*
      ('Golf Log'!$B$2:$B$70=$B1137)*
      ('Golf Log'!$C$2:$C$70=$C1137),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Log'!$E$2:$V$70,
    MATCH(1,
      ('Putt Log'!$A$2:$A$70=$A1137)*
      ('Putt Log'!$B$2:$B$70=$B1137)*
      ('Putt Log'!$C$2:$C$70=$C1137),
    0),
    MATCH($G1137,'Putt Log'!$E$1:$V$1,0)
  ),
"")</f>
        <v>2</v>
      </c>
      <c r="P1137" cm="1">
        <f t="array" ref="P1137">IF(K1137=3,"",
  IFERROR(
    INDEX('Fairway Log'!$E$2:$V$70,
      MATCH(1,
        ('Fairway Log'!$A$2:$A$70=$A1137)*
        ('Fairway Log'!$B$2:$B$70=$B1137)*
        ('Fairway Log'!$C$2:$C1208=$C1137),
      0),
      MATCH($G1137,'Fairway Log'!$E$1:$V$1,0)
    ),
  "")
)</f>
        <v>1</v>
      </c>
      <c r="Q1137" t="str" cm="1">
        <f t="array" ref="Q1137">IFERROR(
  INDEX('GIR Log'!$E$2:$V$70,
    MATCH(1,
      ('GIR Log'!$A$2:$A$70=$A1137)*
      ('GIR Log'!$B$2:$B$70=$B1137)*
      ('GIR Log'!$C$2:$C$70=$C1137),
    0),
    MATCH($G1137,'GIR Log'!$E$1:$V$1,0)
  ),
"")</f>
        <v>↑</v>
      </c>
    </row>
    <row r="1138" spans="1:17" x14ac:dyDescent="0.25">
      <c r="A1138" s="68" t="s">
        <v>126</v>
      </c>
      <c r="B1138" s="2">
        <v>45941</v>
      </c>
      <c r="C1138" s="68" t="s">
        <v>12</v>
      </c>
      <c r="D1138" s="68" t="s">
        <v>76</v>
      </c>
      <c r="E1138" s="68" t="s">
        <v>36</v>
      </c>
      <c r="F1138">
        <v>91</v>
      </c>
      <c r="G1138" t="s">
        <v>49</v>
      </c>
      <c r="H1138" s="9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Log'!$E$2:$V$70,
    MATCH(1,
      ('Golf Log'!$A$2:$A$70=$A1138)*
      ('Golf Log'!$B$2:$B$70=$B1138)*
      ('Golf Log'!$C$2:$C$70=$C1138),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Log'!$E$2:$V$70,
    MATCH(1,
      ('Putt Log'!$A$2:$A$70=$A1138)*
      ('Putt Log'!$B$2:$B$70=$B1138)*
      ('Putt Log'!$C$2:$C$70=$C1138),
    0),
    MATCH($G1138,'Putt Log'!$E$1:$V$1,0)
  ),
"")</f>
        <v>2</v>
      </c>
      <c r="P1138" t="str" cm="1">
        <f t="array" ref="P1138">IF(K1138=3,"",
  IFERROR(
    INDEX('Fairway Log'!$E$2:$V$70,
      MATCH(1,
        ('Fairway Log'!$A$2:$A$70=$A1138)*
        ('Fairway Log'!$B$2:$B$70=$B1138)*
        ('Fairway Log'!$C$2:$C1209=$C1138),
      0),
      MATCH($G1138,'Fairway Log'!$E$1:$V$1,0)
    ),
  "")
)</f>
        <v>→</v>
      </c>
      <c r="Q1138" t="str" cm="1">
        <f t="array" ref="Q1138">IFERROR(
  INDEX('GIR Log'!$E$2:$V$70,
    MATCH(1,
      ('GIR Log'!$A$2:$A$70=$A1138)*
      ('GIR Log'!$B$2:$B$70=$B1138)*
      ('GIR Log'!$C$2:$C$70=$C1138),
    0),
    MATCH($G1138,'GIR Log'!$E$1:$V$1,0)
  ),
"")</f>
        <v>↓</v>
      </c>
    </row>
    <row r="1139" spans="1:17" x14ac:dyDescent="0.25">
      <c r="A1139" s="68" t="s">
        <v>126</v>
      </c>
      <c r="B1139" s="2">
        <v>45941</v>
      </c>
      <c r="C1139" s="68" t="s">
        <v>12</v>
      </c>
      <c r="D1139" s="68" t="s">
        <v>76</v>
      </c>
      <c r="E1139" s="68" t="s">
        <v>36</v>
      </c>
      <c r="F1139">
        <v>91</v>
      </c>
      <c r="G1139" t="s">
        <v>50</v>
      </c>
      <c r="H1139" s="9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Log'!$E$2:$V$70,
    MATCH(1,
      ('Golf Log'!$A$2:$A$70=$A1139)*
      ('Golf Log'!$B$2:$B$70=$B1139)*
      ('Golf Log'!$C$2:$C$70=$C1139),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Log'!$E$2:$V$70,
    MATCH(1,
      ('Putt Log'!$A$2:$A$70=$A1139)*
      ('Putt Log'!$B$2:$B$70=$B1139)*
      ('Putt Log'!$C$2:$C$70=$C1139),
    0),
    MATCH($G1139,'Putt Log'!$E$1:$V$1,0)
  ),
"")</f>
        <v>2</v>
      </c>
      <c r="P1139" t="str" cm="1">
        <f t="array" ref="P1139">IF(K1139=3,"",
  IFERROR(
    INDEX('Fairway Log'!$E$2:$V$70,
      MATCH(1,
        ('Fairway Log'!$A$2:$A$70=$A1139)*
        ('Fairway Log'!$B$2:$B$70=$B1139)*
        ('Fairway Log'!$C$2:$C1210=$C1139),
      0),
      MATCH($G1139,'Fairway Log'!$E$1:$V$1,0)
    ),
  "")
)</f>
        <v>←</v>
      </c>
      <c r="Q1139" t="str" cm="1">
        <f t="array" ref="Q1139">IFERROR(
  INDEX('GIR Log'!$E$2:$V$70,
    MATCH(1,
      ('GIR Log'!$A$2:$A$70=$A1139)*
      ('GIR Log'!$B$2:$B$70=$B1139)*
      ('GIR Log'!$C$2:$C$70=$C1139),
    0),
    MATCH($G1139,'GIR Log'!$E$1:$V$1,0)
  ),
"")</f>
        <v>↓</v>
      </c>
    </row>
    <row r="1140" spans="1:17" x14ac:dyDescent="0.25">
      <c r="A1140" s="68" t="s">
        <v>126</v>
      </c>
      <c r="B1140" s="2">
        <v>45941</v>
      </c>
      <c r="C1140" s="68" t="s">
        <v>12</v>
      </c>
      <c r="D1140" s="68" t="s">
        <v>76</v>
      </c>
      <c r="E1140" s="68" t="s">
        <v>36</v>
      </c>
      <c r="F1140">
        <v>91</v>
      </c>
      <c r="G1140" t="s">
        <v>51</v>
      </c>
      <c r="H1140" s="9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Log'!$E$2:$V$70,
    MATCH(1,
      ('Golf Log'!$A$2:$A$70=$A1140)*
      ('Golf Log'!$B$2:$B$70=$B1140)*
      ('Golf Log'!$C$2:$C$70=$C1140),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Log'!$E$2:$V$70,
    MATCH(1,
      ('Putt Log'!$A$2:$A$70=$A1140)*
      ('Putt Log'!$B$2:$B$70=$B1140)*
      ('Putt Log'!$C$2:$C$70=$C1140),
    0),
    MATCH($G1140,'Putt Log'!$E$1:$V$1,0)
  ),
"")</f>
        <v>1</v>
      </c>
      <c r="P1140" t="str" cm="1">
        <f t="array" ref="P1140">IF(K1140=3,"",
  IFERROR(
    INDEX('Fairway Log'!$E$2:$V$70,
      MATCH(1,
        ('Fairway Log'!$A$2:$A$70=$A1140)*
        ('Fairway Log'!$B$2:$B$70=$B1140)*
        ('Fairway Log'!$C$2:$C1211=$C1140),
      0),
      MATCH($G1140,'Fairway Log'!$E$1:$V$1,0)
    ),
  "")
)</f>
        <v>→</v>
      </c>
      <c r="Q1140" t="str" cm="1">
        <f t="array" ref="Q1140">IFERROR(
  INDEX('GIR Log'!$E$2:$V$70,
    MATCH(1,
      ('GIR Log'!$A$2:$A$70=$A1140)*
      ('GIR Log'!$B$2:$B$70=$B1140)*
      ('GIR Log'!$C$2:$C$70=$C1140),
    0),
    MATCH($G1140,'GIR Log'!$E$1:$V$1,0)
  ),
"")</f>
        <v>↓</v>
      </c>
    </row>
    <row r="1141" spans="1:17" x14ac:dyDescent="0.25">
      <c r="A1141" s="68" t="s">
        <v>126</v>
      </c>
      <c r="B1141" s="2">
        <v>45941</v>
      </c>
      <c r="C1141" s="68" t="s">
        <v>12</v>
      </c>
      <c r="D1141" s="68" t="s">
        <v>76</v>
      </c>
      <c r="E1141" s="68" t="s">
        <v>36</v>
      </c>
      <c r="F1141">
        <v>91</v>
      </c>
      <c r="G1141" t="s">
        <v>52</v>
      </c>
      <c r="H1141" s="9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Log'!$E$2:$V$70,
    MATCH(1,
      ('Golf Log'!$A$2:$A$70=$A1141)*
      ('Golf Log'!$B$2:$B$70=$B1141)*
      ('Golf Log'!$C$2:$C$70=$C1141),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Log'!$E$2:$V$70,
    MATCH(1,
      ('Putt Log'!$A$2:$A$70=$A1141)*
      ('Putt Log'!$B$2:$B$70=$B1141)*
      ('Putt Log'!$C$2:$C$70=$C1141),
    0),
    MATCH($G1141,'Putt Log'!$E$1:$V$1,0)
  ),
"")</f>
        <v>1</v>
      </c>
      <c r="P1141" t="str" cm="1">
        <f t="array" ref="P1141">IF(K1141=3,"",
  IFERROR(
    INDEX('Fairway Log'!$E$2:$V$70,
      MATCH(1,
        ('Fairway Log'!$A$2:$A$70=$A1141)*
        ('Fairway Log'!$B$2:$B$70=$B1141)*
        ('Fairway Log'!$C$2:$C1212=$C1141),
      0),
      MATCH($G1141,'Fairway Log'!$E$1:$V$1,0)
    ),
  "")
)</f>
        <v/>
      </c>
      <c r="Q1141" t="str" cm="1">
        <f t="array" ref="Q1141">IFERROR(
  INDEX('GIR Log'!$E$2:$V$70,
    MATCH(1,
      ('GIR Log'!$A$2:$A$70=$A1141)*
      ('GIR Log'!$B$2:$B$70=$B1141)*
      ('GIR Log'!$C$2:$C$70=$C1141),
    0),
    MATCH($G1141,'GIR Log'!$E$1:$V$1,0)
  ),
"")</f>
        <v>↓</v>
      </c>
    </row>
    <row r="1142" spans="1:17" x14ac:dyDescent="0.25">
      <c r="A1142" s="68" t="s">
        <v>126</v>
      </c>
      <c r="B1142" s="2">
        <v>45941</v>
      </c>
      <c r="C1142" s="68" t="s">
        <v>12</v>
      </c>
      <c r="D1142" s="68" t="s">
        <v>76</v>
      </c>
      <c r="E1142" s="68" t="s">
        <v>36</v>
      </c>
      <c r="F1142">
        <v>91</v>
      </c>
      <c r="G1142" t="s">
        <v>53</v>
      </c>
      <c r="H1142" s="9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Log'!$E$2:$V$70,
    MATCH(1,
      ('Golf Log'!$A$2:$A$70=$A1142)*
      ('Golf Log'!$B$2:$B$70=$B1142)*
      ('Golf Log'!$C$2:$C$70=$C1142),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Log'!$E$2:$V$70,
    MATCH(1,
      ('Putt Log'!$A$2:$A$70=$A1142)*
      ('Putt Log'!$B$2:$B$70=$B1142)*
      ('Putt Log'!$C$2:$C$70=$C1142),
    0),
    MATCH($G1142,'Putt Log'!$E$1:$V$1,0)
  ),
"")</f>
        <v>1</v>
      </c>
      <c r="P1142" t="str" cm="1">
        <f t="array" ref="P1142">IF(K1142=3,"",
  IFERROR(
    INDEX('Fairway Log'!$E$2:$V$70,
      MATCH(1,
        ('Fairway Log'!$A$2:$A$70=$A1142)*
        ('Fairway Log'!$B$2:$B$70=$B1142)*
        ('Fairway Log'!$C$2:$C1213=$C1142),
      0),
      MATCH($G1142,'Fairway Log'!$E$1:$V$1,0)
    ),
  "")
)</f>
        <v>→</v>
      </c>
      <c r="Q1142" t="str" cm="1">
        <f t="array" ref="Q1142">IFERROR(
  INDEX('GIR Log'!$E$2:$V$70,
    MATCH(1,
      ('GIR Log'!$A$2:$A$70=$A1142)*
      ('GIR Log'!$B$2:$B$70=$B1142)*
      ('GIR Log'!$C$2:$C$70=$C1142),
    0),
    MATCH($G1142,'GIR Log'!$E$1:$V$1,0)
  ),
"")</f>
        <v>↓</v>
      </c>
    </row>
    <row r="1143" spans="1:17" x14ac:dyDescent="0.25">
      <c r="A1143" s="68" t="s">
        <v>126</v>
      </c>
      <c r="B1143" s="2">
        <v>45941</v>
      </c>
      <c r="C1143" s="68" t="s">
        <v>12</v>
      </c>
      <c r="D1143" s="68" t="s">
        <v>76</v>
      </c>
      <c r="E1143" s="68" t="s">
        <v>36</v>
      </c>
      <c r="F1143">
        <v>91</v>
      </c>
      <c r="G1143" t="s">
        <v>54</v>
      </c>
      <c r="H1143" s="9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Log'!$E$2:$V$70,
    MATCH(1,
      ('Golf Log'!$A$2:$A$70=$A1143)*
      ('Golf Log'!$B$2:$B$70=$B1143)*
      ('Golf Log'!$C$2:$C$70=$C1143),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Log'!$E$2:$V$70,
    MATCH(1,
      ('Putt Log'!$A$2:$A$70=$A1143)*
      ('Putt Log'!$B$2:$B$70=$B1143)*
      ('Putt Log'!$C$2:$C$70=$C1143),
    0),
    MATCH($G1143,'Putt Log'!$E$1:$V$1,0)
  ),
"")</f>
        <v>1</v>
      </c>
      <c r="P1143" t="str" cm="1">
        <f t="array" ref="P1143">IF(K1143=3,"",
  IFERROR(
    INDEX('Fairway Log'!$E$2:$V$70,
      MATCH(1,
        ('Fairway Log'!$A$2:$A$70=$A1143)*
        ('Fairway Log'!$B$2:$B$70=$B1143)*
        ('Fairway Log'!$C$2:$C1214=$C1143),
      0),
      MATCH($G1143,'Fairway Log'!$E$1:$V$1,0)
    ),
  "")
)</f>
        <v/>
      </c>
      <c r="Q1143" t="str" cm="1">
        <f t="array" ref="Q1143">IFERROR(
  INDEX('GIR Log'!$E$2:$V$70,
    MATCH(1,
      ('GIR Log'!$A$2:$A$70=$A1143)*
      ('GIR Log'!$B$2:$B$70=$B1143)*
      ('GIR Log'!$C$2:$C$70=$C1143),
    0),
    MATCH($G1143,'GIR Log'!$E$1:$V$1,0)
  ),
"")</f>
        <v>←</v>
      </c>
    </row>
    <row r="1144" spans="1:17" x14ac:dyDescent="0.25">
      <c r="A1144" s="68" t="s">
        <v>126</v>
      </c>
      <c r="B1144" s="2">
        <v>45941</v>
      </c>
      <c r="C1144" s="68" t="s">
        <v>12</v>
      </c>
      <c r="D1144" s="68" t="s">
        <v>76</v>
      </c>
      <c r="E1144" s="68" t="s">
        <v>36</v>
      </c>
      <c r="F1144">
        <v>91</v>
      </c>
      <c r="G1144" t="s">
        <v>55</v>
      </c>
      <c r="H1144" s="9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Log'!$E$2:$V$70,
    MATCH(1,
      ('Golf Log'!$A$2:$A$70=$A1144)*
      ('Golf Log'!$B$2:$B$70=$B1144)*
      ('Golf Log'!$C$2:$C$70=$C1144),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Log'!$E$2:$V$70,
    MATCH(1,
      ('Putt Log'!$A$2:$A$70=$A1144)*
      ('Putt Log'!$B$2:$B$70=$B1144)*
      ('Putt Log'!$C$2:$C$70=$C1144),
    0),
    MATCH($G1144,'Putt Log'!$E$1:$V$1,0)
  ),
"")</f>
        <v>2</v>
      </c>
      <c r="P1144" t="str" cm="1">
        <f t="array" ref="P1144">IF(K1144=3,"",
  IFERROR(
    INDEX('Fairway Log'!$E$2:$V$70,
      MATCH(1,
        ('Fairway Log'!$A$2:$A$70=$A1144)*
        ('Fairway Log'!$B$2:$B$70=$B1144)*
        ('Fairway Log'!$C$2:$C1215=$C1144),
      0),
      MATCH($G1144,'Fairway Log'!$E$1:$V$1,0)
    ),
  "")
)</f>
        <v>→</v>
      </c>
      <c r="Q1144" t="str" cm="1">
        <f t="array" ref="Q1144">IFERROR(
  INDEX('GIR Log'!$E$2:$V$70,
    MATCH(1,
      ('GIR Log'!$A$2:$A$70=$A1144)*
      ('GIR Log'!$B$2:$B$70=$B1144)*
      ('GIR Log'!$C$2:$C$70=$C1144),
    0),
    MATCH($G1144,'GIR Log'!$E$1:$V$1,0)
  ),
"")</f>
        <v>↓</v>
      </c>
    </row>
    <row r="1145" spans="1:17" x14ac:dyDescent="0.25">
      <c r="A1145" s="68" t="s">
        <v>126</v>
      </c>
      <c r="B1145" s="2">
        <v>45941</v>
      </c>
      <c r="C1145" s="68" t="s">
        <v>12</v>
      </c>
      <c r="D1145" s="68" t="s">
        <v>76</v>
      </c>
      <c r="E1145" s="68" t="s">
        <v>36</v>
      </c>
      <c r="F1145">
        <v>91</v>
      </c>
      <c r="G1145" t="s">
        <v>56</v>
      </c>
      <c r="H1145" s="9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Log'!$E$2:$V$70,
    MATCH(1,
      ('Golf Log'!$A$2:$A$70=$A1145)*
      ('Golf Log'!$B$2:$B$70=$B1145)*
      ('Golf Log'!$C$2:$C$70=$C1145),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Log'!$E$2:$V$70,
    MATCH(1,
      ('Putt Log'!$A$2:$A$70=$A1145)*
      ('Putt Log'!$B$2:$B$70=$B1145)*
      ('Putt Log'!$C$2:$C$70=$C1145),
    0),
    MATCH($G1145,'Putt Log'!$E$1:$V$1,0)
  ),
"")</f>
        <v>1</v>
      </c>
      <c r="P1145" t="str" cm="1">
        <f t="array" ref="P1145">IF(K1145=3,"",
  IFERROR(
    INDEX('Fairway Log'!$E$2:$V$70,
      MATCH(1,
        ('Fairway Log'!$A$2:$A$70=$A1145)*
        ('Fairway Log'!$B$2:$B$70=$B1145)*
        ('Fairway Log'!$C$2:$C1216=$C1145),
      0),
      MATCH($G1145,'Fairway Log'!$E$1:$V$1,0)
    ),
  "")
)</f>
        <v>→</v>
      </c>
      <c r="Q1145" t="str" cm="1">
        <f t="array" ref="Q1145">IFERROR(
  INDEX('GIR Log'!$E$2:$V$70,
    MATCH(1,
      ('GIR Log'!$A$2:$A$70=$A1145)*
      ('GIR Log'!$B$2:$B$70=$B1145)*
      ('GIR Log'!$C$2:$C$70=$C1145),
    0),
    MATCH($G1145,'GIR Log'!$E$1:$V$1,0)
  ),
"")</f>
        <v>↑</v>
      </c>
    </row>
    <row r="1146" spans="1:17" x14ac:dyDescent="0.25">
      <c r="A1146" s="68" t="s">
        <v>126</v>
      </c>
      <c r="B1146" s="2">
        <v>45941</v>
      </c>
      <c r="C1146" s="68" t="s">
        <v>12</v>
      </c>
      <c r="D1146" s="68" t="s">
        <v>76</v>
      </c>
      <c r="E1146" s="68" t="s">
        <v>36</v>
      </c>
      <c r="F1146">
        <v>91</v>
      </c>
      <c r="G1146" t="s">
        <v>57</v>
      </c>
      <c r="H1146" s="9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Log'!$E$2:$V$70,
    MATCH(1,
      ('Golf Log'!$A$2:$A$70=$A1146)*
      ('Golf Log'!$B$2:$B$70=$B1146)*
      ('Golf Log'!$C$2:$C$70=$C1146),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Log'!$E$2:$V$70,
    MATCH(1,
      ('Putt Log'!$A$2:$A$70=$A1146)*
      ('Putt Log'!$B$2:$B$70=$B1146)*
      ('Putt Log'!$C$2:$C$70=$C1146),
    0),
    MATCH($G1146,'Putt Log'!$E$1:$V$1,0)
  ),
"")</f>
        <v>1</v>
      </c>
      <c r="P1146" t="str" cm="1">
        <f t="array" ref="P1146">IF(K1146=3,"",
  IFERROR(
    INDEX('Fairway Log'!$E$2:$V$70,
      MATCH(1,
        ('Fairway Log'!$A$2:$A$70=$A1146)*
        ('Fairway Log'!$B$2:$B$70=$B1146)*
        ('Fairway Log'!$C$2:$C1217=$C1146),
      0),
      MATCH($G1146,'Fairway Log'!$E$1:$V$1,0)
    ),
  "")
)</f>
        <v>→</v>
      </c>
      <c r="Q1146" t="str" cm="1">
        <f t="array" ref="Q1146">IFERROR(
  INDEX('GIR Log'!$E$2:$V$70,
    MATCH(1,
      ('GIR Log'!$A$2:$A$70=$A1146)*
      ('GIR Log'!$B$2:$B$70=$B1146)*
      ('GIR Log'!$C$2:$C$70=$C1146),
    0),
    MATCH($G1146,'GIR Log'!$E$1:$V$1,0)
  ),
"")</f>
        <v>↓</v>
      </c>
    </row>
    <row r="1147" spans="1:17" x14ac:dyDescent="0.25">
      <c r="A1147" s="68" t="s">
        <v>126</v>
      </c>
      <c r="B1147" s="2">
        <v>45941</v>
      </c>
      <c r="C1147" s="68" t="s">
        <v>12</v>
      </c>
      <c r="D1147" s="68" t="s">
        <v>76</v>
      </c>
      <c r="E1147" s="68" t="s">
        <v>36</v>
      </c>
      <c r="F1147">
        <v>91</v>
      </c>
      <c r="G1147" t="s">
        <v>58</v>
      </c>
      <c r="H1147" s="9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Log'!$E$2:$V$70,
    MATCH(1,
      ('Golf Log'!$A$2:$A$70=$A1147)*
      ('Golf Log'!$B$2:$B$70=$B1147)*
      ('Golf Log'!$C$2:$C$70=$C1147),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Log'!$E$2:$V$70,
    MATCH(1,
      ('Putt Log'!$A$2:$A$70=$A1147)*
      ('Putt Log'!$B$2:$B$70=$B1147)*
      ('Putt Log'!$C$2:$C$70=$C1147),
    0),
    MATCH($G1147,'Putt Log'!$E$1:$V$1,0)
  ),
"")</f>
        <v>2</v>
      </c>
      <c r="P1147" t="str" cm="1">
        <f t="array" ref="P1147">IF(K1147=3,"",
  IFERROR(
    INDEX('Fairway Log'!$E$2:$V$70,
      MATCH(1,
        ('Fairway Log'!$A$2:$A$70=$A1147)*
        ('Fairway Log'!$B$2:$B$70=$B1147)*
        ('Fairway Log'!$C$2:$C1218=$C1147),
      0),
      MATCH($G1147,'Fairway Log'!$E$1:$V$1,0)
    ),
  "")
)</f>
        <v/>
      </c>
      <c r="Q1147" t="str" cm="1">
        <f t="array" ref="Q1147">IFERROR(
  INDEX('GIR Log'!$E$2:$V$70,
    MATCH(1,
      ('GIR Log'!$A$2:$A$70=$A1147)*
      ('GIR Log'!$B$2:$B$70=$B1147)*
      ('GIR Log'!$C$2:$C$70=$C1147),
    0),
    MATCH($G1147,'GIR Log'!$E$1:$V$1,0)
  ),
"")</f>
        <v>↓</v>
      </c>
    </row>
    <row r="1148" spans="1:17" x14ac:dyDescent="0.25">
      <c r="A1148" s="68" t="s">
        <v>126</v>
      </c>
      <c r="B1148" s="2">
        <v>45941</v>
      </c>
      <c r="C1148" s="68" t="s">
        <v>12</v>
      </c>
      <c r="D1148" s="68" t="s">
        <v>76</v>
      </c>
      <c r="E1148" s="68" t="s">
        <v>36</v>
      </c>
      <c r="F1148">
        <v>91</v>
      </c>
      <c r="G1148" t="s">
        <v>59</v>
      </c>
      <c r="H1148" s="9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Log'!$E$2:$V$70,
    MATCH(1,
      ('Golf Log'!$A$2:$A$70=$A1148)*
      ('Golf Log'!$B$2:$B$70=$B1148)*
      ('Golf Log'!$C$2:$C$70=$C1148),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Log'!$E$2:$V$70,
    MATCH(1,
      ('Putt Log'!$A$2:$A$70=$A1148)*
      ('Putt Log'!$B$2:$B$70=$B1148)*
      ('Putt Log'!$C$2:$C$70=$C1148),
    0),
    MATCH($G1148,'Putt Log'!$E$1:$V$1,0)
  ),
"")</f>
        <v>3</v>
      </c>
      <c r="P1148" cm="1">
        <f t="array" ref="P1148">IF(K1148=3,"",
  IFERROR(
    INDEX('Fairway Log'!$E$2:$V$70,
      MATCH(1,
        ('Fairway Log'!$A$2:$A$70=$A1148)*
        ('Fairway Log'!$B$2:$B$70=$B1148)*
        ('Fairway Log'!$C$2:$C1219=$C1148),
      0),
      MATCH($G1148,'Fairway Log'!$E$1:$V$1,0)
    ),
  "")
)</f>
        <v>1</v>
      </c>
      <c r="Q1148" cm="1">
        <f t="array" ref="Q1148">IFERROR(
  INDEX('GIR Log'!$E$2:$V$70,
    MATCH(1,
      ('GIR Log'!$A$2:$A$70=$A1148)*
      ('GIR Log'!$B$2:$B$70=$B1148)*
      ('GIR Log'!$C$2:$C$70=$C1148),
    0),
    MATCH($G1148,'GIR Log'!$E$1:$V$1,0)
  ),
"")</f>
        <v>1</v>
      </c>
    </row>
    <row r="1149" spans="1:17" x14ac:dyDescent="0.25">
      <c r="A1149" s="68" t="s">
        <v>126</v>
      </c>
      <c r="B1149" s="2">
        <v>45941</v>
      </c>
      <c r="C1149" s="68" t="s">
        <v>12</v>
      </c>
      <c r="D1149" s="68" t="s">
        <v>76</v>
      </c>
      <c r="E1149" s="68" t="s">
        <v>36</v>
      </c>
      <c r="F1149">
        <v>91</v>
      </c>
      <c r="G1149" t="s">
        <v>60</v>
      </c>
      <c r="H1149" s="9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Log'!$E$2:$V$70,
    MATCH(1,
      ('Golf Log'!$A$2:$A$70=$A1149)*
      ('Golf Log'!$B$2:$B$70=$B1149)*
      ('Golf Log'!$C$2:$C$70=$C1149),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Log'!$E$2:$V$70,
    MATCH(1,
      ('Putt Log'!$A$2:$A$70=$A1149)*
      ('Putt Log'!$B$2:$B$70=$B1149)*
      ('Putt Log'!$C$2:$C$70=$C1149),
    0),
    MATCH($G1149,'Putt Log'!$E$1:$V$1,0)
  ),
"")</f>
        <v>2</v>
      </c>
      <c r="P1149" t="str" cm="1">
        <f t="array" ref="P1149">IF(K1149=3,"",
  IFERROR(
    INDEX('Fairway Log'!$E$2:$V$70,
      MATCH(1,
        ('Fairway Log'!$A$2:$A$70=$A1149)*
        ('Fairway Log'!$B$2:$B$70=$B1149)*
        ('Fairway Log'!$C$2:$C1220=$C1149),
      0),
      MATCH($G1149,'Fairway Log'!$E$1:$V$1,0)
    ),
  "")
)</f>
        <v/>
      </c>
      <c r="Q1149" t="str" cm="1">
        <f t="array" ref="Q1149">IFERROR(
  INDEX('GIR Log'!$E$2:$V$70,
    MATCH(1,
      ('GIR Log'!$A$2:$A$70=$A1149)*
      ('GIR Log'!$B$2:$B$70=$B1149)*
      ('GIR Log'!$C$2:$C$70=$C1149),
    0),
    MATCH($G1149,'GIR Log'!$E$1:$V$1,0)
  ),
"")</f>
        <v>→</v>
      </c>
    </row>
    <row r="1150" spans="1:17" x14ac:dyDescent="0.25">
      <c r="A1150" s="68" t="s">
        <v>126</v>
      </c>
      <c r="B1150" s="2">
        <v>45941</v>
      </c>
      <c r="C1150" s="68" t="s">
        <v>12</v>
      </c>
      <c r="D1150" s="68" t="s">
        <v>76</v>
      </c>
      <c r="E1150" s="68" t="s">
        <v>36</v>
      </c>
      <c r="F1150">
        <v>91</v>
      </c>
      <c r="G1150" t="s">
        <v>61</v>
      </c>
      <c r="H1150" s="9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Log'!$E$2:$V$70,
    MATCH(1,
      ('Golf Log'!$A$2:$A$70=$A1150)*
      ('Golf Log'!$B$2:$B$70=$B1150)*
      ('Golf Log'!$C$2:$C$70=$C1150),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Log'!$E$2:$V$70,
    MATCH(1,
      ('Putt Log'!$A$2:$A$70=$A1150)*
      ('Putt Log'!$B$2:$B$70=$B1150)*
      ('Putt Log'!$C$2:$C$70=$C1150),
    0),
    MATCH($G1150,'Putt Log'!$E$1:$V$1,0)
  ),
"")</f>
        <v>2</v>
      </c>
      <c r="P1150" t="str" cm="1">
        <f t="array" ref="P1150">IF(K1150=3,"",
  IFERROR(
    INDEX('Fairway Log'!$E$2:$V$70,
      MATCH(1,
        ('Fairway Log'!$A$2:$A$70=$A1150)*
        ('Fairway Log'!$B$2:$B$70=$B1150)*
        ('Fairway Log'!$C$2:$C1221=$C1150),
      0),
      MATCH($G1150,'Fairway Log'!$E$1:$V$1,0)
    ),
  "")
)</f>
        <v>→</v>
      </c>
      <c r="Q1150" t="str" cm="1">
        <f t="array" ref="Q1150">IFERROR(
  INDEX('GIR Log'!$E$2:$V$70,
    MATCH(1,
      ('GIR Log'!$A$2:$A$70=$A1150)*
      ('GIR Log'!$B$2:$B$70=$B1150)*
      ('GIR Log'!$C$2:$C$70=$C1150),
    0),
    MATCH($G1150,'GIR Log'!$E$1:$V$1,0)
  ),
"")</f>
        <v>↓</v>
      </c>
    </row>
    <row r="1151" spans="1:17" x14ac:dyDescent="0.25">
      <c r="A1151" s="68" t="s">
        <v>126</v>
      </c>
      <c r="B1151" s="2">
        <v>45941</v>
      </c>
      <c r="C1151" s="68" t="s">
        <v>12</v>
      </c>
      <c r="D1151" s="68" t="s">
        <v>76</v>
      </c>
      <c r="E1151" s="68" t="s">
        <v>36</v>
      </c>
      <c r="F1151">
        <v>91</v>
      </c>
      <c r="G1151" t="s">
        <v>62</v>
      </c>
      <c r="H1151" s="9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Log'!$E$2:$V$70,
    MATCH(1,
      ('Golf Log'!$A$2:$A$70=$A1151)*
      ('Golf Log'!$B$2:$B$70=$B1151)*
      ('Golf Log'!$C$2:$C$70=$C1151),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Log'!$E$2:$V$70,
    MATCH(1,
      ('Putt Log'!$A$2:$A$70=$A1151)*
      ('Putt Log'!$B$2:$B$70=$B1151)*
      ('Putt Log'!$C$2:$C$70=$C1151),
    0),
    MATCH($G1151,'Putt Log'!$E$1:$V$1,0)
  ),
"")</f>
        <v>1</v>
      </c>
      <c r="P1151" t="str" cm="1">
        <f t="array" ref="P1151">IF(K1151=3,"",
  IFERROR(
    INDEX('Fairway Log'!$E$2:$V$70,
      MATCH(1,
        ('Fairway Log'!$A$2:$A$70=$A1151)*
        ('Fairway Log'!$B$2:$B$70=$B1151)*
        ('Fairway Log'!$C$2:$C1222=$C1151),
      0),
      MATCH($G1151,'Fairway Log'!$E$1:$V$1,0)
    ),
  "")
)</f>
        <v>→</v>
      </c>
      <c r="Q1151" t="str" cm="1">
        <f t="array" ref="Q1151">IFERROR(
  INDEX('GIR Log'!$E$2:$V$70,
    MATCH(1,
      ('GIR Log'!$A$2:$A$70=$A1151)*
      ('GIR Log'!$B$2:$B$70=$B1151)*
      ('GIR Log'!$C$2:$C$70=$C1151),
    0),
    MATCH($G1151,'GIR Log'!$E$1:$V$1,0)
  ),
"")</f>
        <v>↓</v>
      </c>
    </row>
    <row r="1152" spans="1:17" x14ac:dyDescent="0.25">
      <c r="A1152" s="68" t="s">
        <v>126</v>
      </c>
      <c r="B1152" s="2">
        <v>45941</v>
      </c>
      <c r="C1152" s="68" t="s">
        <v>12</v>
      </c>
      <c r="D1152" s="68" t="s">
        <v>76</v>
      </c>
      <c r="E1152" s="68" t="s">
        <v>36</v>
      </c>
      <c r="F1152">
        <v>91</v>
      </c>
      <c r="G1152" t="s">
        <v>63</v>
      </c>
      <c r="H1152" s="9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Log'!$E$2:$V$70,
    MATCH(1,
      ('Golf Log'!$A$2:$A$70=$A1152)*
      ('Golf Log'!$B$2:$B$70=$B1152)*
      ('Golf Log'!$C$2:$C$70=$C1152),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Log'!$E$2:$V$70,
    MATCH(1,
      ('Putt Log'!$A$2:$A$70=$A1152)*
      ('Putt Log'!$B$2:$B$70=$B1152)*
      ('Putt Log'!$C$2:$C$70=$C1152),
    0),
    MATCH($G1152,'Putt Log'!$E$1:$V$1,0)
  ),
"")</f>
        <v>2</v>
      </c>
      <c r="P1152" t="str" cm="1">
        <f t="array" ref="P1152">IF(K1152=3,"",
  IFERROR(
    INDEX('Fairway Log'!$E$2:$V$70,
      MATCH(1,
        ('Fairway Log'!$A$2:$A$70=$A1152)*
        ('Fairway Log'!$B$2:$B$70=$B1152)*
        ('Fairway Log'!$C$2:$C1223=$C1152),
      0),
      MATCH($G1152,'Fairway Log'!$E$1:$V$1,0)
    ),
  "")
)</f>
        <v>→</v>
      </c>
      <c r="Q1152" t="str" cm="1">
        <f t="array" ref="Q1152">IFERROR(
  INDEX('GIR Log'!$E$2:$V$70,
    MATCH(1,
      ('GIR Log'!$A$2:$A$70=$A1152)*
      ('GIR Log'!$B$2:$B$70=$B1152)*
      ('GIR Log'!$C$2:$C$70=$C1152),
    0),
    MATCH($G1152,'GIR Log'!$E$1:$V$1,0)
  ),
"")</f>
        <v>↓</v>
      </c>
    </row>
    <row r="1153" spans="1:17" x14ac:dyDescent="0.25">
      <c r="A1153" s="68" t="s">
        <v>126</v>
      </c>
      <c r="B1153" s="2">
        <v>45941</v>
      </c>
      <c r="C1153" s="68" t="s">
        <v>12</v>
      </c>
      <c r="D1153" s="68" t="s">
        <v>76</v>
      </c>
      <c r="E1153" s="68" t="s">
        <v>36</v>
      </c>
      <c r="F1153">
        <v>91</v>
      </c>
      <c r="G1153" t="s">
        <v>64</v>
      </c>
      <c r="H1153" s="9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Log'!$E$2:$V$70,
    MATCH(1,
      ('Golf Log'!$A$2:$A$70=$A1153)*
      ('Golf Log'!$B$2:$B$70=$B1153)*
      ('Golf Log'!$C$2:$C$70=$C1153),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Log'!$E$2:$V$70,
    MATCH(1,
      ('Putt Log'!$A$2:$A$70=$A1153)*
      ('Putt Log'!$B$2:$B$70=$B1153)*
      ('Putt Log'!$C$2:$C$70=$C1153),
    0),
    MATCH($G1153,'Putt Log'!$E$1:$V$1,0)
  ),
"")</f>
        <v>2</v>
      </c>
      <c r="P1153" cm="1">
        <f t="array" ref="P1153">IF(K1153=3,"",
  IFERROR(
    INDEX('Fairway Log'!$E$2:$V$70,
      MATCH(1,
        ('Fairway Log'!$A$2:$A$70=$A1153)*
        ('Fairway Log'!$B$2:$B$70=$B1153)*
        ('Fairway Log'!$C$2:$C1224=$C1153),
      0),
      MATCH($G1153,'Fairway Log'!$E$1:$V$1,0)
    ),
  "")
)</f>
        <v>1</v>
      </c>
      <c r="Q1153" t="str" cm="1">
        <f t="array" ref="Q1153">IFERROR(
  INDEX('GIR Log'!$E$2:$V$70,
    MATCH(1,
      ('GIR Log'!$A$2:$A$70=$A1153)*
      ('GIR Log'!$B$2:$B$70=$B1153)*
      ('GIR Log'!$C$2:$C$70=$C1153),
    0),
    MATCH($G1153,'GIR Log'!$E$1:$V$1,0)
  ),
"")</f>
        <v>↓</v>
      </c>
    </row>
    <row r="1154" spans="1:17" x14ac:dyDescent="0.25">
      <c r="A1154" s="78" t="s">
        <v>130</v>
      </c>
      <c r="B1154" s="2">
        <v>45941</v>
      </c>
      <c r="C1154" s="68" t="s">
        <v>12</v>
      </c>
      <c r="D1154" s="68" t="s">
        <v>76</v>
      </c>
      <c r="E1154" s="68" t="s">
        <v>36</v>
      </c>
      <c r="F1154">
        <v>91</v>
      </c>
      <c r="G1154" s="12" t="s">
        <v>47</v>
      </c>
      <c r="H1154" s="9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Log'!$E$2:$V$70,
    MATCH(1,
      ('Golf Log'!$A$2:$A$70=$A1154)*
      ('Golf Log'!$B$2:$B$70=$B1154)*
      ('Golf Log'!$C$2:$C$70=$C1154),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Log'!$E$2:$V$70,
    MATCH(1,
      ('Putt Log'!$A$2:$A$70=$A1154)*
      ('Putt Log'!$B$2:$B$70=$B1154)*
      ('Putt Log'!$C$2:$C$70=$C1154),
    0),
    MATCH($G1154,'Putt Log'!$E$1:$V$1,0)
  ),
"")</f>
        <v>2</v>
      </c>
      <c r="P1154" cm="1">
        <f t="array" ref="P1154">IF(K1154=3,"",
  IFERROR(
    INDEX('Fairway Log'!$E$2:$V$70,
      MATCH(1,
        ('Fairway Log'!$A$2:$A$70=$A1154)*
        ('Fairway Log'!$B$2:$B$70=$B1154)*
        ('Fairway Log'!$C$2:$C1225=$C1154),
      0),
      MATCH($G1154,'Fairway Log'!$E$1:$V$1,0)
    ),
  "")
)</f>
        <v>1</v>
      </c>
      <c r="Q1154" t="str" cm="1">
        <f t="array" ref="Q1154">IFERROR(
  INDEX('GIR Log'!$E$2:$V$70,
    MATCH(1,
      ('GIR Log'!$A$2:$A$70=$A1154)*
      ('GIR Log'!$B$2:$B$70=$B1154)*
      ('GIR Log'!$C$2:$C$70=$C1154),
    0),
    MATCH($G1154,'GIR Log'!$E$1:$V$1,0)
  ),
"")</f>
        <v>←</v>
      </c>
    </row>
    <row r="1155" spans="1:17" x14ac:dyDescent="0.25">
      <c r="A1155" s="78" t="s">
        <v>130</v>
      </c>
      <c r="B1155" s="2">
        <v>45941</v>
      </c>
      <c r="C1155" s="68" t="s">
        <v>12</v>
      </c>
      <c r="D1155" s="68" t="s">
        <v>76</v>
      </c>
      <c r="E1155" s="68" t="s">
        <v>36</v>
      </c>
      <c r="F1155">
        <v>91</v>
      </c>
      <c r="G1155" s="12" t="s">
        <v>48</v>
      </c>
      <c r="H1155" s="9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Log'!$E$2:$V$70,
    MATCH(1,
      ('Golf Log'!$A$2:$A$70=$A1155)*
      ('Golf Log'!$B$2:$B$70=$B1155)*
      ('Golf Log'!$C$2:$C$70=$C1155),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Log'!$E$2:$V$70,
    MATCH(1,
      ('Putt Log'!$A$2:$A$70=$A1155)*
      ('Putt Log'!$B$2:$B$70=$B1155)*
      ('Putt Log'!$C$2:$C$70=$C1155),
    0),
    MATCH($G1155,'Putt Log'!$E$1:$V$1,0)
  ),
"")</f>
        <v>2</v>
      </c>
      <c r="P1155" cm="1">
        <f t="array" ref="P1155">IF(K1155=3,"",
  IFERROR(
    INDEX('Fairway Log'!$E$2:$V$70,
      MATCH(1,
        ('Fairway Log'!$A$2:$A$70=$A1155)*
        ('Fairway Log'!$B$2:$B$70=$B1155)*
        ('Fairway Log'!$C$2:$C1226=$C1155),
      0),
      MATCH($G1155,'Fairway Log'!$E$1:$V$1,0)
    ),
  "")
)</f>
        <v>1</v>
      </c>
      <c r="Q1155" t="str" cm="1">
        <f t="array" ref="Q1155">IFERROR(
  INDEX('GIR Log'!$E$2:$V$70,
    MATCH(1,
      ('GIR Log'!$A$2:$A$70=$A1155)*
      ('GIR Log'!$B$2:$B$70=$B1155)*
      ('GIR Log'!$C$2:$C$70=$C1155),
    0),
    MATCH($G1155,'GIR Log'!$E$1:$V$1,0)
  ),
"")</f>
        <v>↑</v>
      </c>
    </row>
    <row r="1156" spans="1:17" x14ac:dyDescent="0.25">
      <c r="A1156" s="78" t="s">
        <v>130</v>
      </c>
      <c r="B1156" s="2">
        <v>45941</v>
      </c>
      <c r="C1156" s="68" t="s">
        <v>12</v>
      </c>
      <c r="D1156" s="68" t="s">
        <v>76</v>
      </c>
      <c r="E1156" s="68" t="s">
        <v>36</v>
      </c>
      <c r="F1156">
        <v>91</v>
      </c>
      <c r="G1156" s="12" t="s">
        <v>49</v>
      </c>
      <c r="H1156" s="9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Log'!$E$2:$V$70,
    MATCH(1,
      ('Golf Log'!$A$2:$A$70=$A1156)*
      ('Golf Log'!$B$2:$B$70=$B1156)*
      ('Golf Log'!$C$2:$C$70=$C1156),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Log'!$E$2:$V$70,
    MATCH(1,
      ('Putt Log'!$A$2:$A$70=$A1156)*
      ('Putt Log'!$B$2:$B$70=$B1156)*
      ('Putt Log'!$C$2:$C$70=$C1156),
    0),
    MATCH($G1156,'Putt Log'!$E$1:$V$1,0)
  ),
"")</f>
        <v>2</v>
      </c>
      <c r="P1156" cm="1">
        <f t="array" ref="P1156">IF(K1156=3,"",
  IFERROR(
    INDEX('Fairway Log'!$E$2:$V$70,
      MATCH(1,
        ('Fairway Log'!$A$2:$A$70=$A1156)*
        ('Fairway Log'!$B$2:$B$70=$B1156)*
        ('Fairway Log'!$C$2:$C1227=$C1156),
      0),
      MATCH($G1156,'Fairway Log'!$E$1:$V$1,0)
    ),
  "")
)</f>
        <v>1</v>
      </c>
      <c r="Q1156" t="str" cm="1">
        <f t="array" ref="Q1156">IFERROR(
  INDEX('GIR Log'!$E$2:$V$70,
    MATCH(1,
      ('GIR Log'!$A$2:$A$70=$A1156)*
      ('GIR Log'!$B$2:$B$70=$B1156)*
      ('GIR Log'!$C$2:$C$70=$C1156),
    0),
    MATCH($G1156,'GIR Log'!$E$1:$V$1,0)
  ),
"")</f>
        <v>↑</v>
      </c>
    </row>
    <row r="1157" spans="1:17" x14ac:dyDescent="0.25">
      <c r="A1157" s="78" t="s">
        <v>130</v>
      </c>
      <c r="B1157" s="2">
        <v>45941</v>
      </c>
      <c r="C1157" s="68" t="s">
        <v>12</v>
      </c>
      <c r="D1157" s="68" t="s">
        <v>76</v>
      </c>
      <c r="E1157" s="68" t="s">
        <v>36</v>
      </c>
      <c r="F1157">
        <v>91</v>
      </c>
      <c r="G1157" s="12" t="s">
        <v>50</v>
      </c>
      <c r="H1157" s="9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Log'!$E$2:$V$70,
    MATCH(1,
      ('Golf Log'!$A$2:$A$70=$A1157)*
      ('Golf Log'!$B$2:$B$70=$B1157)*
      ('Golf Log'!$C$2:$C$70=$C1157),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Log'!$E$2:$V$70,
    MATCH(1,
      ('Putt Log'!$A$2:$A$70=$A1157)*
      ('Putt Log'!$B$2:$B$70=$B1157)*
      ('Putt Log'!$C$2:$C$70=$C1157),
    0),
    MATCH($G1157,'Putt Log'!$E$1:$V$1,0)
  ),
"")</f>
        <v>1</v>
      </c>
      <c r="P1157" cm="1">
        <f t="array" ref="P1157">IF(K1157=3,"",
  IFERROR(
    INDEX('Fairway Log'!$E$2:$V$70,
      MATCH(1,
        ('Fairway Log'!$A$2:$A$70=$A1157)*
        ('Fairway Log'!$B$2:$B$70=$B1157)*
        ('Fairway Log'!$C$2:$C1228=$C1157),
      0),
      MATCH($G1157,'Fairway Log'!$E$1:$V$1,0)
    ),
  "")
)</f>
        <v>0</v>
      </c>
      <c r="Q1157" t="str" cm="1">
        <f t="array" ref="Q1157">IFERROR(
  INDEX('GIR Log'!$E$2:$V$70,
    MATCH(1,
      ('GIR Log'!$A$2:$A$70=$A1157)*
      ('GIR Log'!$B$2:$B$70=$B1157)*
      ('GIR Log'!$C$2:$C$70=$C1157),
    0),
    MATCH($G1157,'GIR Log'!$E$1:$V$1,0)
  ),
"")</f>
        <v>↓</v>
      </c>
    </row>
    <row r="1158" spans="1:17" x14ac:dyDescent="0.25">
      <c r="A1158" s="78" t="s">
        <v>130</v>
      </c>
      <c r="B1158" s="2">
        <v>45941</v>
      </c>
      <c r="C1158" s="68" t="s">
        <v>12</v>
      </c>
      <c r="D1158" s="68" t="s">
        <v>76</v>
      </c>
      <c r="E1158" s="68" t="s">
        <v>36</v>
      </c>
      <c r="F1158">
        <v>91</v>
      </c>
      <c r="G1158" s="12" t="s">
        <v>51</v>
      </c>
      <c r="H1158" s="9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Log'!$E$2:$V$70,
    MATCH(1,
      ('Golf Log'!$A$2:$A$70=$A1158)*
      ('Golf Log'!$B$2:$B$70=$B1158)*
      ('Golf Log'!$C$2:$C$70=$C1158),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Log'!$E$2:$V$70,
    MATCH(1,
      ('Putt Log'!$A$2:$A$70=$A1158)*
      ('Putt Log'!$B$2:$B$70=$B1158)*
      ('Putt Log'!$C$2:$C$70=$C1158),
    0),
    MATCH($G1158,'Putt Log'!$E$1:$V$1,0)
  ),
"")</f>
        <v>2</v>
      </c>
      <c r="P1158" cm="1">
        <f t="array" ref="P1158">IF(K1158=3,"",
  IFERROR(
    INDEX('Fairway Log'!$E$2:$V$70,
      MATCH(1,
        ('Fairway Log'!$A$2:$A$70=$A1158)*
        ('Fairway Log'!$B$2:$B$70=$B1158)*
        ('Fairway Log'!$C$2:$C1229=$C1158),
      0),
      MATCH($G1158,'Fairway Log'!$E$1:$V$1,0)
    ),
  "")
)</f>
        <v>1</v>
      </c>
      <c r="Q1158" cm="1">
        <f t="array" ref="Q1158">IFERROR(
  INDEX('GIR Log'!$E$2:$V$70,
    MATCH(1,
      ('GIR Log'!$A$2:$A$70=$A1158)*
      ('GIR Log'!$B$2:$B$70=$B1158)*
      ('GIR Log'!$C$2:$C$70=$C1158),
    0),
    MATCH($G1158,'GIR Log'!$E$1:$V$1,0)
  ),
"")</f>
        <v>1</v>
      </c>
    </row>
    <row r="1159" spans="1:17" x14ac:dyDescent="0.25">
      <c r="A1159" s="78" t="s">
        <v>130</v>
      </c>
      <c r="B1159" s="2">
        <v>45941</v>
      </c>
      <c r="C1159" s="68" t="s">
        <v>12</v>
      </c>
      <c r="D1159" s="68" t="s">
        <v>76</v>
      </c>
      <c r="E1159" s="68" t="s">
        <v>36</v>
      </c>
      <c r="F1159">
        <v>91</v>
      </c>
      <c r="G1159" s="12" t="s">
        <v>52</v>
      </c>
      <c r="H1159" s="9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Log'!$E$2:$V$70,
    MATCH(1,
      ('Golf Log'!$A$2:$A$70=$A1159)*
      ('Golf Log'!$B$2:$B$70=$B1159)*
      ('Golf Log'!$C$2:$C$70=$C1159),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Log'!$E$2:$V$70,
    MATCH(1,
      ('Putt Log'!$A$2:$A$70=$A1159)*
      ('Putt Log'!$B$2:$B$70=$B1159)*
      ('Putt Log'!$C$2:$C$70=$C1159),
    0),
    MATCH($G1159,'Putt Log'!$E$1:$V$1,0)
  ),
"")</f>
        <v>3</v>
      </c>
      <c r="P1159" t="str" cm="1">
        <f t="array" ref="P1159">IF(K1159=3,"",
  IFERROR(
    INDEX('Fairway Log'!$E$2:$V$70,
      MATCH(1,
        ('Fairway Log'!$A$2:$A$70=$A1159)*
        ('Fairway Log'!$B$2:$B$70=$B1159)*
        ('Fairway Log'!$C$2:$C1230=$C1159),
      0),
      MATCH($G1159,'Fairway Log'!$E$1:$V$1,0)
    ),
  "")
)</f>
        <v/>
      </c>
      <c r="Q1159" t="str" cm="1">
        <f t="array" ref="Q1159">IFERROR(
  INDEX('GIR Log'!$E$2:$V$70,
    MATCH(1,
      ('GIR Log'!$A$2:$A$70=$A1159)*
      ('GIR Log'!$B$2:$B$70=$B1159)*
      ('GIR Log'!$C$2:$C$70=$C1159),
    0),
    MATCH($G1159,'GIR Log'!$E$1:$V$1,0)
  ),
"")</f>
        <v>↓</v>
      </c>
    </row>
    <row r="1160" spans="1:17" x14ac:dyDescent="0.25">
      <c r="A1160" s="78" t="s">
        <v>130</v>
      </c>
      <c r="B1160" s="2">
        <v>45941</v>
      </c>
      <c r="C1160" s="68" t="s">
        <v>12</v>
      </c>
      <c r="D1160" s="68" t="s">
        <v>76</v>
      </c>
      <c r="E1160" s="68" t="s">
        <v>36</v>
      </c>
      <c r="F1160">
        <v>91</v>
      </c>
      <c r="G1160" s="12" t="s">
        <v>53</v>
      </c>
      <c r="H1160" s="9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Log'!$E$2:$V$70,
    MATCH(1,
      ('Golf Log'!$A$2:$A$70=$A1160)*
      ('Golf Log'!$B$2:$B$70=$B1160)*
      ('Golf Log'!$C$2:$C$70=$C1160),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Log'!$E$2:$V$70,
    MATCH(1,
      ('Putt Log'!$A$2:$A$70=$A1160)*
      ('Putt Log'!$B$2:$B$70=$B1160)*
      ('Putt Log'!$C$2:$C$70=$C1160),
    0),
    MATCH($G1160,'Putt Log'!$E$1:$V$1,0)
  ),
"")</f>
        <v>2</v>
      </c>
      <c r="P1160" cm="1">
        <f t="array" ref="P1160">IF(K1160=3,"",
  IFERROR(
    INDEX('Fairway Log'!$E$2:$V$70,
      MATCH(1,
        ('Fairway Log'!$A$2:$A$70=$A1160)*
        ('Fairway Log'!$B$2:$B$70=$B1160)*
        ('Fairway Log'!$C$2:$C1231=$C1160),
      0),
      MATCH($G1160,'Fairway Log'!$E$1:$V$1,0)
    ),
  "")
)</f>
        <v>0</v>
      </c>
      <c r="Q1160" t="str" cm="1">
        <f t="array" ref="Q1160">IFERROR(
  INDEX('GIR Log'!$E$2:$V$70,
    MATCH(1,
      ('GIR Log'!$A$2:$A$70=$A1160)*
      ('GIR Log'!$B$2:$B$70=$B1160)*
      ('GIR Log'!$C$2:$C$70=$C1160),
    0),
    MATCH($G1160,'GIR Log'!$E$1:$V$1,0)
  ),
"")</f>
        <v>↓</v>
      </c>
    </row>
    <row r="1161" spans="1:17" x14ac:dyDescent="0.25">
      <c r="A1161" s="78" t="s">
        <v>130</v>
      </c>
      <c r="B1161" s="2">
        <v>45941</v>
      </c>
      <c r="C1161" s="68" t="s">
        <v>12</v>
      </c>
      <c r="D1161" s="68" t="s">
        <v>76</v>
      </c>
      <c r="E1161" s="68" t="s">
        <v>36</v>
      </c>
      <c r="F1161">
        <v>91</v>
      </c>
      <c r="G1161" s="12" t="s">
        <v>54</v>
      </c>
      <c r="H1161" s="9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Log'!$E$2:$V$70,
    MATCH(1,
      ('Golf Log'!$A$2:$A$70=$A1161)*
      ('Golf Log'!$B$2:$B$70=$B1161)*
      ('Golf Log'!$C$2:$C$70=$C1161),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Log'!$E$2:$V$70,
    MATCH(1,
      ('Putt Log'!$A$2:$A$70=$A1161)*
      ('Putt Log'!$B$2:$B$70=$B1161)*
      ('Putt Log'!$C$2:$C$70=$C1161),
    0),
    MATCH($G1161,'Putt Log'!$E$1:$V$1,0)
  ),
"")</f>
        <v>1</v>
      </c>
      <c r="P1161" t="str" cm="1">
        <f t="array" ref="P1161">IF(K1161=3,"",
  IFERROR(
    INDEX('Fairway Log'!$E$2:$V$70,
      MATCH(1,
        ('Fairway Log'!$A$2:$A$70=$A1161)*
        ('Fairway Log'!$B$2:$B$70=$B1161)*
        ('Fairway Log'!$C$2:$C1232=$C1161),
      0),
      MATCH($G1161,'Fairway Log'!$E$1:$V$1,0)
    ),
  "")
)</f>
        <v/>
      </c>
      <c r="Q1161" t="str" cm="1">
        <f t="array" ref="Q1161">IFERROR(
  INDEX('GIR Log'!$E$2:$V$70,
    MATCH(1,
      ('GIR Log'!$A$2:$A$70=$A1161)*
      ('GIR Log'!$B$2:$B$70=$B1161)*
      ('GIR Log'!$C$2:$C$70=$C1161),
    0),
    MATCH($G1161,'GIR Log'!$E$1:$V$1,0)
  ),
"")</f>
        <v>↓</v>
      </c>
    </row>
    <row r="1162" spans="1:17" x14ac:dyDescent="0.25">
      <c r="A1162" s="78" t="s">
        <v>130</v>
      </c>
      <c r="B1162" s="2">
        <v>45941</v>
      </c>
      <c r="C1162" s="68" t="s">
        <v>12</v>
      </c>
      <c r="D1162" s="68" t="s">
        <v>76</v>
      </c>
      <c r="E1162" s="68" t="s">
        <v>36</v>
      </c>
      <c r="F1162">
        <v>91</v>
      </c>
      <c r="G1162" s="12" t="s">
        <v>55</v>
      </c>
      <c r="H1162" s="9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Log'!$E$2:$V$70,
    MATCH(1,
      ('Golf Log'!$A$2:$A$70=$A1162)*
      ('Golf Log'!$B$2:$B$70=$B1162)*
      ('Golf Log'!$C$2:$C$70=$C1162),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Log'!$E$2:$V$70,
    MATCH(1,
      ('Putt Log'!$A$2:$A$70=$A1162)*
      ('Putt Log'!$B$2:$B$70=$B1162)*
      ('Putt Log'!$C$2:$C$70=$C1162),
    0),
    MATCH($G1162,'Putt Log'!$E$1:$V$1,0)
  ),
"")</f>
        <v>3</v>
      </c>
      <c r="P1162" cm="1">
        <f t="array" ref="P1162">IF(K1162=3,"",
  IFERROR(
    INDEX('Fairway Log'!$E$2:$V$70,
      MATCH(1,
        ('Fairway Log'!$A$2:$A$70=$A1162)*
        ('Fairway Log'!$B$2:$B$70=$B1162)*
        ('Fairway Log'!$C$2:$C1233=$C1162),
      0),
      MATCH($G1162,'Fairway Log'!$E$1:$V$1,0)
    ),
  "")
)</f>
        <v>1</v>
      </c>
      <c r="Q1162" t="str" cm="1">
        <f t="array" ref="Q1162">IFERROR(
  INDEX('GIR Log'!$E$2:$V$70,
    MATCH(1,
      ('GIR Log'!$A$2:$A$70=$A1162)*
      ('GIR Log'!$B$2:$B$70=$B1162)*
      ('GIR Log'!$C$2:$C$70=$C1162),
    0),
    MATCH($G1162,'GIR Log'!$E$1:$V$1,0)
  ),
"")</f>
        <v>↓</v>
      </c>
    </row>
    <row r="1163" spans="1:17" x14ac:dyDescent="0.25">
      <c r="A1163" s="78" t="s">
        <v>130</v>
      </c>
      <c r="B1163" s="2">
        <v>45941</v>
      </c>
      <c r="C1163" s="68" t="s">
        <v>12</v>
      </c>
      <c r="D1163" s="68" t="s">
        <v>76</v>
      </c>
      <c r="E1163" s="68" t="s">
        <v>36</v>
      </c>
      <c r="F1163">
        <v>91</v>
      </c>
      <c r="G1163" s="12" t="s">
        <v>56</v>
      </c>
      <c r="H1163" s="9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Log'!$E$2:$V$70,
    MATCH(1,
      ('Golf Log'!$A$2:$A$70=$A1163)*
      ('Golf Log'!$B$2:$B$70=$B1163)*
      ('Golf Log'!$C$2:$C$70=$C1163),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Log'!$E$2:$V$70,
    MATCH(1,
      ('Putt Log'!$A$2:$A$70=$A1163)*
      ('Putt Log'!$B$2:$B$70=$B1163)*
      ('Putt Log'!$C$2:$C$70=$C1163),
    0),
    MATCH($G1163,'Putt Log'!$E$1:$V$1,0)
  ),
"")</f>
        <v>2</v>
      </c>
      <c r="P1163" cm="1">
        <f t="array" ref="P1163">IF(K1163=3,"",
  IFERROR(
    INDEX('Fairway Log'!$E$2:$V$70,
      MATCH(1,
        ('Fairway Log'!$A$2:$A$70=$A1163)*
        ('Fairway Log'!$B$2:$B$70=$B1163)*
        ('Fairway Log'!$C$2:$C1234=$C1163),
      0),
      MATCH($G1163,'Fairway Log'!$E$1:$V$1,0)
    ),
  "")
)</f>
        <v>1</v>
      </c>
      <c r="Q1163" t="str" cm="1">
        <f t="array" ref="Q1163">IFERROR(
  INDEX('GIR Log'!$E$2:$V$70,
    MATCH(1,
      ('GIR Log'!$A$2:$A$70=$A1163)*
      ('GIR Log'!$B$2:$B$70=$B1163)*
      ('GIR Log'!$C$2:$C$70=$C1163),
    0),
    MATCH($G1163,'GIR Log'!$E$1:$V$1,0)
  ),
"")</f>
        <v>↑</v>
      </c>
    </row>
    <row r="1164" spans="1:17" x14ac:dyDescent="0.25">
      <c r="A1164" s="78" t="s">
        <v>130</v>
      </c>
      <c r="B1164" s="2">
        <v>45941</v>
      </c>
      <c r="C1164" s="68" t="s">
        <v>12</v>
      </c>
      <c r="D1164" s="68" t="s">
        <v>76</v>
      </c>
      <c r="E1164" s="68" t="s">
        <v>36</v>
      </c>
      <c r="F1164">
        <v>91</v>
      </c>
      <c r="G1164" s="12" t="s">
        <v>57</v>
      </c>
      <c r="H1164" s="9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Log'!$E$2:$V$70,
    MATCH(1,
      ('Golf Log'!$A$2:$A$70=$A1164)*
      ('Golf Log'!$B$2:$B$70=$B1164)*
      ('Golf Log'!$C$2:$C$70=$C1164),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Log'!$E$2:$V$70,
    MATCH(1,
      ('Putt Log'!$A$2:$A$70=$A1164)*
      ('Putt Log'!$B$2:$B$70=$B1164)*
      ('Putt Log'!$C$2:$C$70=$C1164),
    0),
    MATCH($G1164,'Putt Log'!$E$1:$V$1,0)
  ),
"")</f>
        <v>1</v>
      </c>
      <c r="P1164" t="str" cm="1">
        <f t="array" ref="P1164">IF(K1164=3,"",
  IFERROR(
    INDEX('Fairway Log'!$E$2:$V$70,
      MATCH(1,
        ('Fairway Log'!$A$2:$A$70=$A1164)*
        ('Fairway Log'!$B$2:$B$70=$B1164)*
        ('Fairway Log'!$C$2:$C1235=$C1164),
      0),
      MATCH($G1164,'Fairway Log'!$E$1:$V$1,0)
    ),
  "")
)</f>
        <v>←</v>
      </c>
      <c r="Q1164" t="str" cm="1">
        <f t="array" ref="Q1164">IFERROR(
  INDEX('GIR Log'!$E$2:$V$70,
    MATCH(1,
      ('GIR Log'!$A$2:$A$70=$A1164)*
      ('GIR Log'!$B$2:$B$70=$B1164)*
      ('GIR Log'!$C$2:$C$70=$C1164),
    0),
    MATCH($G1164,'GIR Log'!$E$1:$V$1,0)
  ),
"")</f>
        <v>↑</v>
      </c>
    </row>
    <row r="1165" spans="1:17" x14ac:dyDescent="0.25">
      <c r="A1165" s="78" t="s">
        <v>130</v>
      </c>
      <c r="B1165" s="2">
        <v>45941</v>
      </c>
      <c r="C1165" s="68" t="s">
        <v>12</v>
      </c>
      <c r="D1165" s="68" t="s">
        <v>76</v>
      </c>
      <c r="E1165" s="68" t="s">
        <v>36</v>
      </c>
      <c r="F1165">
        <v>91</v>
      </c>
      <c r="G1165" s="12" t="s">
        <v>58</v>
      </c>
      <c r="H1165" s="9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Log'!$E$2:$V$70,
    MATCH(1,
      ('Golf Log'!$A$2:$A$70=$A1165)*
      ('Golf Log'!$B$2:$B$70=$B1165)*
      ('Golf Log'!$C$2:$C$70=$C1165),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Log'!$E$2:$V$70,
    MATCH(1,
      ('Putt Log'!$A$2:$A$70=$A1165)*
      ('Putt Log'!$B$2:$B$70=$B1165)*
      ('Putt Log'!$C$2:$C$70=$C1165),
    0),
    MATCH($G1165,'Putt Log'!$E$1:$V$1,0)
  ),
"")</f>
        <v>2</v>
      </c>
      <c r="P1165" t="str" cm="1">
        <f t="array" ref="P1165">IF(K1165=3,"",
  IFERROR(
    INDEX('Fairway Log'!$E$2:$V$70,
      MATCH(1,
        ('Fairway Log'!$A$2:$A$70=$A1165)*
        ('Fairway Log'!$B$2:$B$70=$B1165)*
        ('Fairway Log'!$C$2:$C1236=$C1165),
      0),
      MATCH($G1165,'Fairway Log'!$E$1:$V$1,0)
    ),
  "")
)</f>
        <v/>
      </c>
      <c r="Q1165" t="str" cm="1">
        <f t="array" ref="Q1165">IFERROR(
  INDEX('GIR Log'!$E$2:$V$70,
    MATCH(1,
      ('GIR Log'!$A$2:$A$70=$A1165)*
      ('GIR Log'!$B$2:$B$70=$B1165)*
      ('GIR Log'!$C$2:$C$70=$C1165),
    0),
    MATCH($G1165,'GIR Log'!$E$1:$V$1,0)
  ),
"")</f>
        <v>↑</v>
      </c>
    </row>
    <row r="1166" spans="1:17" x14ac:dyDescent="0.25">
      <c r="A1166" s="78" t="s">
        <v>130</v>
      </c>
      <c r="B1166" s="2">
        <v>45941</v>
      </c>
      <c r="C1166" s="68" t="s">
        <v>12</v>
      </c>
      <c r="D1166" s="68" t="s">
        <v>76</v>
      </c>
      <c r="E1166" s="68" t="s">
        <v>36</v>
      </c>
      <c r="F1166">
        <v>91</v>
      </c>
      <c r="G1166" s="12" t="s">
        <v>59</v>
      </c>
      <c r="H1166" s="9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Log'!$E$2:$V$70,
    MATCH(1,
      ('Golf Log'!$A$2:$A$70=$A1166)*
      ('Golf Log'!$B$2:$B$70=$B1166)*
      ('Golf Log'!$C$2:$C$70=$C1166),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Log'!$E$2:$V$70,
    MATCH(1,
      ('Putt Log'!$A$2:$A$70=$A1166)*
      ('Putt Log'!$B$2:$B$70=$B1166)*
      ('Putt Log'!$C$2:$C$70=$C1166),
    0),
    MATCH($G1166,'Putt Log'!$E$1:$V$1,0)
  ),
"")</f>
        <v>1</v>
      </c>
      <c r="P1166" t="str" cm="1">
        <f t="array" ref="P1166">IF(K1166=3,"",
  IFERROR(
    INDEX('Fairway Log'!$E$2:$V$70,
      MATCH(1,
        ('Fairway Log'!$A$2:$A$70=$A1166)*
        ('Fairway Log'!$B$2:$B$70=$B1166)*
        ('Fairway Log'!$C$2:$C1237=$C1166),
      0),
      MATCH($G1166,'Fairway Log'!$E$1:$V$1,0)
    ),
  "")
)</f>
        <v>←</v>
      </c>
      <c r="Q1166" t="str" cm="1">
        <f t="array" ref="Q1166">IFERROR(
  INDEX('GIR Log'!$E$2:$V$70,
    MATCH(1,
      ('GIR Log'!$A$2:$A$70=$A1166)*
      ('GIR Log'!$B$2:$B$70=$B1166)*
      ('GIR Log'!$C$2:$C$70=$C1166),
    0),
    MATCH($G1166,'GIR Log'!$E$1:$V$1,0)
  ),
"")</f>
        <v>→</v>
      </c>
    </row>
    <row r="1167" spans="1:17" x14ac:dyDescent="0.25">
      <c r="A1167" s="78" t="s">
        <v>130</v>
      </c>
      <c r="B1167" s="2">
        <v>45941</v>
      </c>
      <c r="C1167" s="68" t="s">
        <v>12</v>
      </c>
      <c r="D1167" s="68" t="s">
        <v>76</v>
      </c>
      <c r="E1167" s="68" t="s">
        <v>36</v>
      </c>
      <c r="F1167">
        <v>91</v>
      </c>
      <c r="G1167" s="12" t="s">
        <v>60</v>
      </c>
      <c r="H1167" s="9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Log'!$E$2:$V$70,
    MATCH(1,
      ('Golf Log'!$A$2:$A$70=$A1167)*
      ('Golf Log'!$B$2:$B$70=$B1167)*
      ('Golf Log'!$C$2:$C$70=$C1167),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Log'!$E$2:$V$70,
    MATCH(1,
      ('Putt Log'!$A$2:$A$70=$A1167)*
      ('Putt Log'!$B$2:$B$70=$B1167)*
      ('Putt Log'!$C$2:$C$70=$C1167),
    0),
    MATCH($G1167,'Putt Log'!$E$1:$V$1,0)
  ),
"")</f>
        <v>1</v>
      </c>
      <c r="P1167" t="str" cm="1">
        <f t="array" ref="P1167">IF(K1167=3,"",
  IFERROR(
    INDEX('Fairway Log'!$E$2:$V$70,
      MATCH(1,
        ('Fairway Log'!$A$2:$A$70=$A1167)*
        ('Fairway Log'!$B$2:$B$70=$B1167)*
        ('Fairway Log'!$C$2:$C1238=$C1167),
      0),
      MATCH($G1167,'Fairway Log'!$E$1:$V$1,0)
    ),
  "")
)</f>
        <v/>
      </c>
      <c r="Q1167" t="str" cm="1">
        <f t="array" ref="Q1167">IFERROR(
  INDEX('GIR Log'!$E$2:$V$70,
    MATCH(1,
      ('GIR Log'!$A$2:$A$70=$A1167)*
      ('GIR Log'!$B$2:$B$70=$B1167)*
      ('GIR Log'!$C$2:$C$70=$C1167),
    0),
    MATCH($G1167,'GIR Log'!$E$1:$V$1,0)
  ),
"")</f>
        <v>←</v>
      </c>
    </row>
    <row r="1168" spans="1:17" x14ac:dyDescent="0.25">
      <c r="A1168" s="78" t="s">
        <v>130</v>
      </c>
      <c r="B1168" s="2">
        <v>45941</v>
      </c>
      <c r="C1168" s="68" t="s">
        <v>12</v>
      </c>
      <c r="D1168" s="68" t="s">
        <v>76</v>
      </c>
      <c r="E1168" s="68" t="s">
        <v>36</v>
      </c>
      <c r="F1168">
        <v>91</v>
      </c>
      <c r="G1168" s="12" t="s">
        <v>61</v>
      </c>
      <c r="H1168" s="9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Log'!$E$2:$V$70,
    MATCH(1,
      ('Golf Log'!$A$2:$A$70=$A1168)*
      ('Golf Log'!$B$2:$B$70=$B1168)*
      ('Golf Log'!$C$2:$C$70=$C1168),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Log'!$E$2:$V$70,
    MATCH(1,
      ('Putt Log'!$A$2:$A$70=$A1168)*
      ('Putt Log'!$B$2:$B$70=$B1168)*
      ('Putt Log'!$C$2:$C$70=$C1168),
    0),
    MATCH($G1168,'Putt Log'!$E$1:$V$1,0)
  ),
"")</f>
        <v>2</v>
      </c>
      <c r="P1168" t="str" cm="1">
        <f t="array" ref="P1168">IF(K1168=3,"",
  IFERROR(
    INDEX('Fairway Log'!$E$2:$V$70,
      MATCH(1,
        ('Fairway Log'!$A$2:$A$70=$A1168)*
        ('Fairway Log'!$B$2:$B$70=$B1168)*
        ('Fairway Log'!$C$2:$C1239=$C1168),
      0),
      MATCH($G1168,'Fairway Log'!$E$1:$V$1,0)
    ),
  "")
)</f>
        <v>←</v>
      </c>
      <c r="Q1168" t="str" cm="1">
        <f t="array" ref="Q1168">IFERROR(
  INDEX('GIR Log'!$E$2:$V$70,
    MATCH(1,
      ('GIR Log'!$A$2:$A$70=$A1168)*
      ('GIR Log'!$B$2:$B$70=$B1168)*
      ('GIR Log'!$C$2:$C$70=$C1168),
    0),
    MATCH($G1168,'GIR Log'!$E$1:$V$1,0)
  ),
"")</f>
        <v>↓</v>
      </c>
    </row>
    <row r="1169" spans="1:17" x14ac:dyDescent="0.25">
      <c r="A1169" s="78" t="s">
        <v>130</v>
      </c>
      <c r="B1169" s="2">
        <v>45941</v>
      </c>
      <c r="C1169" s="68" t="s">
        <v>12</v>
      </c>
      <c r="D1169" s="68" t="s">
        <v>76</v>
      </c>
      <c r="E1169" s="68" t="s">
        <v>36</v>
      </c>
      <c r="F1169">
        <v>91</v>
      </c>
      <c r="G1169" s="12" t="s">
        <v>62</v>
      </c>
      <c r="H1169" s="9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Log'!$E$2:$V$70,
    MATCH(1,
      ('Golf Log'!$A$2:$A$70=$A1169)*
      ('Golf Log'!$B$2:$B$70=$B1169)*
      ('Golf Log'!$C$2:$C$70=$C1169),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Log'!$E$2:$V$70,
    MATCH(1,
      ('Putt Log'!$A$2:$A$70=$A1169)*
      ('Putt Log'!$B$2:$B$70=$B1169)*
      ('Putt Log'!$C$2:$C$70=$C1169),
    0),
    MATCH($G1169,'Putt Log'!$E$1:$V$1,0)
  ),
"")</f>
        <v>2</v>
      </c>
      <c r="P1169" cm="1">
        <f t="array" ref="P1169">IF(K1169=3,"",
  IFERROR(
    INDEX('Fairway Log'!$E$2:$V$70,
      MATCH(1,
        ('Fairway Log'!$A$2:$A$70=$A1169)*
        ('Fairway Log'!$B$2:$B$70=$B1169)*
        ('Fairway Log'!$C$2:$C1240=$C1169),
      0),
      MATCH($G1169,'Fairway Log'!$E$1:$V$1,0)
    ),
  "")
)</f>
        <v>1</v>
      </c>
      <c r="Q1169" t="str" cm="1">
        <f t="array" ref="Q1169">IFERROR(
  INDEX('GIR Log'!$E$2:$V$70,
    MATCH(1,
      ('GIR Log'!$A$2:$A$70=$A1169)*
      ('GIR Log'!$B$2:$B$70=$B1169)*
      ('GIR Log'!$C$2:$C$70=$C1169),
    0),
    MATCH($G1169,'GIR Log'!$E$1:$V$1,0)
  ),
"")</f>
        <v>↓</v>
      </c>
    </row>
    <row r="1170" spans="1:17" x14ac:dyDescent="0.25">
      <c r="A1170" s="78" t="s">
        <v>130</v>
      </c>
      <c r="B1170" s="2">
        <v>45941</v>
      </c>
      <c r="C1170" s="68" t="s">
        <v>12</v>
      </c>
      <c r="D1170" s="68" t="s">
        <v>76</v>
      </c>
      <c r="E1170" s="68" t="s">
        <v>36</v>
      </c>
      <c r="F1170">
        <v>91</v>
      </c>
      <c r="G1170" s="12" t="s">
        <v>63</v>
      </c>
      <c r="H1170" s="9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Log'!$E$2:$V$70,
    MATCH(1,
      ('Golf Log'!$A$2:$A$70=$A1170)*
      ('Golf Log'!$B$2:$B$70=$B1170)*
      ('Golf Log'!$C$2:$C$70=$C1170),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Log'!$E$2:$V$70,
    MATCH(1,
      ('Putt Log'!$A$2:$A$70=$A1170)*
      ('Putt Log'!$B$2:$B$70=$B1170)*
      ('Putt Log'!$C$2:$C$70=$C1170),
    0),
    MATCH($G1170,'Putt Log'!$E$1:$V$1,0)
  ),
"")</f>
        <v>2</v>
      </c>
      <c r="P1170" t="str" cm="1">
        <f t="array" ref="P1170">IF(K1170=3,"",
  IFERROR(
    INDEX('Fairway Log'!$E$2:$V$70,
      MATCH(1,
        ('Fairway Log'!$A$2:$A$70=$A1170)*
        ('Fairway Log'!$B$2:$B$70=$B1170)*
        ('Fairway Log'!$C$2:$C1241=$C1170),
      0),
      MATCH($G1170,'Fairway Log'!$E$1:$V$1,0)
    ),
  "")
)</f>
        <v>←</v>
      </c>
      <c r="Q1170" t="str" cm="1">
        <f t="array" ref="Q1170">IFERROR(
  INDEX('GIR Log'!$E$2:$V$70,
    MATCH(1,
      ('GIR Log'!$A$2:$A$70=$A1170)*
      ('GIR Log'!$B$2:$B$70=$B1170)*
      ('GIR Log'!$C$2:$C$70=$C1170),
    0),
    MATCH($G1170,'GIR Log'!$E$1:$V$1,0)
  ),
"")</f>
        <v>↓</v>
      </c>
    </row>
    <row r="1171" spans="1:17" x14ac:dyDescent="0.25">
      <c r="A1171" s="78" t="s">
        <v>130</v>
      </c>
      <c r="B1171" s="2">
        <v>45941</v>
      </c>
      <c r="C1171" s="68" t="s">
        <v>12</v>
      </c>
      <c r="D1171" s="68" t="s">
        <v>76</v>
      </c>
      <c r="E1171" s="68" t="s">
        <v>36</v>
      </c>
      <c r="F1171">
        <v>91</v>
      </c>
      <c r="G1171" s="12" t="s">
        <v>64</v>
      </c>
      <c r="H1171" s="9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Log'!$E$2:$V$70,
    MATCH(1,
      ('Golf Log'!$A$2:$A$70=$A1171)*
      ('Golf Log'!$B$2:$B$70=$B1171)*
      ('Golf Log'!$C$2:$C$70=$C1171),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Log'!$E$2:$V$70,
    MATCH(1,
      ('Putt Log'!$A$2:$A$70=$A1171)*
      ('Putt Log'!$B$2:$B$70=$B1171)*
      ('Putt Log'!$C$2:$C$70=$C1171),
    0),
    MATCH($G1171,'Putt Log'!$E$1:$V$1,0)
  ),
"")</f>
        <v>2</v>
      </c>
      <c r="P1171" t="str" cm="1">
        <f t="array" ref="P1171">IF(K1171=3,"",
  IFERROR(
    INDEX('Fairway Log'!$E$2:$V$70,
      MATCH(1,
        ('Fairway Log'!$A$2:$A$70=$A1171)*
        ('Fairway Log'!$B$2:$B$70=$B1171)*
        ('Fairway Log'!$C$2:$C1242=$C1171),
      0),
      MATCH($G1171,'Fairway Log'!$E$1:$V$1,0)
    ),
  "")
)</f>
        <v>←</v>
      </c>
      <c r="Q1171" t="str" cm="1">
        <f t="array" ref="Q1171">IFERROR(
  INDEX('GIR Log'!$E$2:$V$70,
    MATCH(1,
      ('GIR Log'!$A$2:$A$70=$A1171)*
      ('GIR Log'!$B$2:$B$70=$B1171)*
      ('GIR Log'!$C$2:$C$70=$C1171),
    0),
    MATCH($G1171,'GIR Log'!$E$1:$V$1,0)
  ),
"")</f>
        <v>↓</v>
      </c>
    </row>
    <row r="1172" spans="1:17" x14ac:dyDescent="0.25">
      <c r="A1172" s="78" t="s">
        <v>130</v>
      </c>
      <c r="B1172" s="2">
        <v>45136</v>
      </c>
      <c r="C1172" s="78" t="s">
        <v>5</v>
      </c>
      <c r="D1172" s="78" t="s">
        <v>5</v>
      </c>
      <c r="E1172" s="78" t="s">
        <v>34</v>
      </c>
      <c r="F1172">
        <v>87</v>
      </c>
      <c r="G1172" s="12" t="s">
        <v>47</v>
      </c>
      <c r="H1172" s="9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Log'!$E$2:$V$70,
    MATCH(1,
      ('Golf Log'!$A$2:$A$70=$A1172)*
      ('Golf Log'!$B$2:$B$70=$B1172)*
      ('Golf Log'!$C$2:$C$70=$C1172),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Log'!$E$2:$V$70,
    MATCH(1,
      ('Putt Log'!$A$2:$A$70=$A1172)*
      ('Putt Log'!$B$2:$B$70=$B1172)*
      ('Putt Log'!$C$2:$C$70=$C1172),
    0),
    MATCH($G1172,'Putt Log'!$E$1:$V$1,0)
  ),
"")</f>
        <v>2</v>
      </c>
      <c r="P1172" cm="1">
        <f t="array" ref="P1172">IF(K1172=3,"",
  IFERROR(
    INDEX('Fairway Log'!$E$2:$V$70,
      MATCH(1,
        ('Fairway Log'!$A$2:$A$70=$A1172)*
        ('Fairway Log'!$B$2:$B$70=$B1172)*
        ('Fairway Log'!$C$2:$C1243=$C1172),
      0),
      MATCH($G1172,'Fairway Log'!$E$1:$V$1,0)
    ),
  "")
)</f>
        <v>1</v>
      </c>
      <c r="Q1172" cm="1">
        <f t="array" ref="Q1172">IFERROR(
  INDEX('GIR Log'!$E$2:$V$70,
    MATCH(1,
      ('GIR Log'!$A$2:$A$70=$A1172)*
      ('GIR Log'!$B$2:$B$70=$B1172)*
      ('GIR Log'!$C$2:$C$70=$C1172),
    0),
    MATCH($G1172,'GIR Log'!$E$1:$V$1,0)
  ),
"")</f>
        <v>1</v>
      </c>
    </row>
    <row r="1173" spans="1:17" x14ac:dyDescent="0.25">
      <c r="A1173" s="78" t="s">
        <v>130</v>
      </c>
      <c r="B1173" s="2">
        <v>45136</v>
      </c>
      <c r="C1173" s="78" t="s">
        <v>5</v>
      </c>
      <c r="D1173" s="78" t="s">
        <v>5</v>
      </c>
      <c r="E1173" s="78" t="s">
        <v>34</v>
      </c>
      <c r="F1173">
        <v>87</v>
      </c>
      <c r="G1173" s="12" t="s">
        <v>48</v>
      </c>
      <c r="H1173" s="9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Log'!$E$2:$V$70,
    MATCH(1,
      ('Golf Log'!$A$2:$A$70=$A1173)*
      ('Golf Log'!$B$2:$B$70=$B1173)*
      ('Golf Log'!$C$2:$C$70=$C1173),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Log'!$E$2:$V$70,
    MATCH(1,
      ('Putt Log'!$A$2:$A$70=$A1173)*
      ('Putt Log'!$B$2:$B$70=$B1173)*
      ('Putt Log'!$C$2:$C$70=$C1173),
    0),
    MATCH($G1173,'Putt Log'!$E$1:$V$1,0)
  ),
"")</f>
        <v>2</v>
      </c>
      <c r="P1173" cm="1">
        <f t="array" ref="P1173">IF(K1173=3,"",
  IFERROR(
    INDEX('Fairway Log'!$E$2:$V$70,
      MATCH(1,
        ('Fairway Log'!$A$2:$A$70=$A1173)*
        ('Fairway Log'!$B$2:$B$70=$B1173)*
        ('Fairway Log'!$C$2:$C1244=$C1173),
      0),
      MATCH($G1173,'Fairway Log'!$E$1:$V$1,0)
    ),
  "")
)</f>
        <v>0</v>
      </c>
      <c r="Q1173" cm="1">
        <f t="array" ref="Q1173">IFERROR(
  INDEX('GIR Log'!$E$2:$V$70,
    MATCH(1,
      ('GIR Log'!$A$2:$A$70=$A1173)*
      ('GIR Log'!$B$2:$B$70=$B1173)*
      ('GIR Log'!$C$2:$C$70=$C1173),
    0),
    MATCH($G1173,'GIR Log'!$E$1:$V$1,0)
  ),
"")</f>
        <v>1</v>
      </c>
    </row>
    <row r="1174" spans="1:17" x14ac:dyDescent="0.25">
      <c r="A1174" s="78" t="s">
        <v>130</v>
      </c>
      <c r="B1174" s="2">
        <v>45136</v>
      </c>
      <c r="C1174" s="78" t="s">
        <v>5</v>
      </c>
      <c r="D1174" s="78" t="s">
        <v>5</v>
      </c>
      <c r="E1174" s="78" t="s">
        <v>34</v>
      </c>
      <c r="F1174">
        <v>87</v>
      </c>
      <c r="G1174" s="12" t="s">
        <v>49</v>
      </c>
      <c r="H1174" s="9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Log'!$E$2:$V$70,
    MATCH(1,
      ('Golf Log'!$A$2:$A$70=$A1174)*
      ('Golf Log'!$B$2:$B$70=$B1174)*
      ('Golf Log'!$C$2:$C$70=$C1174),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Log'!$E$2:$V$70,
    MATCH(1,
      ('Putt Log'!$A$2:$A$70=$A1174)*
      ('Putt Log'!$B$2:$B$70=$B1174)*
      ('Putt Log'!$C$2:$C$70=$C1174),
    0),
    MATCH($G1174,'Putt Log'!$E$1:$V$1,0)
  ),
"")</f>
        <v>1</v>
      </c>
      <c r="P1174" t="str" cm="1">
        <f t="array" ref="P1174">IF(K1174=3,"",
  IFERROR(
    INDEX('Fairway Log'!$E$2:$V$70,
      MATCH(1,
        ('Fairway Log'!$A$2:$A$70=$A1174)*
        ('Fairway Log'!$B$2:$B$70=$B1174)*
        ('Fairway Log'!$C$2:$C1245=$C1174),
      0),
      MATCH($G1174,'Fairway Log'!$E$1:$V$1,0)
    ),
  "")
)</f>
        <v/>
      </c>
      <c r="Q1174" cm="1">
        <f t="array" ref="Q1174">IFERROR(
  INDEX('GIR Log'!$E$2:$V$70,
    MATCH(1,
      ('GIR Log'!$A$2:$A$70=$A1174)*
      ('GIR Log'!$B$2:$B$70=$B1174)*
      ('GIR Log'!$C$2:$C$70=$C1174),
    0),
    MATCH($G1174,'GIR Log'!$E$1:$V$1,0)
  ),
"")</f>
        <v>0</v>
      </c>
    </row>
    <row r="1175" spans="1:17" x14ac:dyDescent="0.25">
      <c r="A1175" s="78" t="s">
        <v>130</v>
      </c>
      <c r="B1175" s="2">
        <v>45136</v>
      </c>
      <c r="C1175" s="78" t="s">
        <v>5</v>
      </c>
      <c r="D1175" s="78" t="s">
        <v>5</v>
      </c>
      <c r="E1175" s="78" t="s">
        <v>34</v>
      </c>
      <c r="F1175">
        <v>87</v>
      </c>
      <c r="G1175" s="12" t="s">
        <v>50</v>
      </c>
      <c r="H1175" s="9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Log'!$E$2:$V$70,
    MATCH(1,
      ('Golf Log'!$A$2:$A$70=$A1175)*
      ('Golf Log'!$B$2:$B$70=$B1175)*
      ('Golf Log'!$C$2:$C$70=$C1175),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Log'!$E$2:$V$70,
    MATCH(1,
      ('Putt Log'!$A$2:$A$70=$A1175)*
      ('Putt Log'!$B$2:$B$70=$B1175)*
      ('Putt Log'!$C$2:$C$70=$C1175),
    0),
    MATCH($G1175,'Putt Log'!$E$1:$V$1,0)
  ),
"")</f>
        <v>2</v>
      </c>
      <c r="P1175" cm="1">
        <f t="array" ref="P1175">IF(K1175=3,"",
  IFERROR(
    INDEX('Fairway Log'!$E$2:$V$70,
      MATCH(1,
        ('Fairway Log'!$A$2:$A$70=$A1175)*
        ('Fairway Log'!$B$2:$B$70=$B1175)*
        ('Fairway Log'!$C$2:$C1246=$C1175),
      0),
      MATCH($G1175,'Fairway Log'!$E$1:$V$1,0)
    ),
  "")
)</f>
        <v>1</v>
      </c>
      <c r="Q1175" cm="1">
        <f t="array" ref="Q1175">IFERROR(
  INDEX('GIR Log'!$E$2:$V$70,
    MATCH(1,
      ('GIR Log'!$A$2:$A$70=$A1175)*
      ('GIR Log'!$B$2:$B$70=$B1175)*
      ('GIR Log'!$C$2:$C$70=$C1175),
    0),
    MATCH($G1175,'GIR Log'!$E$1:$V$1,0)
  ),
"")</f>
        <v>1</v>
      </c>
    </row>
    <row r="1176" spans="1:17" x14ac:dyDescent="0.25">
      <c r="A1176" s="78" t="s">
        <v>130</v>
      </c>
      <c r="B1176" s="2">
        <v>45136</v>
      </c>
      <c r="C1176" s="78" t="s">
        <v>5</v>
      </c>
      <c r="D1176" s="78" t="s">
        <v>5</v>
      </c>
      <c r="E1176" s="78" t="s">
        <v>34</v>
      </c>
      <c r="F1176">
        <v>87</v>
      </c>
      <c r="G1176" s="12" t="s">
        <v>51</v>
      </c>
      <c r="H1176" s="9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Log'!$E$2:$V$70,
    MATCH(1,
      ('Golf Log'!$A$2:$A$70=$A1176)*
      ('Golf Log'!$B$2:$B$70=$B1176)*
      ('Golf Log'!$C$2:$C$70=$C1176),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Log'!$E$2:$V$70,
    MATCH(1,
      ('Putt Log'!$A$2:$A$70=$A1176)*
      ('Putt Log'!$B$2:$B$70=$B1176)*
      ('Putt Log'!$C$2:$C$70=$C1176),
    0),
    MATCH($G1176,'Putt Log'!$E$1:$V$1,0)
  ),
"")</f>
        <v>2</v>
      </c>
      <c r="P1176" cm="1">
        <f t="array" ref="P1176">IF(K1176=3,"",
  IFERROR(
    INDEX('Fairway Log'!$E$2:$V$70,
      MATCH(1,
        ('Fairway Log'!$A$2:$A$70=$A1176)*
        ('Fairway Log'!$B$2:$B$70=$B1176)*
        ('Fairway Log'!$C$2:$C1247=$C1176),
      0),
      MATCH($G1176,'Fairway Log'!$E$1:$V$1,0)
    ),
  "")
)</f>
        <v>1</v>
      </c>
      <c r="Q1176" cm="1">
        <f t="array" ref="Q1176">IFERROR(
  INDEX('GIR Log'!$E$2:$V$70,
    MATCH(1,
      ('GIR Log'!$A$2:$A$70=$A1176)*
      ('GIR Log'!$B$2:$B$70=$B1176)*
      ('GIR Log'!$C$2:$C$70=$C1176),
    0),
    MATCH($G1176,'GIR Log'!$E$1:$V$1,0)
  ),
"")</f>
        <v>1</v>
      </c>
    </row>
    <row r="1177" spans="1:17" x14ac:dyDescent="0.25">
      <c r="A1177" s="78" t="s">
        <v>130</v>
      </c>
      <c r="B1177" s="2">
        <v>45136</v>
      </c>
      <c r="C1177" s="78" t="s">
        <v>5</v>
      </c>
      <c r="D1177" s="78" t="s">
        <v>5</v>
      </c>
      <c r="E1177" s="78" t="s">
        <v>34</v>
      </c>
      <c r="F1177">
        <v>87</v>
      </c>
      <c r="G1177" s="12" t="s">
        <v>52</v>
      </c>
      <c r="H1177" s="9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Log'!$E$2:$V$70,
    MATCH(1,
      ('Golf Log'!$A$2:$A$70=$A1177)*
      ('Golf Log'!$B$2:$B$70=$B1177)*
      ('Golf Log'!$C$2:$C$70=$C1177),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Log'!$E$2:$V$70,
    MATCH(1,
      ('Putt Log'!$A$2:$A$70=$A1177)*
      ('Putt Log'!$B$2:$B$70=$B1177)*
      ('Putt Log'!$C$2:$C$70=$C1177),
    0),
    MATCH($G1177,'Putt Log'!$E$1:$V$1,0)
  ),
"")</f>
        <v>2</v>
      </c>
      <c r="P1177" t="str" cm="1">
        <f t="array" ref="P1177">IF(K1177=3,"",
  IFERROR(
    INDEX('Fairway Log'!$E$2:$V$70,
      MATCH(1,
        ('Fairway Log'!$A$2:$A$70=$A1177)*
        ('Fairway Log'!$B$2:$B$70=$B1177)*
        ('Fairway Log'!$C$2:$C1248=$C1177),
      0),
      MATCH($G1177,'Fairway Log'!$E$1:$V$1,0)
    ),
  "")
)</f>
        <v>→</v>
      </c>
      <c r="Q1177" cm="1">
        <f t="array" ref="Q1177">IFERROR(
  INDEX('GIR Log'!$E$2:$V$70,
    MATCH(1,
      ('GIR Log'!$A$2:$A$70=$A1177)*
      ('GIR Log'!$B$2:$B$70=$B1177)*
      ('GIR Log'!$C$2:$C$70=$C1177),
    0),
    MATCH($G1177,'GIR Log'!$E$1:$V$1,0)
  ),
"")</f>
        <v>0</v>
      </c>
    </row>
    <row r="1178" spans="1:17" x14ac:dyDescent="0.25">
      <c r="A1178" s="78" t="s">
        <v>130</v>
      </c>
      <c r="B1178" s="2">
        <v>45136</v>
      </c>
      <c r="C1178" s="78" t="s">
        <v>5</v>
      </c>
      <c r="D1178" s="78" t="s">
        <v>5</v>
      </c>
      <c r="E1178" s="78" t="s">
        <v>34</v>
      </c>
      <c r="F1178">
        <v>87</v>
      </c>
      <c r="G1178" s="12" t="s">
        <v>53</v>
      </c>
      <c r="H1178" s="9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Log'!$E$2:$V$70,
    MATCH(1,
      ('Golf Log'!$A$2:$A$70=$A1178)*
      ('Golf Log'!$B$2:$B$70=$B1178)*
      ('Golf Log'!$C$2:$C$70=$C1178),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Log'!$E$2:$V$70,
    MATCH(1,
      ('Putt Log'!$A$2:$A$70=$A1178)*
      ('Putt Log'!$B$2:$B$70=$B1178)*
      ('Putt Log'!$C$2:$C$70=$C1178),
    0),
    MATCH($G1178,'Putt Log'!$E$1:$V$1,0)
  ),
"")</f>
        <v>2</v>
      </c>
      <c r="P1178" t="str" cm="1">
        <f t="array" ref="P1178">IF(K1178=3,"",
  IFERROR(
    INDEX('Fairway Log'!$E$2:$V$70,
      MATCH(1,
        ('Fairway Log'!$A$2:$A$70=$A1178)*
        ('Fairway Log'!$B$2:$B$70=$B1178)*
        ('Fairway Log'!$C$2:$C1249=$C1178),
      0),
      MATCH($G1178,'Fairway Log'!$E$1:$V$1,0)
    ),
  "")
)</f>
        <v/>
      </c>
      <c r="Q1178" cm="1">
        <f t="array" ref="Q1178">IFERROR(
  INDEX('GIR Log'!$E$2:$V$70,
    MATCH(1,
      ('GIR Log'!$A$2:$A$70=$A1178)*
      ('GIR Log'!$B$2:$B$70=$B1178)*
      ('GIR Log'!$C$2:$C$70=$C1178),
    0),
    MATCH($G1178,'GIR Log'!$E$1:$V$1,0)
  ),
"")</f>
        <v>0</v>
      </c>
    </row>
    <row r="1179" spans="1:17" x14ac:dyDescent="0.25">
      <c r="A1179" s="78" t="s">
        <v>130</v>
      </c>
      <c r="B1179" s="2">
        <v>45136</v>
      </c>
      <c r="C1179" s="78" t="s">
        <v>5</v>
      </c>
      <c r="D1179" s="78" t="s">
        <v>5</v>
      </c>
      <c r="E1179" s="78" t="s">
        <v>34</v>
      </c>
      <c r="F1179">
        <v>87</v>
      </c>
      <c r="G1179" s="12" t="s">
        <v>54</v>
      </c>
      <c r="H1179" s="9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Log'!$E$2:$V$70,
    MATCH(1,
      ('Golf Log'!$A$2:$A$70=$A1179)*
      ('Golf Log'!$B$2:$B$70=$B1179)*
      ('Golf Log'!$C$2:$C$70=$C1179),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Log'!$E$2:$V$70,
    MATCH(1,
      ('Putt Log'!$A$2:$A$70=$A1179)*
      ('Putt Log'!$B$2:$B$70=$B1179)*
      ('Putt Log'!$C$2:$C$70=$C1179),
    0),
    MATCH($G1179,'Putt Log'!$E$1:$V$1,0)
  ),
"")</f>
        <v>2</v>
      </c>
      <c r="P1179" t="str" cm="1">
        <f t="array" ref="P1179">IF(K1179=3,"",
  IFERROR(
    INDEX('Fairway Log'!$E$2:$V$70,
      MATCH(1,
        ('Fairway Log'!$A$2:$A$70=$A1179)*
        ('Fairway Log'!$B$2:$B$70=$B1179)*
        ('Fairway Log'!$C$2:$C1250=$C1179),
      0),
      MATCH($G1179,'Fairway Log'!$E$1:$V$1,0)
    ),
  "")
)</f>
        <v>→</v>
      </c>
      <c r="Q1179" cm="1">
        <f t="array" ref="Q1179">IFERROR(
  INDEX('GIR Log'!$E$2:$V$70,
    MATCH(1,
      ('GIR Log'!$A$2:$A$70=$A1179)*
      ('GIR Log'!$B$2:$B$70=$B1179)*
      ('GIR Log'!$C$2:$C$70=$C1179),
    0),
    MATCH($G1179,'GIR Log'!$E$1:$V$1,0)
  ),
"")</f>
        <v>0</v>
      </c>
    </row>
    <row r="1180" spans="1:17" x14ac:dyDescent="0.25">
      <c r="A1180" s="78" t="s">
        <v>130</v>
      </c>
      <c r="B1180" s="2">
        <v>45136</v>
      </c>
      <c r="C1180" s="78" t="s">
        <v>5</v>
      </c>
      <c r="D1180" s="78" t="s">
        <v>5</v>
      </c>
      <c r="E1180" s="78" t="s">
        <v>34</v>
      </c>
      <c r="F1180">
        <v>87</v>
      </c>
      <c r="G1180" s="12" t="s">
        <v>55</v>
      </c>
      <c r="H1180" s="9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Log'!$E$2:$V$70,
    MATCH(1,
      ('Golf Log'!$A$2:$A$70=$A1180)*
      ('Golf Log'!$B$2:$B$70=$B1180)*
      ('Golf Log'!$C$2:$C$70=$C1180),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Log'!$E$2:$V$70,
    MATCH(1,
      ('Putt Log'!$A$2:$A$70=$A1180)*
      ('Putt Log'!$B$2:$B$70=$B1180)*
      ('Putt Log'!$C$2:$C$70=$C1180),
    0),
    MATCH($G1180,'Putt Log'!$E$1:$V$1,0)
  ),
"")</f>
        <v>2</v>
      </c>
      <c r="P1180" t="str" cm="1">
        <f t="array" ref="P1180">IF(K1180=3,"",
  IFERROR(
    INDEX('Fairway Log'!$E$2:$V$70,
      MATCH(1,
        ('Fairway Log'!$A$2:$A$70=$A1180)*
        ('Fairway Log'!$B$2:$B$70=$B1180)*
        ('Fairway Log'!$C$2:$C1251=$C1180),
      0),
      MATCH($G1180,'Fairway Log'!$E$1:$V$1,0)
    ),
  "")
)</f>
        <v>→</v>
      </c>
      <c r="Q1180" cm="1">
        <f t="array" ref="Q1180">IFERROR(
  INDEX('GIR Log'!$E$2:$V$70,
    MATCH(1,
      ('GIR Log'!$A$2:$A$70=$A1180)*
      ('GIR Log'!$B$2:$B$70=$B1180)*
      ('GIR Log'!$C$2:$C$70=$C1180),
    0),
    MATCH($G1180,'GIR Log'!$E$1:$V$1,0)
  ),
"")</f>
        <v>0</v>
      </c>
    </row>
    <row r="1181" spans="1:17" x14ac:dyDescent="0.25">
      <c r="A1181" s="78" t="s">
        <v>130</v>
      </c>
      <c r="B1181" s="2">
        <v>45136</v>
      </c>
      <c r="C1181" s="78" t="s">
        <v>5</v>
      </c>
      <c r="D1181" s="78" t="s">
        <v>5</v>
      </c>
      <c r="E1181" s="78" t="s">
        <v>34</v>
      </c>
      <c r="F1181">
        <v>87</v>
      </c>
      <c r="G1181" s="12" t="s">
        <v>56</v>
      </c>
      <c r="H1181" s="9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Log'!$E$2:$V$70,
    MATCH(1,
      ('Golf Log'!$A$2:$A$70=$A1181)*
      ('Golf Log'!$B$2:$B$70=$B1181)*
      ('Golf Log'!$C$2:$C$70=$C1181),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Log'!$E$2:$V$70,
    MATCH(1,
      ('Putt Log'!$A$2:$A$70=$A1181)*
      ('Putt Log'!$B$2:$B$70=$B1181)*
      ('Putt Log'!$C$2:$C$70=$C1181),
    0),
    MATCH($G1181,'Putt Log'!$E$1:$V$1,0)
  ),
"")</f>
        <v>1</v>
      </c>
      <c r="P1181" t="str" cm="1">
        <f t="array" ref="P1181">IF(K1181=3,"",
  IFERROR(
    INDEX('Fairway Log'!$E$2:$V$70,
      MATCH(1,
        ('Fairway Log'!$A$2:$A$70=$A1181)*
        ('Fairway Log'!$B$2:$B$70=$B1181)*
        ('Fairway Log'!$C$2:$C1252=$C1181),
      0),
      MATCH($G1181,'Fairway Log'!$E$1:$V$1,0)
    ),
  "")
)</f>
        <v>→</v>
      </c>
      <c r="Q1181" cm="1">
        <f t="array" ref="Q1181">IFERROR(
  INDEX('GIR Log'!$E$2:$V$70,
    MATCH(1,
      ('GIR Log'!$A$2:$A$70=$A1181)*
      ('GIR Log'!$B$2:$B$70=$B1181)*
      ('GIR Log'!$C$2:$C$70=$C1181),
    0),
    MATCH($G1181,'GIR Log'!$E$1:$V$1,0)
  ),
"")</f>
        <v>0</v>
      </c>
    </row>
    <row r="1182" spans="1:17" x14ac:dyDescent="0.25">
      <c r="A1182" s="78" t="s">
        <v>130</v>
      </c>
      <c r="B1182" s="2">
        <v>45136</v>
      </c>
      <c r="C1182" s="78" t="s">
        <v>5</v>
      </c>
      <c r="D1182" s="78" t="s">
        <v>5</v>
      </c>
      <c r="E1182" s="78" t="s">
        <v>34</v>
      </c>
      <c r="F1182">
        <v>87</v>
      </c>
      <c r="G1182" s="12" t="s">
        <v>57</v>
      </c>
      <c r="H1182" s="9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Log'!$E$2:$V$70,
    MATCH(1,
      ('Golf Log'!$A$2:$A$70=$A1182)*
      ('Golf Log'!$B$2:$B$70=$B1182)*
      ('Golf Log'!$C$2:$C$70=$C1182),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Log'!$E$2:$V$70,
    MATCH(1,
      ('Putt Log'!$A$2:$A$70=$A1182)*
      ('Putt Log'!$B$2:$B$70=$B1182)*
      ('Putt Log'!$C$2:$C$70=$C1182),
    0),
    MATCH($G1182,'Putt Log'!$E$1:$V$1,0)
  ),
"")</f>
        <v>2</v>
      </c>
      <c r="P1182" t="str" cm="1">
        <f t="array" ref="P1182">IF(K1182=3,"",
  IFERROR(
    INDEX('Fairway Log'!$E$2:$V$70,
      MATCH(1,
        ('Fairway Log'!$A$2:$A$70=$A1182)*
        ('Fairway Log'!$B$2:$B$70=$B1182)*
        ('Fairway Log'!$C$2:$C1253=$C1182),
      0),
      MATCH($G1182,'Fairway Log'!$E$1:$V$1,0)
    ),
  "")
)</f>
        <v/>
      </c>
      <c r="Q1182" cm="1">
        <f t="array" ref="Q1182">IFERROR(
  INDEX('GIR Log'!$E$2:$V$70,
    MATCH(1,
      ('GIR Log'!$A$2:$A$70=$A1182)*
      ('GIR Log'!$B$2:$B$70=$B1182)*
      ('GIR Log'!$C$2:$C$70=$C1182),
    0),
    MATCH($G1182,'GIR Log'!$E$1:$V$1,0)
  ),
"")</f>
        <v>0</v>
      </c>
    </row>
    <row r="1183" spans="1:17" x14ac:dyDescent="0.25">
      <c r="A1183" s="78" t="s">
        <v>130</v>
      </c>
      <c r="B1183" s="2">
        <v>45136</v>
      </c>
      <c r="C1183" s="78" t="s">
        <v>5</v>
      </c>
      <c r="D1183" s="78" t="s">
        <v>5</v>
      </c>
      <c r="E1183" s="78" t="s">
        <v>34</v>
      </c>
      <c r="F1183">
        <v>87</v>
      </c>
      <c r="G1183" s="12" t="s">
        <v>58</v>
      </c>
      <c r="H1183" s="9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Log'!$E$2:$V$70,
    MATCH(1,
      ('Golf Log'!$A$2:$A$70=$A1183)*
      ('Golf Log'!$B$2:$B$70=$B1183)*
      ('Golf Log'!$C$2:$C$70=$C1183),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Log'!$E$2:$V$70,
    MATCH(1,
      ('Putt Log'!$A$2:$A$70=$A1183)*
      ('Putt Log'!$B$2:$B$70=$B1183)*
      ('Putt Log'!$C$2:$C$70=$C1183),
    0),
    MATCH($G1183,'Putt Log'!$E$1:$V$1,0)
  ),
"")</f>
        <v>2</v>
      </c>
      <c r="P1183" t="str" cm="1">
        <f t="array" ref="P1183">IF(K1183=3,"",
  IFERROR(
    INDEX('Fairway Log'!$E$2:$V$70,
      MATCH(1,
        ('Fairway Log'!$A$2:$A$70=$A1183)*
        ('Fairway Log'!$B$2:$B$70=$B1183)*
        ('Fairway Log'!$C$2:$C1254=$C1183),
      0),
      MATCH($G1183,'Fairway Log'!$E$1:$V$1,0)
    ),
  "")
)</f>
        <v>→</v>
      </c>
      <c r="Q1183" cm="1">
        <f t="array" ref="Q1183">IFERROR(
  INDEX('GIR Log'!$E$2:$V$70,
    MATCH(1,
      ('GIR Log'!$A$2:$A$70=$A1183)*
      ('GIR Log'!$B$2:$B$70=$B1183)*
      ('GIR Log'!$C$2:$C$70=$C1183),
    0),
    MATCH($G1183,'GIR Log'!$E$1:$V$1,0)
  ),
"")</f>
        <v>0</v>
      </c>
    </row>
    <row r="1184" spans="1:17" x14ac:dyDescent="0.25">
      <c r="A1184" s="78" t="s">
        <v>130</v>
      </c>
      <c r="B1184" s="2">
        <v>45136</v>
      </c>
      <c r="C1184" s="78" t="s">
        <v>5</v>
      </c>
      <c r="D1184" s="78" t="s">
        <v>5</v>
      </c>
      <c r="E1184" s="78" t="s">
        <v>34</v>
      </c>
      <c r="F1184">
        <v>87</v>
      </c>
      <c r="G1184" s="12" t="s">
        <v>59</v>
      </c>
      <c r="H1184" s="9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Log'!$E$2:$V$70,
    MATCH(1,
      ('Golf Log'!$A$2:$A$70=$A1184)*
      ('Golf Log'!$B$2:$B$70=$B1184)*
      ('Golf Log'!$C$2:$C$70=$C1184),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Log'!$E$2:$V$70,
    MATCH(1,
      ('Putt Log'!$A$2:$A$70=$A1184)*
      ('Putt Log'!$B$2:$B$70=$B1184)*
      ('Putt Log'!$C$2:$C$70=$C1184),
    0),
    MATCH($G1184,'Putt Log'!$E$1:$V$1,0)
  ),
"")</f>
        <v>2</v>
      </c>
      <c r="P1184" t="str" cm="1">
        <f t="array" ref="P1184">IF(K1184=3,"",
  IFERROR(
    INDEX('Fairway Log'!$E$2:$V$70,
      MATCH(1,
        ('Fairway Log'!$A$2:$A$70=$A1184)*
        ('Fairway Log'!$B$2:$B$70=$B1184)*
        ('Fairway Log'!$C$2:$C1255=$C1184),
      0),
      MATCH($G1184,'Fairway Log'!$E$1:$V$1,0)
    ),
  "")
)</f>
        <v>←</v>
      </c>
      <c r="Q1184" cm="1">
        <f t="array" ref="Q1184">IFERROR(
  INDEX('GIR Log'!$E$2:$V$70,
    MATCH(1,
      ('GIR Log'!$A$2:$A$70=$A1184)*
      ('GIR Log'!$B$2:$B$70=$B1184)*
      ('GIR Log'!$C$2:$C$70=$C1184),
    0),
    MATCH($G1184,'GIR Log'!$E$1:$V$1,0)
  ),
"")</f>
        <v>1</v>
      </c>
    </row>
    <row r="1185" spans="1:17" x14ac:dyDescent="0.25">
      <c r="A1185" s="78" t="s">
        <v>130</v>
      </c>
      <c r="B1185" s="2">
        <v>45136</v>
      </c>
      <c r="C1185" s="78" t="s">
        <v>5</v>
      </c>
      <c r="D1185" s="78" t="s">
        <v>5</v>
      </c>
      <c r="E1185" s="78" t="s">
        <v>34</v>
      </c>
      <c r="F1185">
        <v>87</v>
      </c>
      <c r="G1185" s="12" t="s">
        <v>60</v>
      </c>
      <c r="H1185" s="9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Log'!$E$2:$V$70,
    MATCH(1,
      ('Golf Log'!$A$2:$A$70=$A1185)*
      ('Golf Log'!$B$2:$B$70=$B1185)*
      ('Golf Log'!$C$2:$C$70=$C1185),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Log'!$E$2:$V$70,
    MATCH(1,
      ('Putt Log'!$A$2:$A$70=$A1185)*
      ('Putt Log'!$B$2:$B$70=$B1185)*
      ('Putt Log'!$C$2:$C$70=$C1185),
    0),
    MATCH($G1185,'Putt Log'!$E$1:$V$1,0)
  ),
"")</f>
        <v>2</v>
      </c>
      <c r="P1185" t="str" cm="1">
        <f t="array" ref="P1185">IF(K1185=3,"",
  IFERROR(
    INDEX('Fairway Log'!$E$2:$V$70,
      MATCH(1,
        ('Fairway Log'!$A$2:$A$70=$A1185)*
        ('Fairway Log'!$B$2:$B$70=$B1185)*
        ('Fairway Log'!$C$2:$C1256=$C1185),
      0),
      MATCH($G1185,'Fairway Log'!$E$1:$V$1,0)
    ),
  "")
)</f>
        <v>←</v>
      </c>
      <c r="Q1185" cm="1">
        <f t="array" ref="Q1185">IFERROR(
  INDEX('GIR Log'!$E$2:$V$70,
    MATCH(1,
      ('GIR Log'!$A$2:$A$70=$A1185)*
      ('GIR Log'!$B$2:$B$70=$B1185)*
      ('GIR Log'!$C$2:$C$70=$C1185),
    0),
    MATCH($G1185,'GIR Log'!$E$1:$V$1,0)
  ),
"")</f>
        <v>0</v>
      </c>
    </row>
    <row r="1186" spans="1:17" x14ac:dyDescent="0.25">
      <c r="A1186" s="78" t="s">
        <v>130</v>
      </c>
      <c r="B1186" s="2">
        <v>45136</v>
      </c>
      <c r="C1186" s="78" t="s">
        <v>5</v>
      </c>
      <c r="D1186" s="78" t="s">
        <v>5</v>
      </c>
      <c r="E1186" s="78" t="s">
        <v>34</v>
      </c>
      <c r="F1186">
        <v>87</v>
      </c>
      <c r="G1186" s="12" t="s">
        <v>61</v>
      </c>
      <c r="H1186" s="9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Log'!$E$2:$V$70,
    MATCH(1,
      ('Golf Log'!$A$2:$A$70=$A1186)*
      ('Golf Log'!$B$2:$B$70=$B1186)*
      ('Golf Log'!$C$2:$C$70=$C1186),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Log'!$E$2:$V$70,
    MATCH(1,
      ('Putt Log'!$A$2:$A$70=$A1186)*
      ('Putt Log'!$B$2:$B$70=$B1186)*
      ('Putt Log'!$C$2:$C$70=$C1186),
    0),
    MATCH($G1186,'Putt Log'!$E$1:$V$1,0)
  ),
"")</f>
        <v>2</v>
      </c>
      <c r="P1186" t="str" cm="1">
        <f t="array" ref="P1186">IF(K1186=3,"",
  IFERROR(
    INDEX('Fairway Log'!$E$2:$V$70,
      MATCH(1,
        ('Fairway Log'!$A$2:$A$70=$A1186)*
        ('Fairway Log'!$B$2:$B$70=$B1186)*
        ('Fairway Log'!$C$2:$C1257=$C1186),
      0),
      MATCH($G1186,'Fairway Log'!$E$1:$V$1,0)
    ),
  "")
)</f>
        <v>←</v>
      </c>
      <c r="Q1186" cm="1">
        <f t="array" ref="Q1186">IFERROR(
  INDEX('GIR Log'!$E$2:$V$70,
    MATCH(1,
      ('GIR Log'!$A$2:$A$70=$A1186)*
      ('GIR Log'!$B$2:$B$70=$B1186)*
      ('GIR Log'!$C$2:$C$70=$C1186),
    0),
    MATCH($G1186,'GIR Log'!$E$1:$V$1,0)
  ),
"")</f>
        <v>0</v>
      </c>
    </row>
    <row r="1187" spans="1:17" x14ac:dyDescent="0.25">
      <c r="A1187" s="78" t="s">
        <v>130</v>
      </c>
      <c r="B1187" s="2">
        <v>45136</v>
      </c>
      <c r="C1187" s="78" t="s">
        <v>5</v>
      </c>
      <c r="D1187" s="78" t="s">
        <v>5</v>
      </c>
      <c r="E1187" s="78" t="s">
        <v>34</v>
      </c>
      <c r="F1187">
        <v>87</v>
      </c>
      <c r="G1187" s="12" t="s">
        <v>62</v>
      </c>
      <c r="H1187" s="9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Log'!$E$2:$V$70,
    MATCH(1,
      ('Golf Log'!$A$2:$A$70=$A1187)*
      ('Golf Log'!$B$2:$B$70=$B1187)*
      ('Golf Log'!$C$2:$C$70=$C1187),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Log'!$E$2:$V$70,
    MATCH(1,
      ('Putt Log'!$A$2:$A$70=$A1187)*
      ('Putt Log'!$B$2:$B$70=$B1187)*
      ('Putt Log'!$C$2:$C$70=$C1187),
    0),
    MATCH($G1187,'Putt Log'!$E$1:$V$1,0)
  ),
"")</f>
        <v>2</v>
      </c>
      <c r="P1187" t="str" cm="1">
        <f t="array" ref="P1187">IF(K1187=3,"",
  IFERROR(
    INDEX('Fairway Log'!$E$2:$V$70,
      MATCH(1,
        ('Fairway Log'!$A$2:$A$70=$A1187)*
        ('Fairway Log'!$B$2:$B$70=$B1187)*
        ('Fairway Log'!$C$2:$C1258=$C1187),
      0),
      MATCH($G1187,'Fairway Log'!$E$1:$V$1,0)
    ),
  "")
)</f>
        <v>←</v>
      </c>
      <c r="Q1187" cm="1">
        <f t="array" ref="Q1187">IFERROR(
  INDEX('GIR Log'!$E$2:$V$70,
    MATCH(1,
      ('GIR Log'!$A$2:$A$70=$A1187)*
      ('GIR Log'!$B$2:$B$70=$B1187)*
      ('GIR Log'!$C$2:$C$70=$C1187),
    0),
    MATCH($G1187,'GIR Log'!$E$1:$V$1,0)
  ),
"")</f>
        <v>0</v>
      </c>
    </row>
    <row r="1188" spans="1:17" x14ac:dyDescent="0.25">
      <c r="A1188" s="78" t="s">
        <v>130</v>
      </c>
      <c r="B1188" s="2">
        <v>45136</v>
      </c>
      <c r="C1188" s="78" t="s">
        <v>5</v>
      </c>
      <c r="D1188" s="78" t="s">
        <v>5</v>
      </c>
      <c r="E1188" s="78" t="s">
        <v>34</v>
      </c>
      <c r="F1188">
        <v>87</v>
      </c>
      <c r="G1188" s="12" t="s">
        <v>63</v>
      </c>
      <c r="H1188" s="9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Log'!$E$2:$V$70,
    MATCH(1,
      ('Golf Log'!$A$2:$A$70=$A1188)*
      ('Golf Log'!$B$2:$B$70=$B1188)*
      ('Golf Log'!$C$2:$C$70=$C1188),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Log'!$E$2:$V$70,
    MATCH(1,
      ('Putt Log'!$A$2:$A$70=$A1188)*
      ('Putt Log'!$B$2:$B$70=$B1188)*
      ('Putt Log'!$C$2:$C$70=$C1188),
    0),
    MATCH($G1188,'Putt Log'!$E$1:$V$1,0)
  ),
"")</f>
        <v>2</v>
      </c>
      <c r="P1188" t="str" cm="1">
        <f t="array" ref="P1188">IF(K1188=3,"",
  IFERROR(
    INDEX('Fairway Log'!$E$2:$V$70,
      MATCH(1,
        ('Fairway Log'!$A$2:$A$70=$A1188)*
        ('Fairway Log'!$B$2:$B$70=$B1188)*
        ('Fairway Log'!$C$2:$C1259=$C1188),
      0),
      MATCH($G1188,'Fairway Log'!$E$1:$V$1,0)
    ),
  "")
)</f>
        <v/>
      </c>
      <c r="Q1188" cm="1">
        <f t="array" ref="Q1188">IFERROR(
  INDEX('GIR Log'!$E$2:$V$70,
    MATCH(1,
      ('GIR Log'!$A$2:$A$70=$A1188)*
      ('GIR Log'!$B$2:$B$70=$B1188)*
      ('GIR Log'!$C$2:$C$70=$C1188),
    0),
    MATCH($G1188,'GIR Log'!$E$1:$V$1,0)
  ),
"")</f>
        <v>0</v>
      </c>
    </row>
    <row r="1189" spans="1:17" x14ac:dyDescent="0.25">
      <c r="A1189" s="78" t="s">
        <v>130</v>
      </c>
      <c r="B1189" s="2">
        <v>45136</v>
      </c>
      <c r="C1189" s="78" t="s">
        <v>5</v>
      </c>
      <c r="D1189" s="78" t="s">
        <v>5</v>
      </c>
      <c r="E1189" s="78" t="s">
        <v>34</v>
      </c>
      <c r="F1189">
        <v>87</v>
      </c>
      <c r="G1189" s="12" t="s">
        <v>64</v>
      </c>
      <c r="H1189" s="9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Log'!$E$2:$V$70,
    MATCH(1,
      ('Golf Log'!$A$2:$A$70=$A1189)*
      ('Golf Log'!$B$2:$B$70=$B1189)*
      ('Golf Log'!$C$2:$C$70=$C1189),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Log'!$E$2:$V$70,
    MATCH(1,
      ('Putt Log'!$A$2:$A$70=$A1189)*
      ('Putt Log'!$B$2:$B$70=$B1189)*
      ('Putt Log'!$C$2:$C$70=$C1189),
    0),
    MATCH($G1189,'Putt Log'!$E$1:$V$1,0)
  ),
"")</f>
        <v>2</v>
      </c>
      <c r="P1189" cm="1">
        <f t="array" ref="P1189">IF(K1189=3,"",
  IFERROR(
    INDEX('Fairway Log'!$E$2:$V$70,
      MATCH(1,
        ('Fairway Log'!$A$2:$A$70=$A1189)*
        ('Fairway Log'!$B$2:$B$70=$B1189)*
        ('Fairway Log'!$C$2:$C1260=$C1189),
      0),
      MATCH($G1189,'Fairway Log'!$E$1:$V$1,0)
    ),
  "")
)</f>
        <v>1</v>
      </c>
      <c r="Q1189" cm="1">
        <f t="array" ref="Q1189">IFERROR(
  INDEX('GIR Log'!$E$2:$V$70,
    MATCH(1,
      ('GIR Log'!$A$2:$A$70=$A1189)*
      ('GIR Log'!$B$2:$B$70=$B1189)*
      ('GIR Log'!$C$2:$C$70=$C1189),
    0),
    MATCH($G1189,'GIR Log'!$E$1:$V$1,0)
  ),
"")</f>
        <v>1</v>
      </c>
    </row>
    <row r="1190" spans="1:17" x14ac:dyDescent="0.25">
      <c r="A1190" s="78" t="s">
        <v>130</v>
      </c>
      <c r="B1190" s="2">
        <v>45143</v>
      </c>
      <c r="C1190" s="78" t="s">
        <v>9</v>
      </c>
      <c r="D1190" s="78" t="s">
        <v>9</v>
      </c>
      <c r="E1190" s="78" t="s">
        <v>34</v>
      </c>
      <c r="F1190">
        <v>84</v>
      </c>
      <c r="G1190" s="12" t="s">
        <v>47</v>
      </c>
      <c r="H1190" s="9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Log'!$E$2:$V$70,
    MATCH(1,
      ('Golf Log'!$A$2:$A$70=$A1190)*
      ('Golf Log'!$B$2:$B$70=$B1190)*
      ('Golf Log'!$C$2:$C$70=$C1190),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Log'!$E$2:$V$70,
    MATCH(1,
      ('Putt Log'!$A$2:$A$70=$A1190)*
      ('Putt Log'!$B$2:$B$70=$B1190)*
      ('Putt Log'!$C$2:$C$70=$C1190),
    0),
    MATCH($G1190,'Putt Log'!$E$1:$V$1,0)
  ),
"")</f>
        <v>3</v>
      </c>
      <c r="P1190" t="str" cm="1">
        <f t="array" ref="P1190">IF(K1190=3,"",
  IFERROR(
    INDEX('Fairway Log'!$E$2:$V$70,
      MATCH(1,
        ('Fairway Log'!$A$2:$A$70=$A1190)*
        ('Fairway Log'!$B$2:$B$70=$B1190)*
        ('Fairway Log'!$C$2:$C1261=$C1190),
      0),
      MATCH($G1190,'Fairway Log'!$E$1:$V$1,0)
    ),
  "")
)</f>
        <v>↑</v>
      </c>
      <c r="Q1190" cm="1">
        <f t="array" ref="Q1190">IFERROR(
  INDEX('GIR Log'!$E$2:$V$70,
    MATCH(1,
      ('GIR Log'!$A$2:$A$70=$A1190)*
      ('GIR Log'!$B$2:$B$70=$B1190)*
      ('GIR Log'!$C$2:$C$70=$C1190),
    0),
    MATCH($G1190,'GIR Log'!$E$1:$V$1,0)
  ),
"")</f>
        <v>1</v>
      </c>
    </row>
    <row r="1191" spans="1:17" x14ac:dyDescent="0.25">
      <c r="A1191" s="78" t="s">
        <v>130</v>
      </c>
      <c r="B1191" s="2">
        <v>45143</v>
      </c>
      <c r="C1191" s="78" t="s">
        <v>9</v>
      </c>
      <c r="D1191" s="78" t="s">
        <v>9</v>
      </c>
      <c r="E1191" s="78" t="s">
        <v>34</v>
      </c>
      <c r="F1191">
        <v>84</v>
      </c>
      <c r="G1191" s="12" t="s">
        <v>48</v>
      </c>
      <c r="H1191" s="9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Log'!$E$2:$V$70,
    MATCH(1,
      ('Golf Log'!$A$2:$A$70=$A1191)*
      ('Golf Log'!$B$2:$B$70=$B1191)*
      ('Golf Log'!$C$2:$C$70=$C1191),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Log'!$E$2:$V$70,
    MATCH(1,
      ('Putt Log'!$A$2:$A$70=$A1191)*
      ('Putt Log'!$B$2:$B$70=$B1191)*
      ('Putt Log'!$C$2:$C$70=$C1191),
    0),
    MATCH($G1191,'Putt Log'!$E$1:$V$1,0)
  ),
"")</f>
        <v>3</v>
      </c>
      <c r="P1191" t="str" cm="1">
        <f t="array" ref="P1191">IF(K1191=3,"",
  IFERROR(
    INDEX('Fairway Log'!$E$2:$V$70,
      MATCH(1,
        ('Fairway Log'!$A$2:$A$70=$A1191)*
        ('Fairway Log'!$B$2:$B$70=$B1191)*
        ('Fairway Log'!$C$2:$C1262=$C1191),
      0),
      MATCH($G1191,'Fairway Log'!$E$1:$V$1,0)
    ),
  "")
)</f>
        <v>↓</v>
      </c>
      <c r="Q1191" cm="1">
        <f t="array" ref="Q1191">IFERROR(
  INDEX('GIR Log'!$E$2:$V$70,
    MATCH(1,
      ('GIR Log'!$A$2:$A$70=$A1191)*
      ('GIR Log'!$B$2:$B$70=$B1191)*
      ('GIR Log'!$C$2:$C$70=$C1191),
    0),
    MATCH($G1191,'GIR Log'!$E$1:$V$1,0)
  ),
"")</f>
        <v>0</v>
      </c>
    </row>
    <row r="1192" spans="1:17" x14ac:dyDescent="0.25">
      <c r="A1192" s="78" t="s">
        <v>130</v>
      </c>
      <c r="B1192" s="2">
        <v>45143</v>
      </c>
      <c r="C1192" s="78" t="s">
        <v>9</v>
      </c>
      <c r="D1192" s="78" t="s">
        <v>9</v>
      </c>
      <c r="E1192" s="78" t="s">
        <v>34</v>
      </c>
      <c r="F1192">
        <v>84</v>
      </c>
      <c r="G1192" s="12" t="s">
        <v>49</v>
      </c>
      <c r="H1192" s="9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Log'!$E$2:$V$70,
    MATCH(1,
      ('Golf Log'!$A$2:$A$70=$A1192)*
      ('Golf Log'!$B$2:$B$70=$B1192)*
      ('Golf Log'!$C$2:$C$70=$C1192),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Log'!$E$2:$V$70,
    MATCH(1,
      ('Putt Log'!$A$2:$A$70=$A1192)*
      ('Putt Log'!$B$2:$B$70=$B1192)*
      ('Putt Log'!$C$2:$C$70=$C1192),
    0),
    MATCH($G1192,'Putt Log'!$E$1:$V$1,0)
  ),
"")</f>
        <v>2</v>
      </c>
      <c r="P1192" t="str" cm="1">
        <f t="array" ref="P1192">IF(K1192=3,"",
  IFERROR(
    INDEX('Fairway Log'!$E$2:$V$70,
      MATCH(1,
        ('Fairway Log'!$A$2:$A$70=$A1192)*
        ('Fairway Log'!$B$2:$B$70=$B1192)*
        ('Fairway Log'!$C$2:$C1263=$C1192),
      0),
      MATCH($G1192,'Fairway Log'!$E$1:$V$1,0)
    ),
  "")
)</f>
        <v>←</v>
      </c>
      <c r="Q1192" cm="1">
        <f t="array" ref="Q1192">IFERROR(
  INDEX('GIR Log'!$E$2:$V$70,
    MATCH(1,
      ('GIR Log'!$A$2:$A$70=$A1192)*
      ('GIR Log'!$B$2:$B$70=$B1192)*
      ('GIR Log'!$C$2:$C$70=$C1192),
    0),
    MATCH($G1192,'GIR Log'!$E$1:$V$1,0)
  ),
"")</f>
        <v>1</v>
      </c>
    </row>
    <row r="1193" spans="1:17" x14ac:dyDescent="0.25">
      <c r="A1193" s="78" t="s">
        <v>130</v>
      </c>
      <c r="B1193" s="2">
        <v>45143</v>
      </c>
      <c r="C1193" s="78" t="s">
        <v>9</v>
      </c>
      <c r="D1193" s="78" t="s">
        <v>9</v>
      </c>
      <c r="E1193" s="78" t="s">
        <v>34</v>
      </c>
      <c r="F1193">
        <v>84</v>
      </c>
      <c r="G1193" s="12" t="s">
        <v>50</v>
      </c>
      <c r="H1193" s="9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Log'!$E$2:$V$70,
    MATCH(1,
      ('Golf Log'!$A$2:$A$70=$A1193)*
      ('Golf Log'!$B$2:$B$70=$B1193)*
      ('Golf Log'!$C$2:$C$70=$C1193),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Log'!$E$2:$V$70,
    MATCH(1,
      ('Putt Log'!$A$2:$A$70=$A1193)*
      ('Putt Log'!$B$2:$B$70=$B1193)*
      ('Putt Log'!$C$2:$C$70=$C1193),
    0),
    MATCH($G1193,'Putt Log'!$E$1:$V$1,0)
  ),
"")</f>
        <v>1</v>
      </c>
      <c r="P1193" t="str" cm="1">
        <f t="array" ref="P1193">IF(K1193=3,"",
  IFERROR(
    INDEX('Fairway Log'!$E$2:$V$70,
      MATCH(1,
        ('Fairway Log'!$A$2:$A$70=$A1193)*
        ('Fairway Log'!$B$2:$B$70=$B1193)*
        ('Fairway Log'!$C$2:$C1264=$C1193),
      0),
      MATCH($G1193,'Fairway Log'!$E$1:$V$1,0)
    ),
  "")
)</f>
        <v/>
      </c>
      <c r="Q1193" cm="1">
        <f t="array" ref="Q1193">IFERROR(
  INDEX('GIR Log'!$E$2:$V$70,
    MATCH(1,
      ('GIR Log'!$A$2:$A$70=$A1193)*
      ('GIR Log'!$B$2:$B$70=$B1193)*
      ('GIR Log'!$C$2:$C$70=$C1193),
    0),
    MATCH($G1193,'GIR Log'!$E$1:$V$1,0)
  ),
"")</f>
        <v>0</v>
      </c>
    </row>
    <row r="1194" spans="1:17" x14ac:dyDescent="0.25">
      <c r="A1194" s="78" t="s">
        <v>130</v>
      </c>
      <c r="B1194" s="2">
        <v>45143</v>
      </c>
      <c r="C1194" s="78" t="s">
        <v>9</v>
      </c>
      <c r="D1194" s="78" t="s">
        <v>9</v>
      </c>
      <c r="E1194" s="78" t="s">
        <v>34</v>
      </c>
      <c r="F1194">
        <v>84</v>
      </c>
      <c r="G1194" s="12" t="s">
        <v>51</v>
      </c>
      <c r="H1194" s="9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Log'!$E$2:$V$70,
    MATCH(1,
      ('Golf Log'!$A$2:$A$70=$A1194)*
      ('Golf Log'!$B$2:$B$70=$B1194)*
      ('Golf Log'!$C$2:$C$70=$C1194),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Log'!$E$2:$V$70,
    MATCH(1,
      ('Putt Log'!$A$2:$A$70=$A1194)*
      ('Putt Log'!$B$2:$B$70=$B1194)*
      ('Putt Log'!$C$2:$C$70=$C1194),
    0),
    MATCH($G1194,'Putt Log'!$E$1:$V$1,0)
  ),
"")</f>
        <v>3</v>
      </c>
      <c r="P1194" t="str" cm="1">
        <f t="array" ref="P1194">IF(K1194=3,"",
  IFERROR(
    INDEX('Fairway Log'!$E$2:$V$70,
      MATCH(1,
        ('Fairway Log'!$A$2:$A$70=$A1194)*
        ('Fairway Log'!$B$2:$B$70=$B1194)*
        ('Fairway Log'!$C$2:$C1265=$C1194),
      0),
      MATCH($G1194,'Fairway Log'!$E$1:$V$1,0)
    ),
  "")
)</f>
        <v>→</v>
      </c>
      <c r="Q1194" cm="1">
        <f t="array" ref="Q1194">IFERROR(
  INDEX('GIR Log'!$E$2:$V$70,
    MATCH(1,
      ('GIR Log'!$A$2:$A$70=$A1194)*
      ('GIR Log'!$B$2:$B$70=$B1194)*
      ('GIR Log'!$C$2:$C$70=$C1194),
    0),
    MATCH($G1194,'GIR Log'!$E$1:$V$1,0)
  ),
"")</f>
        <v>1</v>
      </c>
    </row>
    <row r="1195" spans="1:17" x14ac:dyDescent="0.25">
      <c r="A1195" s="78" t="s">
        <v>130</v>
      </c>
      <c r="B1195" s="2">
        <v>45143</v>
      </c>
      <c r="C1195" s="78" t="s">
        <v>9</v>
      </c>
      <c r="D1195" s="78" t="s">
        <v>9</v>
      </c>
      <c r="E1195" s="78" t="s">
        <v>34</v>
      </c>
      <c r="F1195">
        <v>84</v>
      </c>
      <c r="G1195" s="12" t="s">
        <v>52</v>
      </c>
      <c r="H1195" s="9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Log'!$E$2:$V$70,
    MATCH(1,
      ('Golf Log'!$A$2:$A$70=$A1195)*
      ('Golf Log'!$B$2:$B$70=$B1195)*
      ('Golf Log'!$C$2:$C$70=$C1195),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Log'!$E$2:$V$70,
    MATCH(1,
      ('Putt Log'!$A$2:$A$70=$A1195)*
      ('Putt Log'!$B$2:$B$70=$B1195)*
      ('Putt Log'!$C$2:$C$70=$C1195),
    0),
    MATCH($G1195,'Putt Log'!$E$1:$V$1,0)
  ),
"")</f>
        <v>2</v>
      </c>
      <c r="P1195" cm="1">
        <f t="array" ref="P1195">IF(K1195=3,"",
  IFERROR(
    INDEX('Fairway Log'!$E$2:$V$70,
      MATCH(1,
        ('Fairway Log'!$A$2:$A$70=$A1195)*
        ('Fairway Log'!$B$2:$B$70=$B1195)*
        ('Fairway Log'!$C$2:$C1266=$C1195),
      0),
      MATCH($G1195,'Fairway Log'!$E$1:$V$1,0)
    ),
  "")
)</f>
        <v>1</v>
      </c>
      <c r="Q1195" cm="1">
        <f t="array" ref="Q1195">IFERROR(
  INDEX('GIR Log'!$E$2:$V$70,
    MATCH(1,
      ('GIR Log'!$A$2:$A$70=$A1195)*
      ('GIR Log'!$B$2:$B$70=$B1195)*
      ('GIR Log'!$C$2:$C$70=$C1195),
    0),
    MATCH($G1195,'GIR Log'!$E$1:$V$1,0)
  ),
"")</f>
        <v>1</v>
      </c>
    </row>
    <row r="1196" spans="1:17" x14ac:dyDescent="0.25">
      <c r="A1196" s="78" t="s">
        <v>130</v>
      </c>
      <c r="B1196" s="2">
        <v>45143</v>
      </c>
      <c r="C1196" s="78" t="s">
        <v>9</v>
      </c>
      <c r="D1196" s="78" t="s">
        <v>9</v>
      </c>
      <c r="E1196" s="78" t="s">
        <v>34</v>
      </c>
      <c r="F1196">
        <v>84</v>
      </c>
      <c r="G1196" s="12" t="s">
        <v>53</v>
      </c>
      <c r="H1196" s="9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Log'!$E$2:$V$70,
    MATCH(1,
      ('Golf Log'!$A$2:$A$70=$A1196)*
      ('Golf Log'!$B$2:$B$70=$B1196)*
      ('Golf Log'!$C$2:$C$70=$C1196),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Log'!$E$2:$V$70,
    MATCH(1,
      ('Putt Log'!$A$2:$A$70=$A1196)*
      ('Putt Log'!$B$2:$B$70=$B1196)*
      ('Putt Log'!$C$2:$C$70=$C1196),
    0),
    MATCH($G1196,'Putt Log'!$E$1:$V$1,0)
  ),
"")</f>
        <v>2</v>
      </c>
      <c r="P1196" t="str" cm="1">
        <f t="array" ref="P1196">IF(K1196=3,"",
  IFERROR(
    INDEX('Fairway Log'!$E$2:$V$70,
      MATCH(1,
        ('Fairway Log'!$A$2:$A$70=$A1196)*
        ('Fairway Log'!$B$2:$B$70=$B1196)*
        ('Fairway Log'!$C$2:$C1267=$C1196),
      0),
      MATCH($G1196,'Fairway Log'!$E$1:$V$1,0)
    ),
  "")
)</f>
        <v/>
      </c>
      <c r="Q1196" cm="1">
        <f t="array" ref="Q1196">IFERROR(
  INDEX('GIR Log'!$E$2:$V$70,
    MATCH(1,
      ('GIR Log'!$A$2:$A$70=$A1196)*
      ('GIR Log'!$B$2:$B$70=$B1196)*
      ('GIR Log'!$C$2:$C$70=$C1196),
    0),
    MATCH($G1196,'GIR Log'!$E$1:$V$1,0)
  ),
"")</f>
        <v>1</v>
      </c>
    </row>
    <row r="1197" spans="1:17" x14ac:dyDescent="0.25">
      <c r="A1197" s="78" t="s">
        <v>130</v>
      </c>
      <c r="B1197" s="2">
        <v>45143</v>
      </c>
      <c r="C1197" s="78" t="s">
        <v>9</v>
      </c>
      <c r="D1197" s="78" t="s">
        <v>9</v>
      </c>
      <c r="E1197" s="78" t="s">
        <v>34</v>
      </c>
      <c r="F1197">
        <v>84</v>
      </c>
      <c r="G1197" s="12" t="s">
        <v>54</v>
      </c>
      <c r="H1197" s="9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Log'!$E$2:$V$70,
    MATCH(1,
      ('Golf Log'!$A$2:$A$70=$A1197)*
      ('Golf Log'!$B$2:$B$70=$B1197)*
      ('Golf Log'!$C$2:$C$70=$C1197),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Log'!$E$2:$V$70,
    MATCH(1,
      ('Putt Log'!$A$2:$A$70=$A1197)*
      ('Putt Log'!$B$2:$B$70=$B1197)*
      ('Putt Log'!$C$2:$C$70=$C1197),
    0),
    MATCH($G1197,'Putt Log'!$E$1:$V$1,0)
  ),
"")</f>
        <v>2</v>
      </c>
      <c r="P1197" t="str" cm="1">
        <f t="array" ref="P1197">IF(K1197=3,"",
  IFERROR(
    INDEX('Fairway Log'!$E$2:$V$70,
      MATCH(1,
        ('Fairway Log'!$A$2:$A$70=$A1197)*
        ('Fairway Log'!$B$2:$B$70=$B1197)*
        ('Fairway Log'!$C$2:$C1268=$C1197),
      0),
      MATCH($G1197,'Fairway Log'!$E$1:$V$1,0)
    ),
  "")
)</f>
        <v>→</v>
      </c>
      <c r="Q1197" cm="1">
        <f t="array" ref="Q1197">IFERROR(
  INDEX('GIR Log'!$E$2:$V$70,
    MATCH(1,
      ('GIR Log'!$A$2:$A$70=$A1197)*
      ('GIR Log'!$B$2:$B$70=$B1197)*
      ('GIR Log'!$C$2:$C$70=$C1197),
    0),
    MATCH($G1197,'GIR Log'!$E$1:$V$1,0)
  ),
"")</f>
        <v>1</v>
      </c>
    </row>
    <row r="1198" spans="1:17" x14ac:dyDescent="0.25">
      <c r="A1198" s="78" t="s">
        <v>130</v>
      </c>
      <c r="B1198" s="2">
        <v>45143</v>
      </c>
      <c r="C1198" s="78" t="s">
        <v>9</v>
      </c>
      <c r="D1198" s="78" t="s">
        <v>9</v>
      </c>
      <c r="E1198" s="78" t="s">
        <v>34</v>
      </c>
      <c r="F1198">
        <v>84</v>
      </c>
      <c r="G1198" s="12" t="s">
        <v>55</v>
      </c>
      <c r="H1198" s="9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Log'!$E$2:$V$70,
    MATCH(1,
      ('Golf Log'!$A$2:$A$70=$A1198)*
      ('Golf Log'!$B$2:$B$70=$B1198)*
      ('Golf Log'!$C$2:$C$70=$C1198),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Log'!$E$2:$V$70,
    MATCH(1,
      ('Putt Log'!$A$2:$A$70=$A1198)*
      ('Putt Log'!$B$2:$B$70=$B1198)*
      ('Putt Log'!$C$2:$C$70=$C1198),
    0),
    MATCH($G1198,'Putt Log'!$E$1:$V$1,0)
  ),
"")</f>
        <v>2</v>
      </c>
      <c r="P1198" cm="1">
        <f t="array" ref="P1198">IF(K1198=3,"",
  IFERROR(
    INDEX('Fairway Log'!$E$2:$V$70,
      MATCH(1,
        ('Fairway Log'!$A$2:$A$70=$A1198)*
        ('Fairway Log'!$B$2:$B$70=$B1198)*
        ('Fairway Log'!$C$2:$C1269=$C1198),
      0),
      MATCH($G1198,'Fairway Log'!$E$1:$V$1,0)
    ),
  "")
)</f>
        <v>1</v>
      </c>
      <c r="Q1198" cm="1">
        <f t="array" ref="Q1198">IFERROR(
  INDEX('GIR Log'!$E$2:$V$70,
    MATCH(1,
      ('GIR Log'!$A$2:$A$70=$A1198)*
      ('GIR Log'!$B$2:$B$70=$B1198)*
      ('GIR Log'!$C$2:$C$70=$C1198),
    0),
    MATCH($G1198,'GIR Log'!$E$1:$V$1,0)
  ),
"")</f>
        <v>0</v>
      </c>
    </row>
    <row r="1199" spans="1:17" x14ac:dyDescent="0.25">
      <c r="A1199" s="78" t="s">
        <v>130</v>
      </c>
      <c r="B1199" s="2">
        <v>45143</v>
      </c>
      <c r="C1199" s="78" t="s">
        <v>9</v>
      </c>
      <c r="D1199" s="78" t="s">
        <v>9</v>
      </c>
      <c r="E1199" s="78" t="s">
        <v>34</v>
      </c>
      <c r="F1199">
        <v>84</v>
      </c>
      <c r="G1199" s="12" t="s">
        <v>56</v>
      </c>
      <c r="H1199" s="9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Log'!$E$2:$V$70,
    MATCH(1,
      ('Golf Log'!$A$2:$A$70=$A1199)*
      ('Golf Log'!$B$2:$B$70=$B1199)*
      ('Golf Log'!$C$2:$C$70=$C1199),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Log'!$E$2:$V$70,
    MATCH(1,
      ('Putt Log'!$A$2:$A$70=$A1199)*
      ('Putt Log'!$B$2:$B$70=$B1199)*
      ('Putt Log'!$C$2:$C$70=$C1199),
    0),
    MATCH($G1199,'Putt Log'!$E$1:$V$1,0)
  ),
"")</f>
        <v>2</v>
      </c>
      <c r="P1199" t="str" cm="1">
        <f t="array" ref="P1199">IF(K1199=3,"",
  IFERROR(
    INDEX('Fairway Log'!$E$2:$V$70,
      MATCH(1,
        ('Fairway Log'!$A$2:$A$70=$A1199)*
        ('Fairway Log'!$B$2:$B$70=$B1199)*
        ('Fairway Log'!$C$2:$C1270=$C1199),
      0),
      MATCH($G1199,'Fairway Log'!$E$1:$V$1,0)
    ),
  "")
)</f>
        <v>←</v>
      </c>
      <c r="Q1199" cm="1">
        <f t="array" ref="Q1199">IFERROR(
  INDEX('GIR Log'!$E$2:$V$70,
    MATCH(1,
      ('GIR Log'!$A$2:$A$70=$A1199)*
      ('GIR Log'!$B$2:$B$70=$B1199)*
      ('GIR Log'!$C$2:$C$70=$C1199),
    0),
    MATCH($G1199,'GIR Log'!$E$1:$V$1,0)
  ),
"")</f>
        <v>0</v>
      </c>
    </row>
    <row r="1200" spans="1:17" x14ac:dyDescent="0.25">
      <c r="A1200" s="78" t="s">
        <v>130</v>
      </c>
      <c r="B1200" s="2">
        <v>45143</v>
      </c>
      <c r="C1200" s="78" t="s">
        <v>9</v>
      </c>
      <c r="D1200" s="78" t="s">
        <v>9</v>
      </c>
      <c r="E1200" s="78" t="s">
        <v>34</v>
      </c>
      <c r="F1200">
        <v>84</v>
      </c>
      <c r="G1200" s="12" t="s">
        <v>57</v>
      </c>
      <c r="H1200" s="9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Log'!$E$2:$V$70,
    MATCH(1,
      ('Golf Log'!$A$2:$A$70=$A1200)*
      ('Golf Log'!$B$2:$B$70=$B1200)*
      ('Golf Log'!$C$2:$C$70=$C1200),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Log'!$E$2:$V$70,
    MATCH(1,
      ('Putt Log'!$A$2:$A$70=$A1200)*
      ('Putt Log'!$B$2:$B$70=$B1200)*
      ('Putt Log'!$C$2:$C$70=$C1200),
    0),
    MATCH($G1200,'Putt Log'!$E$1:$V$1,0)
  ),
"")</f>
        <v>2</v>
      </c>
      <c r="P1200" t="str" cm="1">
        <f t="array" ref="P1200">IF(K1200=3,"",
  IFERROR(
    INDEX('Fairway Log'!$E$2:$V$70,
      MATCH(1,
        ('Fairway Log'!$A$2:$A$70=$A1200)*
        ('Fairway Log'!$B$2:$B$70=$B1200)*
        ('Fairway Log'!$C$2:$C1271=$C1200),
      0),
      MATCH($G1200,'Fairway Log'!$E$1:$V$1,0)
    ),
  "")
)</f>
        <v/>
      </c>
      <c r="Q1200" cm="1">
        <f t="array" ref="Q1200">IFERROR(
  INDEX('GIR Log'!$E$2:$V$70,
    MATCH(1,
      ('GIR Log'!$A$2:$A$70=$A1200)*
      ('GIR Log'!$B$2:$B$70=$B1200)*
      ('GIR Log'!$C$2:$C$70=$C1200),
    0),
    MATCH($G1200,'GIR Log'!$E$1:$V$1,0)
  ),
"")</f>
        <v>0</v>
      </c>
    </row>
    <row r="1201" spans="1:17" x14ac:dyDescent="0.25">
      <c r="A1201" s="78" t="s">
        <v>130</v>
      </c>
      <c r="B1201" s="2">
        <v>45143</v>
      </c>
      <c r="C1201" s="78" t="s">
        <v>9</v>
      </c>
      <c r="D1201" s="78" t="s">
        <v>9</v>
      </c>
      <c r="E1201" s="78" t="s">
        <v>34</v>
      </c>
      <c r="F1201">
        <v>84</v>
      </c>
      <c r="G1201" s="12" t="s">
        <v>58</v>
      </c>
      <c r="H1201" s="9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Log'!$E$2:$V$70,
    MATCH(1,
      ('Golf Log'!$A$2:$A$70=$A1201)*
      ('Golf Log'!$B$2:$B$70=$B1201)*
      ('Golf Log'!$C$2:$C$70=$C1201),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Log'!$E$2:$V$70,
    MATCH(1,
      ('Putt Log'!$A$2:$A$70=$A1201)*
      ('Putt Log'!$B$2:$B$70=$B1201)*
      ('Putt Log'!$C$2:$C$70=$C1201),
    0),
    MATCH($G1201,'Putt Log'!$E$1:$V$1,0)
  ),
"")</f>
        <v>2</v>
      </c>
      <c r="P1201" t="str" cm="1">
        <f t="array" ref="P1201">IF(K1201=3,"",
  IFERROR(
    INDEX('Fairway Log'!$E$2:$V$70,
      MATCH(1,
        ('Fairway Log'!$A$2:$A$70=$A1201)*
        ('Fairway Log'!$B$2:$B$70=$B1201)*
        ('Fairway Log'!$C$2:$C1272=$C1201),
      0),
      MATCH($G1201,'Fairway Log'!$E$1:$V$1,0)
    ),
  "")
)</f>
        <v>→</v>
      </c>
      <c r="Q1201" cm="1">
        <f t="array" ref="Q1201">IFERROR(
  INDEX('GIR Log'!$E$2:$V$70,
    MATCH(1,
      ('GIR Log'!$A$2:$A$70=$A1201)*
      ('GIR Log'!$B$2:$B$70=$B1201)*
      ('GIR Log'!$C$2:$C$70=$C1201),
    0),
    MATCH($G1201,'GIR Log'!$E$1:$V$1,0)
  ),
"")</f>
        <v>0</v>
      </c>
    </row>
    <row r="1202" spans="1:17" x14ac:dyDescent="0.25">
      <c r="A1202" s="78" t="s">
        <v>130</v>
      </c>
      <c r="B1202" s="2">
        <v>45143</v>
      </c>
      <c r="C1202" s="78" t="s">
        <v>9</v>
      </c>
      <c r="D1202" s="78" t="s">
        <v>9</v>
      </c>
      <c r="E1202" s="78" t="s">
        <v>34</v>
      </c>
      <c r="F1202">
        <v>84</v>
      </c>
      <c r="G1202" s="12" t="s">
        <v>59</v>
      </c>
      <c r="H1202" s="9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Log'!$E$2:$V$70,
    MATCH(1,
      ('Golf Log'!$A$2:$A$70=$A1202)*
      ('Golf Log'!$B$2:$B$70=$B1202)*
      ('Golf Log'!$C$2:$C$70=$C1202),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Log'!$E$2:$V$70,
    MATCH(1,
      ('Putt Log'!$A$2:$A$70=$A1202)*
      ('Putt Log'!$B$2:$B$70=$B1202)*
      ('Putt Log'!$C$2:$C$70=$C1202),
    0),
    MATCH($G1202,'Putt Log'!$E$1:$V$1,0)
  ),
"")</f>
        <v>2</v>
      </c>
      <c r="P1202" t="str" cm="1">
        <f t="array" ref="P1202">IF(K1202=3,"",
  IFERROR(
    INDEX('Fairway Log'!$E$2:$V$70,
      MATCH(1,
        ('Fairway Log'!$A$2:$A$70=$A1202)*
        ('Fairway Log'!$B$2:$B$70=$B1202)*
        ('Fairway Log'!$C$2:$C1273=$C1202),
      0),
      MATCH($G1202,'Fairway Log'!$E$1:$V$1,0)
    ),
  "")
)</f>
        <v>←</v>
      </c>
      <c r="Q1202" cm="1">
        <f t="array" ref="Q1202">IFERROR(
  INDEX('GIR Log'!$E$2:$V$70,
    MATCH(1,
      ('GIR Log'!$A$2:$A$70=$A1202)*
      ('GIR Log'!$B$2:$B$70=$B1202)*
      ('GIR Log'!$C$2:$C$70=$C1202),
    0),
    MATCH($G1202,'GIR Log'!$E$1:$V$1,0)
  ),
"")</f>
        <v>0</v>
      </c>
    </row>
    <row r="1203" spans="1:17" x14ac:dyDescent="0.25">
      <c r="A1203" s="78" t="s">
        <v>130</v>
      </c>
      <c r="B1203" s="2">
        <v>45143</v>
      </c>
      <c r="C1203" s="78" t="s">
        <v>9</v>
      </c>
      <c r="D1203" s="78" t="s">
        <v>9</v>
      </c>
      <c r="E1203" s="78" t="s">
        <v>34</v>
      </c>
      <c r="F1203">
        <v>84</v>
      </c>
      <c r="G1203" s="12" t="s">
        <v>60</v>
      </c>
      <c r="H1203" s="9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Log'!$E$2:$V$70,
    MATCH(1,
      ('Golf Log'!$A$2:$A$70=$A1203)*
      ('Golf Log'!$B$2:$B$70=$B1203)*
      ('Golf Log'!$C$2:$C$70=$C1203),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Log'!$E$2:$V$70,
    MATCH(1,
      ('Putt Log'!$A$2:$A$70=$A1203)*
      ('Putt Log'!$B$2:$B$70=$B1203)*
      ('Putt Log'!$C$2:$C$70=$C1203),
    0),
    MATCH($G1203,'Putt Log'!$E$1:$V$1,0)
  ),
"")</f>
        <v>2</v>
      </c>
      <c r="P1203" t="str" cm="1">
        <f t="array" ref="P1203">IF(K1203=3,"",
  IFERROR(
    INDEX('Fairway Log'!$E$2:$V$70,
      MATCH(1,
        ('Fairway Log'!$A$2:$A$70=$A1203)*
        ('Fairway Log'!$B$2:$B$70=$B1203)*
        ('Fairway Log'!$C$2:$C1274=$C1203),
      0),
      MATCH($G1203,'Fairway Log'!$E$1:$V$1,0)
    ),
  "")
)</f>
        <v/>
      </c>
      <c r="Q1203" cm="1">
        <f t="array" ref="Q1203">IFERROR(
  INDEX('GIR Log'!$E$2:$V$70,
    MATCH(1,
      ('GIR Log'!$A$2:$A$70=$A1203)*
      ('GIR Log'!$B$2:$B$70=$B1203)*
      ('GIR Log'!$C$2:$C$70=$C1203),
    0),
    MATCH($G1203,'GIR Log'!$E$1:$V$1,0)
  ),
"")</f>
        <v>0</v>
      </c>
    </row>
    <row r="1204" spans="1:17" x14ac:dyDescent="0.25">
      <c r="A1204" s="78" t="s">
        <v>130</v>
      </c>
      <c r="B1204" s="2">
        <v>45143</v>
      </c>
      <c r="C1204" s="78" t="s">
        <v>9</v>
      </c>
      <c r="D1204" s="78" t="s">
        <v>9</v>
      </c>
      <c r="E1204" s="78" t="s">
        <v>34</v>
      </c>
      <c r="F1204">
        <v>84</v>
      </c>
      <c r="G1204" s="12" t="s">
        <v>61</v>
      </c>
      <c r="H1204" s="9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Log'!$E$2:$V$70,
    MATCH(1,
      ('Golf Log'!$A$2:$A$70=$A1204)*
      ('Golf Log'!$B$2:$B$70=$B1204)*
      ('Golf Log'!$C$2:$C$70=$C1204),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Log'!$E$2:$V$70,
    MATCH(1,
      ('Putt Log'!$A$2:$A$70=$A1204)*
      ('Putt Log'!$B$2:$B$70=$B1204)*
      ('Putt Log'!$C$2:$C$70=$C1204),
    0),
    MATCH($G1204,'Putt Log'!$E$1:$V$1,0)
  ),
"")</f>
        <v>2</v>
      </c>
      <c r="P1204" t="str" cm="1">
        <f t="array" ref="P1204">IF(K1204=3,"",
  IFERROR(
    INDEX('Fairway Log'!$E$2:$V$70,
      MATCH(1,
        ('Fairway Log'!$A$2:$A$70=$A1204)*
        ('Fairway Log'!$B$2:$B$70=$B1204)*
        ('Fairway Log'!$C$2:$C1275=$C1204),
      0),
      MATCH($G1204,'Fairway Log'!$E$1:$V$1,0)
    ),
  "")
)</f>
        <v>→</v>
      </c>
      <c r="Q1204" cm="1">
        <f t="array" ref="Q1204">IFERROR(
  INDEX('GIR Log'!$E$2:$V$70,
    MATCH(1,
      ('GIR Log'!$A$2:$A$70=$A1204)*
      ('GIR Log'!$B$2:$B$70=$B1204)*
      ('GIR Log'!$C$2:$C$70=$C1204),
    0),
    MATCH($G1204,'GIR Log'!$E$1:$V$1,0)
  ),
"")</f>
        <v>1</v>
      </c>
    </row>
    <row r="1205" spans="1:17" x14ac:dyDescent="0.25">
      <c r="A1205" s="78" t="s">
        <v>130</v>
      </c>
      <c r="B1205" s="2">
        <v>45143</v>
      </c>
      <c r="C1205" s="78" t="s">
        <v>9</v>
      </c>
      <c r="D1205" s="78" t="s">
        <v>9</v>
      </c>
      <c r="E1205" s="78" t="s">
        <v>34</v>
      </c>
      <c r="F1205">
        <v>84</v>
      </c>
      <c r="G1205" s="12" t="s">
        <v>62</v>
      </c>
      <c r="H1205" s="9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Log'!$E$2:$V$70,
    MATCH(1,
      ('Golf Log'!$A$2:$A$70=$A1205)*
      ('Golf Log'!$B$2:$B$70=$B1205)*
      ('Golf Log'!$C$2:$C$70=$C1205),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Log'!$E$2:$V$70,
    MATCH(1,
      ('Putt Log'!$A$2:$A$70=$A1205)*
      ('Putt Log'!$B$2:$B$70=$B1205)*
      ('Putt Log'!$C$2:$C$70=$C1205),
    0),
    MATCH($G1205,'Putt Log'!$E$1:$V$1,0)
  ),
"")</f>
        <v>2</v>
      </c>
      <c r="P1205" cm="1">
        <f t="array" ref="P1205">IF(K1205=3,"",
  IFERROR(
    INDEX('Fairway Log'!$E$2:$V$70,
      MATCH(1,
        ('Fairway Log'!$A$2:$A$70=$A1205)*
        ('Fairway Log'!$B$2:$B$70=$B1205)*
        ('Fairway Log'!$C$2:$C1276=$C1205),
      0),
      MATCH($G1205,'Fairway Log'!$E$1:$V$1,0)
    ),
  "")
)</f>
        <v>1</v>
      </c>
      <c r="Q1205" cm="1">
        <f t="array" ref="Q1205">IFERROR(
  INDEX('GIR Log'!$E$2:$V$70,
    MATCH(1,
      ('GIR Log'!$A$2:$A$70=$A1205)*
      ('GIR Log'!$B$2:$B$70=$B1205)*
      ('GIR Log'!$C$2:$C$70=$C1205),
    0),
    MATCH($G1205,'GIR Log'!$E$1:$V$1,0)
  ),
"")</f>
        <v>1</v>
      </c>
    </row>
    <row r="1206" spans="1:17" x14ac:dyDescent="0.25">
      <c r="A1206" s="78" t="s">
        <v>130</v>
      </c>
      <c r="B1206" s="2">
        <v>45143</v>
      </c>
      <c r="C1206" s="78" t="s">
        <v>9</v>
      </c>
      <c r="D1206" s="78" t="s">
        <v>9</v>
      </c>
      <c r="E1206" s="78" t="s">
        <v>34</v>
      </c>
      <c r="F1206">
        <v>84</v>
      </c>
      <c r="G1206" s="12" t="s">
        <v>63</v>
      </c>
      <c r="H1206" s="9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Log'!$E$2:$V$70,
    MATCH(1,
      ('Golf Log'!$A$2:$A$70=$A1206)*
      ('Golf Log'!$B$2:$B$70=$B1206)*
      ('Golf Log'!$C$2:$C$70=$C1206),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Log'!$E$2:$V$70,
    MATCH(1,
      ('Putt Log'!$A$2:$A$70=$A1206)*
      ('Putt Log'!$B$2:$B$70=$B1206)*
      ('Putt Log'!$C$2:$C$70=$C1206),
    0),
    MATCH($G1206,'Putt Log'!$E$1:$V$1,0)
  ),
"")</f>
        <v>2</v>
      </c>
      <c r="P1206" t="str" cm="1">
        <f t="array" ref="P1206">IF(K1206=3,"",
  IFERROR(
    INDEX('Fairway Log'!$E$2:$V$70,
      MATCH(1,
        ('Fairway Log'!$A$2:$A$70=$A1206)*
        ('Fairway Log'!$B$2:$B$70=$B1206)*
        ('Fairway Log'!$C$2:$C1277=$C1206),
      0),
      MATCH($G1206,'Fairway Log'!$E$1:$V$1,0)
    ),
  "")
)</f>
        <v>→</v>
      </c>
      <c r="Q1206" cm="1">
        <f t="array" ref="Q1206">IFERROR(
  INDEX('GIR Log'!$E$2:$V$70,
    MATCH(1,
      ('GIR Log'!$A$2:$A$70=$A1206)*
      ('GIR Log'!$B$2:$B$70=$B1206)*
      ('GIR Log'!$C$2:$C$70=$C1206),
    0),
    MATCH($G1206,'GIR Log'!$E$1:$V$1,0)
  ),
"")</f>
        <v>0</v>
      </c>
    </row>
    <row r="1207" spans="1:17" x14ac:dyDescent="0.25">
      <c r="A1207" s="78" t="s">
        <v>130</v>
      </c>
      <c r="B1207" s="2">
        <v>45143</v>
      </c>
      <c r="C1207" s="78" t="s">
        <v>9</v>
      </c>
      <c r="D1207" s="78" t="s">
        <v>9</v>
      </c>
      <c r="E1207" s="78" t="s">
        <v>34</v>
      </c>
      <c r="F1207">
        <v>84</v>
      </c>
      <c r="G1207" s="12" t="s">
        <v>64</v>
      </c>
      <c r="H1207" s="9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Log'!$E$2:$V$70,
    MATCH(1,
      ('Golf Log'!$A$2:$A$70=$A1207)*
      ('Golf Log'!$B$2:$B$70=$B1207)*
      ('Golf Log'!$C$2:$C$70=$C1207),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Log'!$E$2:$V$70,
    MATCH(1,
      ('Putt Log'!$A$2:$A$70=$A1207)*
      ('Putt Log'!$B$2:$B$70=$B1207)*
      ('Putt Log'!$C$2:$C$70=$C1207),
    0),
    MATCH($G1207,'Putt Log'!$E$1:$V$1,0)
  ),
"")</f>
        <v>2</v>
      </c>
      <c r="P1207" cm="1">
        <f t="array" ref="P1207">IF(K1207=3,"",
  IFERROR(
    INDEX('Fairway Log'!$E$2:$V$70,
      MATCH(1,
        ('Fairway Log'!$A$2:$A$70=$A1207)*
        ('Fairway Log'!$B$2:$B$70=$B1207)*
        ('Fairway Log'!$C$2:$C1278=$C1207),
      0),
      MATCH($G1207,'Fairway Log'!$E$1:$V$1,0)
    ),
  "")
)</f>
        <v>1</v>
      </c>
      <c r="Q1207" cm="1">
        <f t="array" ref="Q1207">IFERROR(
  INDEX('GIR Log'!$E$2:$V$70,
    MATCH(1,
      ('GIR Log'!$A$2:$A$70=$A1207)*
      ('GIR Log'!$B$2:$B$70=$B1207)*
      ('GIR Log'!$C$2:$C$70=$C1207),
    0),
    MATCH($G1207,'GIR Log'!$E$1:$V$1,0)
  ),
"")</f>
        <v>0</v>
      </c>
    </row>
    <row r="1208" spans="1:17" x14ac:dyDescent="0.25">
      <c r="A1208" s="92" t="s">
        <v>126</v>
      </c>
      <c r="B1208" s="2">
        <v>46160</v>
      </c>
      <c r="C1208" s="92" t="s">
        <v>5</v>
      </c>
      <c r="D1208" s="92" t="s">
        <v>5</v>
      </c>
      <c r="E1208" s="92" t="s">
        <v>34</v>
      </c>
      <c r="F1208">
        <v>82</v>
      </c>
      <c r="G1208" s="12" t="s">
        <v>47</v>
      </c>
      <c r="H1208" s="9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Log'!$E$2:$V$70,
    MATCH(1,
      ('Golf Log'!$A$2:$A$70=$A1208)*
      ('Golf Log'!$B$2:$B$70=$B1208)*
      ('Golf Log'!$C$2:$C$70=$C1208),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Log'!$E$2:$V$70,
    MATCH(1,
      ('Putt Log'!$A$2:$A$70=$A1208)*
      ('Putt Log'!$B$2:$B$70=$B1208)*
      ('Putt Log'!$C$2:$C$70=$C1208),
    0),
    MATCH($G1208,'Putt Log'!$E$1:$V$1,0)
  ),
"")</f>
        <v>1</v>
      </c>
      <c r="P1208" cm="1">
        <f t="array" ref="P1208">IF(K1208=3,"",
  IFERROR(
    INDEX('Fairway Log'!$E$2:$V$70,
      MATCH(1,
        ('Fairway Log'!$A$2:$A$70=$A1208)*
        ('Fairway Log'!$B$2:$B$70=$B1208)*
        ('Fairway Log'!$C$2:$C1279=$C1208),
      0),
      MATCH($G1208,'Fairway Log'!$E$1:$V$1,0)
    ),
  "")
)</f>
        <v>1</v>
      </c>
      <c r="Q1208" t="str" cm="1">
        <f t="array" ref="Q1208">IFERROR(
  INDEX('GIR Log'!$E$2:$V$70,
    MATCH(1,
      ('GIR Log'!$A$2:$A$70=$A1208)*
      ('GIR Log'!$B$2:$B$70=$B1208)*
      ('GIR Log'!$C$2:$C$70=$C1208),
    0),
    MATCH($G1208,'GIR Log'!$E$1:$V$1,0)
  ),
"")</f>
        <v>←</v>
      </c>
    </row>
    <row r="1209" spans="1:17" x14ac:dyDescent="0.25">
      <c r="A1209" s="92" t="s">
        <v>126</v>
      </c>
      <c r="B1209" s="2">
        <v>46160</v>
      </c>
      <c r="C1209" s="92" t="s">
        <v>5</v>
      </c>
      <c r="D1209" s="92" t="s">
        <v>5</v>
      </c>
      <c r="E1209" s="92" t="s">
        <v>34</v>
      </c>
      <c r="F1209">
        <v>82</v>
      </c>
      <c r="G1209" s="12" t="s">
        <v>48</v>
      </c>
      <c r="H1209" s="9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Log'!$E$2:$V$70,
    MATCH(1,
      ('Golf Log'!$A$2:$A$70=$A1209)*
      ('Golf Log'!$B$2:$B$70=$B1209)*
      ('Golf Log'!$C$2:$C$70=$C1209),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Log'!$E$2:$V$70,
    MATCH(1,
      ('Putt Log'!$A$2:$A$70=$A1209)*
      ('Putt Log'!$B$2:$B$70=$B1209)*
      ('Putt Log'!$C$2:$C$70=$C1209),
    0),
    MATCH($G1209,'Putt Log'!$E$1:$V$1,0)
  ),
"")</f>
        <v>2</v>
      </c>
      <c r="P1209" t="str" cm="1">
        <f t="array" ref="P1209">IF(K1209=3,"",
  IFERROR(
    INDEX('Fairway Log'!$E$2:$V$70,
      MATCH(1,
        ('Fairway Log'!$A$2:$A$70=$A1209)*
        ('Fairway Log'!$B$2:$B$70=$B1209)*
        ('Fairway Log'!$C$2:$C1280=$C1209),
      0),
      MATCH($G1209,'Fairway Log'!$E$1:$V$1,0)
    ),
  "")
)</f>
        <v>→</v>
      </c>
      <c r="Q1209" cm="1">
        <f t="array" ref="Q1209">IFERROR(
  INDEX('GIR Log'!$E$2:$V$70,
    MATCH(1,
      ('GIR Log'!$A$2:$A$70=$A1209)*
      ('GIR Log'!$B$2:$B$70=$B1209)*
      ('GIR Log'!$C$2:$C$70=$C1209),
    0),
    MATCH($G1209,'GIR Log'!$E$1:$V$1,0)
  ),
"")</f>
        <v>1</v>
      </c>
    </row>
    <row r="1210" spans="1:17" x14ac:dyDescent="0.25">
      <c r="A1210" s="92" t="s">
        <v>126</v>
      </c>
      <c r="B1210" s="2">
        <v>46160</v>
      </c>
      <c r="C1210" s="92" t="s">
        <v>5</v>
      </c>
      <c r="D1210" s="92" t="s">
        <v>5</v>
      </c>
      <c r="E1210" s="92" t="s">
        <v>34</v>
      </c>
      <c r="F1210">
        <v>82</v>
      </c>
      <c r="G1210" s="12" t="s">
        <v>49</v>
      </c>
      <c r="H1210" s="9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Log'!$E$2:$V$70,
    MATCH(1,
      ('Golf Log'!$A$2:$A$70=$A1210)*
      ('Golf Log'!$B$2:$B$70=$B1210)*
      ('Golf Log'!$C$2:$C$70=$C1210),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Log'!$E$2:$V$70,
    MATCH(1,
      ('Putt Log'!$A$2:$A$70=$A1210)*
      ('Putt Log'!$B$2:$B$70=$B1210)*
      ('Putt Log'!$C$2:$C$70=$C1210),
    0),
    MATCH($G1210,'Putt Log'!$E$1:$V$1,0)
  ),
"")</f>
        <v>2</v>
      </c>
      <c r="P1210" t="str" cm="1">
        <f t="array" ref="P1210">IF(K1210=3,"",
  IFERROR(
    INDEX('Fairway Log'!$E$2:$V$70,
      MATCH(1,
        ('Fairway Log'!$A$2:$A$70=$A1210)*
        ('Fairway Log'!$B$2:$B$70=$B1210)*
        ('Fairway Log'!$C$2:$C1281=$C1210),
      0),
      MATCH($G1210,'Fairway Log'!$E$1:$V$1,0)
    ),
  "")
)</f>
        <v/>
      </c>
      <c r="Q1210" t="str" cm="1">
        <f t="array" ref="Q1210">IFERROR(
  INDEX('GIR Log'!$E$2:$V$70,
    MATCH(1,
      ('GIR Log'!$A$2:$A$70=$A1210)*
      ('GIR Log'!$B$2:$B$70=$B1210)*
      ('GIR Log'!$C$2:$C$70=$C1210),
    0),
    MATCH($G1210,'GIR Log'!$E$1:$V$1,0)
  ),
"")</f>
        <v>v</v>
      </c>
    </row>
    <row r="1211" spans="1:17" x14ac:dyDescent="0.25">
      <c r="A1211" s="92" t="s">
        <v>126</v>
      </c>
      <c r="B1211" s="2">
        <v>46160</v>
      </c>
      <c r="C1211" s="92" t="s">
        <v>5</v>
      </c>
      <c r="D1211" s="92" t="s">
        <v>5</v>
      </c>
      <c r="E1211" s="92" t="s">
        <v>34</v>
      </c>
      <c r="F1211">
        <v>82</v>
      </c>
      <c r="G1211" s="12" t="s">
        <v>50</v>
      </c>
      <c r="H1211" s="9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Log'!$E$2:$V$70,
    MATCH(1,
      ('Golf Log'!$A$2:$A$70=$A1211)*
      ('Golf Log'!$B$2:$B$70=$B1211)*
      ('Golf Log'!$C$2:$C$70=$C1211),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Log'!$E$2:$V$70,
    MATCH(1,
      ('Putt Log'!$A$2:$A$70=$A1211)*
      ('Putt Log'!$B$2:$B$70=$B1211)*
      ('Putt Log'!$C$2:$C$70=$C1211),
    0),
    MATCH($G1211,'Putt Log'!$E$1:$V$1,0)
  ),
"")</f>
        <v>3</v>
      </c>
      <c r="P1211" t="str" cm="1">
        <f t="array" ref="P1211">IF(K1211=3,"",
  IFERROR(
    INDEX('Fairway Log'!$E$2:$V$70,
      MATCH(1,
        ('Fairway Log'!$A$2:$A$70=$A1211)*
        ('Fairway Log'!$B$2:$B$70=$B1211)*
        ('Fairway Log'!$C$2:$C1282=$C1211),
      0),
      MATCH($G1211,'Fairway Log'!$E$1:$V$1,0)
    ),
  "")
)</f>
        <v>→</v>
      </c>
      <c r="Q1211" cm="1">
        <f t="array" ref="Q1211">IFERROR(
  INDEX('GIR Log'!$E$2:$V$70,
    MATCH(1,
      ('GIR Log'!$A$2:$A$70=$A1211)*
      ('GIR Log'!$B$2:$B$70=$B1211)*
      ('GIR Log'!$C$2:$C$70=$C1211),
    0),
    MATCH($G1211,'GIR Log'!$E$1:$V$1,0)
  ),
"")</f>
        <v>1</v>
      </c>
    </row>
    <row r="1212" spans="1:17" x14ac:dyDescent="0.25">
      <c r="A1212" s="92" t="s">
        <v>126</v>
      </c>
      <c r="B1212" s="2">
        <v>46160</v>
      </c>
      <c r="C1212" s="92" t="s">
        <v>5</v>
      </c>
      <c r="D1212" s="92" t="s">
        <v>5</v>
      </c>
      <c r="E1212" s="92" t="s">
        <v>34</v>
      </c>
      <c r="F1212">
        <v>82</v>
      </c>
      <c r="G1212" s="12" t="s">
        <v>51</v>
      </c>
      <c r="H1212" s="9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Log'!$E$2:$V$70,
    MATCH(1,
      ('Golf Log'!$A$2:$A$70=$A1212)*
      ('Golf Log'!$B$2:$B$70=$B1212)*
      ('Golf Log'!$C$2:$C$70=$C1212),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Log'!$E$2:$V$70,
    MATCH(1,
      ('Putt Log'!$A$2:$A$70=$A1212)*
      ('Putt Log'!$B$2:$B$70=$B1212)*
      ('Putt Log'!$C$2:$C$70=$C1212),
    0),
    MATCH($G1212,'Putt Log'!$E$1:$V$1,0)
  ),
"")</f>
        <v>2</v>
      </c>
      <c r="P1212" cm="1">
        <f t="array" ref="P1212">IF(K1212=3,"",
  IFERROR(
    INDEX('Fairway Log'!$E$2:$V$70,
      MATCH(1,
        ('Fairway Log'!$A$2:$A$70=$A1212)*
        ('Fairway Log'!$B$2:$B$70=$B1212)*
        ('Fairway Log'!$C$2:$C1283=$C1212),
      0),
      MATCH($G1212,'Fairway Log'!$E$1:$V$1,0)
    ),
  "")
)</f>
        <v>1</v>
      </c>
      <c r="Q1212" cm="1">
        <f t="array" ref="Q1212">IFERROR(
  INDEX('GIR Log'!$E$2:$V$70,
    MATCH(1,
      ('GIR Log'!$A$2:$A$70=$A1212)*
      ('GIR Log'!$B$2:$B$70=$B1212)*
      ('GIR Log'!$C$2:$C$70=$C1212),
    0),
    MATCH($G1212,'GIR Log'!$E$1:$V$1,0)
  ),
"")</f>
        <v>1</v>
      </c>
    </row>
    <row r="1213" spans="1:17" x14ac:dyDescent="0.25">
      <c r="A1213" s="92" t="s">
        <v>126</v>
      </c>
      <c r="B1213" s="2">
        <v>46160</v>
      </c>
      <c r="C1213" s="92" t="s">
        <v>5</v>
      </c>
      <c r="D1213" s="92" t="s">
        <v>5</v>
      </c>
      <c r="E1213" s="92" t="s">
        <v>34</v>
      </c>
      <c r="F1213">
        <v>82</v>
      </c>
      <c r="G1213" s="12" t="s">
        <v>52</v>
      </c>
      <c r="H1213" s="9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Log'!$E$2:$V$70,
    MATCH(1,
      ('Golf Log'!$A$2:$A$70=$A1213)*
      ('Golf Log'!$B$2:$B$70=$B1213)*
      ('Golf Log'!$C$2:$C$70=$C1213),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Log'!$E$2:$V$70,
    MATCH(1,
      ('Putt Log'!$A$2:$A$70=$A1213)*
      ('Putt Log'!$B$2:$B$70=$B1213)*
      ('Putt Log'!$C$2:$C$70=$C1213),
    0),
    MATCH($G1213,'Putt Log'!$E$1:$V$1,0)
  ),
"")</f>
        <v>2</v>
      </c>
      <c r="P1213" t="str" cm="1">
        <f t="array" ref="P1213">IF(K1213=3,"",
  IFERROR(
    INDEX('Fairway Log'!$E$2:$V$70,
      MATCH(1,
        ('Fairway Log'!$A$2:$A$70=$A1213)*
        ('Fairway Log'!$B$2:$B$70=$B1213)*
        ('Fairway Log'!$C$2:$C1284=$C1213),
      0),
      MATCH($G1213,'Fairway Log'!$E$1:$V$1,0)
    ),
  "")
)</f>
        <v>→</v>
      </c>
      <c r="Q1213" t="str" cm="1">
        <f t="array" ref="Q1213">IFERROR(
  INDEX('GIR Log'!$E$2:$V$70,
    MATCH(1,
      ('GIR Log'!$A$2:$A$70=$A1213)*
      ('GIR Log'!$B$2:$B$70=$B1213)*
      ('GIR Log'!$C$2:$C$70=$C1213),
    0),
    MATCH($G1213,'GIR Log'!$E$1:$V$1,0)
  ),
"")</f>
        <v>NC</v>
      </c>
    </row>
    <row r="1214" spans="1:17" x14ac:dyDescent="0.25">
      <c r="A1214" s="92" t="s">
        <v>126</v>
      </c>
      <c r="B1214" s="2">
        <v>46160</v>
      </c>
      <c r="C1214" s="92" t="s">
        <v>5</v>
      </c>
      <c r="D1214" s="92" t="s">
        <v>5</v>
      </c>
      <c r="E1214" s="92" t="s">
        <v>34</v>
      </c>
      <c r="F1214">
        <v>82</v>
      </c>
      <c r="G1214" s="12" t="s">
        <v>53</v>
      </c>
      <c r="H1214" s="9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Log'!$E$2:$V$70,
    MATCH(1,
      ('Golf Log'!$A$2:$A$70=$A1214)*
      ('Golf Log'!$B$2:$B$70=$B1214)*
      ('Golf Log'!$C$2:$C$70=$C1214),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Log'!$E$2:$V$70,
    MATCH(1,
      ('Putt Log'!$A$2:$A$70=$A1214)*
      ('Putt Log'!$B$2:$B$70=$B1214)*
      ('Putt Log'!$C$2:$C$70=$C1214),
    0),
    MATCH($G1214,'Putt Log'!$E$1:$V$1,0)
  ),
"")</f>
        <v>2</v>
      </c>
      <c r="P1214" t="str" cm="1">
        <f t="array" ref="P1214">IF(K1214=3,"",
  IFERROR(
    INDEX('Fairway Log'!$E$2:$V$70,
      MATCH(1,
        ('Fairway Log'!$A$2:$A$70=$A1214)*
        ('Fairway Log'!$B$2:$B$70=$B1214)*
        ('Fairway Log'!$C$2:$C1285=$C1214),
      0),
      MATCH($G1214,'Fairway Log'!$E$1:$V$1,0)
    ),
  "")
)</f>
        <v/>
      </c>
      <c r="Q1214" cm="1">
        <f t="array" ref="Q1214">IFERROR(
  INDEX('GIR Log'!$E$2:$V$70,
    MATCH(1,
      ('GIR Log'!$A$2:$A$70=$A1214)*
      ('GIR Log'!$B$2:$B$70=$B1214)*
      ('GIR Log'!$C$2:$C$70=$C1214),
    0),
    MATCH($G1214,'GIR Log'!$E$1:$V$1,0)
  ),
"")</f>
        <v>1</v>
      </c>
    </row>
    <row r="1215" spans="1:17" x14ac:dyDescent="0.25">
      <c r="A1215" s="92" t="s">
        <v>126</v>
      </c>
      <c r="B1215" s="2">
        <v>46160</v>
      </c>
      <c r="C1215" s="92" t="s">
        <v>5</v>
      </c>
      <c r="D1215" s="92" t="s">
        <v>5</v>
      </c>
      <c r="E1215" s="92" t="s">
        <v>34</v>
      </c>
      <c r="F1215">
        <v>82</v>
      </c>
      <c r="G1215" s="12" t="s">
        <v>54</v>
      </c>
      <c r="H1215" s="9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Log'!$E$2:$V$70,
    MATCH(1,
      ('Golf Log'!$A$2:$A$70=$A1215)*
      ('Golf Log'!$B$2:$B$70=$B1215)*
      ('Golf Log'!$C$2:$C$70=$C1215),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Log'!$E$2:$V$70,
    MATCH(1,
      ('Putt Log'!$A$2:$A$70=$A1215)*
      ('Putt Log'!$B$2:$B$70=$B1215)*
      ('Putt Log'!$C$2:$C$70=$C1215),
    0),
    MATCH($G1215,'Putt Log'!$E$1:$V$1,0)
  ),
"")</f>
        <v>2</v>
      </c>
      <c r="P1215" cm="1">
        <f t="array" ref="P1215">IF(K1215=3,"",
  IFERROR(
    INDEX('Fairway Log'!$E$2:$V$70,
      MATCH(1,
        ('Fairway Log'!$A$2:$A$70=$A1215)*
        ('Fairway Log'!$B$2:$B$70=$B1215)*
        ('Fairway Log'!$C$2:$C1286=$C1215),
      0),
      MATCH($G1215,'Fairway Log'!$E$1:$V$1,0)
    ),
  "")
)</f>
        <v>1</v>
      </c>
      <c r="Q1215" cm="1">
        <f t="array" ref="Q1215">IFERROR(
  INDEX('GIR Log'!$E$2:$V$70,
    MATCH(1,
      ('GIR Log'!$A$2:$A$70=$A1215)*
      ('GIR Log'!$B$2:$B$70=$B1215)*
      ('GIR Log'!$C$2:$C$70=$C1215),
    0),
    MATCH($G1215,'GIR Log'!$E$1:$V$1,0)
  ),
"")</f>
        <v>1</v>
      </c>
    </row>
    <row r="1216" spans="1:17" x14ac:dyDescent="0.25">
      <c r="A1216" s="92" t="s">
        <v>126</v>
      </c>
      <c r="B1216" s="2">
        <v>46160</v>
      </c>
      <c r="C1216" s="92" t="s">
        <v>5</v>
      </c>
      <c r="D1216" s="92" t="s">
        <v>5</v>
      </c>
      <c r="E1216" s="92" t="s">
        <v>34</v>
      </c>
      <c r="F1216">
        <v>82</v>
      </c>
      <c r="G1216" s="12" t="s">
        <v>55</v>
      </c>
      <c r="H1216" s="9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Log'!$E$2:$V$70,
    MATCH(1,
      ('Golf Log'!$A$2:$A$70=$A1216)*
      ('Golf Log'!$B$2:$B$70=$B1216)*
      ('Golf Log'!$C$2:$C$70=$C1216),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Log'!$E$2:$V$70,
    MATCH(1,
      ('Putt Log'!$A$2:$A$70=$A1216)*
      ('Putt Log'!$B$2:$B$70=$B1216)*
      ('Putt Log'!$C$2:$C$70=$C1216),
    0),
    MATCH($G1216,'Putt Log'!$E$1:$V$1,0)
  ),
"")</f>
        <v>2</v>
      </c>
      <c r="P1216" t="str" cm="1">
        <f t="array" ref="P1216">IF(K1216=3,"",
  IFERROR(
    INDEX('Fairway Log'!$E$2:$V$70,
      MATCH(1,
        ('Fairway Log'!$A$2:$A$70=$A1216)*
        ('Fairway Log'!$B$2:$B$70=$B1216)*
        ('Fairway Log'!$C$2:$C1287=$C1216),
      0),
      MATCH($G1216,'Fairway Log'!$E$1:$V$1,0)
    ),
  "")
)</f>
        <v>→</v>
      </c>
      <c r="Q1216" t="str" cm="1">
        <f t="array" ref="Q1216">IFERROR(
  INDEX('GIR Log'!$E$2:$V$70,
    MATCH(1,
      ('GIR Log'!$A$2:$A$70=$A1216)*
      ('GIR Log'!$B$2:$B$70=$B1216)*
      ('GIR Log'!$C$2:$C$70=$C1216),
    0),
    MATCH($G1216,'GIR Log'!$E$1:$V$1,0)
  ),
"")</f>
        <v>↑</v>
      </c>
    </row>
    <row r="1217" spans="1:17" x14ac:dyDescent="0.25">
      <c r="A1217" s="92" t="s">
        <v>126</v>
      </c>
      <c r="B1217" s="2">
        <v>46160</v>
      </c>
      <c r="C1217" s="92" t="s">
        <v>5</v>
      </c>
      <c r="D1217" s="92" t="s">
        <v>5</v>
      </c>
      <c r="E1217" s="92" t="s">
        <v>34</v>
      </c>
      <c r="F1217">
        <v>82</v>
      </c>
      <c r="G1217" s="12" t="s">
        <v>56</v>
      </c>
      <c r="H1217" s="9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Log'!$E$2:$V$70,
    MATCH(1,
      ('Golf Log'!$A$2:$A$70=$A1217)*
      ('Golf Log'!$B$2:$B$70=$B1217)*
      ('Golf Log'!$C$2:$C$70=$C1217),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Log'!$E$2:$V$70,
    MATCH(1,
      ('Putt Log'!$A$2:$A$70=$A1217)*
      ('Putt Log'!$B$2:$B$70=$B1217)*
      ('Putt Log'!$C$2:$C$70=$C1217),
    0),
    MATCH($G1217,'Putt Log'!$E$1:$V$1,0)
  ),
"")</f>
        <v>2</v>
      </c>
      <c r="P1217" t="str" cm="1">
        <f t="array" ref="P1217">IF(K1217=3,"",
  IFERROR(
    INDEX('Fairway Log'!$E$2:$V$70,
      MATCH(1,
        ('Fairway Log'!$A$2:$A$70=$A1217)*
        ('Fairway Log'!$B$2:$B$70=$B1217)*
        ('Fairway Log'!$C$2:$C1288=$C1217),
      0),
      MATCH($G1217,'Fairway Log'!$E$1:$V$1,0)
    ),
  "")
)</f>
        <v>→</v>
      </c>
      <c r="Q1217" cm="1">
        <f t="array" ref="Q1217">IFERROR(
  INDEX('GIR Log'!$E$2:$V$70,
    MATCH(1,
      ('GIR Log'!$A$2:$A$70=$A1217)*
      ('GIR Log'!$B$2:$B$70=$B1217)*
      ('GIR Log'!$C$2:$C$70=$C1217),
    0),
    MATCH($G1217,'GIR Log'!$E$1:$V$1,0)
  ),
"")</f>
        <v>1</v>
      </c>
    </row>
    <row r="1218" spans="1:17" x14ac:dyDescent="0.25">
      <c r="A1218" s="92" t="s">
        <v>126</v>
      </c>
      <c r="B1218" s="2">
        <v>46160</v>
      </c>
      <c r="C1218" s="92" t="s">
        <v>5</v>
      </c>
      <c r="D1218" s="92" t="s">
        <v>5</v>
      </c>
      <c r="E1218" s="92" t="s">
        <v>34</v>
      </c>
      <c r="F1218">
        <v>82</v>
      </c>
      <c r="G1218" s="12" t="s">
        <v>57</v>
      </c>
      <c r="H1218" s="9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Log'!$E$2:$V$70,
    MATCH(1,
      ('Golf Log'!$A$2:$A$70=$A1218)*
      ('Golf Log'!$B$2:$B$70=$B1218)*
      ('Golf Log'!$C$2:$C$70=$C1218),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Log'!$E$2:$V$70,
    MATCH(1,
      ('Putt Log'!$A$2:$A$70=$A1218)*
      ('Putt Log'!$B$2:$B$70=$B1218)*
      ('Putt Log'!$C$2:$C$70=$C1218),
    0),
    MATCH($G1218,'Putt Log'!$E$1:$V$1,0)
  ),
"")</f>
        <v>1</v>
      </c>
      <c r="P1218" t="str" cm="1">
        <f t="array" ref="P1218">IF(K1218=3,"",
  IFERROR(
    INDEX('Fairway Log'!$E$2:$V$70,
      MATCH(1,
        ('Fairway Log'!$A$2:$A$70=$A1218)*
        ('Fairway Log'!$B$2:$B$70=$B1218)*
        ('Fairway Log'!$C$2:$C1289=$C1218),
      0),
      MATCH($G1218,'Fairway Log'!$E$1:$V$1,0)
    ),
  "")
)</f>
        <v/>
      </c>
      <c r="Q1218" cm="1">
        <f t="array" ref="Q1218">IFERROR(
  INDEX('GIR Log'!$E$2:$V$70,
    MATCH(1,
      ('GIR Log'!$A$2:$A$70=$A1218)*
      ('GIR Log'!$B$2:$B$70=$B1218)*
      ('GIR Log'!$C$2:$C$70=$C1218),
    0),
    MATCH($G1218,'GIR Log'!$E$1:$V$1,0)
  ),
"")</f>
        <v>1</v>
      </c>
    </row>
    <row r="1219" spans="1:17" x14ac:dyDescent="0.25">
      <c r="A1219" s="92" t="s">
        <v>126</v>
      </c>
      <c r="B1219" s="2">
        <v>46160</v>
      </c>
      <c r="C1219" s="92" t="s">
        <v>5</v>
      </c>
      <c r="D1219" s="92" t="s">
        <v>5</v>
      </c>
      <c r="E1219" s="92" t="s">
        <v>34</v>
      </c>
      <c r="F1219">
        <v>82</v>
      </c>
      <c r="G1219" s="12" t="s">
        <v>58</v>
      </c>
      <c r="H1219" s="9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Log'!$E$2:$V$70,
    MATCH(1,
      ('Golf Log'!$A$2:$A$70=$A1219)*
      ('Golf Log'!$B$2:$B$70=$B1219)*
      ('Golf Log'!$C$2:$C$70=$C1219),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Log'!$E$2:$V$70,
    MATCH(1,
      ('Putt Log'!$A$2:$A$70=$A1219)*
      ('Putt Log'!$B$2:$B$70=$B1219)*
      ('Putt Log'!$C$2:$C$70=$C1219),
    0),
    MATCH($G1219,'Putt Log'!$E$1:$V$1,0)
  ),
"")</f>
        <v>2</v>
      </c>
      <c r="P1219" t="str" cm="1">
        <f t="array" ref="P1219">IF(K1219=3,"",
  IFERROR(
    INDEX('Fairway Log'!$E$2:$V$70,
      MATCH(1,
        ('Fairway Log'!$A$2:$A$70=$A1219)*
        ('Fairway Log'!$B$2:$B$70=$B1219)*
        ('Fairway Log'!$C$2:$C1290=$C1219),
      0),
      MATCH($G1219,'Fairway Log'!$E$1:$V$1,0)
    ),
  "")
)</f>
        <v>→</v>
      </c>
      <c r="Q1219" t="str" cm="1">
        <f t="array" ref="Q1219">IFERROR(
  INDEX('GIR Log'!$E$2:$V$70,
    MATCH(1,
      ('GIR Log'!$A$2:$A$70=$A1219)*
      ('GIR Log'!$B$2:$B$70=$B1219)*
      ('GIR Log'!$C$2:$C$70=$C1219),
    0),
    MATCH($G1219,'GIR Log'!$E$1:$V$1,0)
  ),
"")</f>
        <v>←</v>
      </c>
    </row>
    <row r="1220" spans="1:17" x14ac:dyDescent="0.25">
      <c r="A1220" s="92" t="s">
        <v>126</v>
      </c>
      <c r="B1220" s="2">
        <v>46160</v>
      </c>
      <c r="C1220" s="92" t="s">
        <v>5</v>
      </c>
      <c r="D1220" s="92" t="s">
        <v>5</v>
      </c>
      <c r="E1220" s="92" t="s">
        <v>34</v>
      </c>
      <c r="F1220">
        <v>82</v>
      </c>
      <c r="G1220" s="12" t="s">
        <v>59</v>
      </c>
      <c r="H1220" s="9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Log'!$E$2:$V$70,
    MATCH(1,
      ('Golf Log'!$A$2:$A$70=$A1220)*
      ('Golf Log'!$B$2:$B$70=$B1220)*
      ('Golf Log'!$C$2:$C$70=$C1220),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Log'!$E$2:$V$70,
    MATCH(1,
      ('Putt Log'!$A$2:$A$70=$A1220)*
      ('Putt Log'!$B$2:$B$70=$B1220)*
      ('Putt Log'!$C$2:$C$70=$C1220),
    0),
    MATCH($G1220,'Putt Log'!$E$1:$V$1,0)
  ),
"")</f>
        <v>2</v>
      </c>
      <c r="P1220" cm="1">
        <f t="array" ref="P1220">IF(K1220=3,"",
  IFERROR(
    INDEX('Fairway Log'!$E$2:$V$70,
      MATCH(1,
        ('Fairway Log'!$A$2:$A$70=$A1220)*
        ('Fairway Log'!$B$2:$B$70=$B1220)*
        ('Fairway Log'!$C$2:$C1291=$C1220),
      0),
      MATCH($G1220,'Fairway Log'!$E$1:$V$1,0)
    ),
  "")
)</f>
        <v>1</v>
      </c>
      <c r="Q1220" cm="1">
        <f t="array" ref="Q1220">IFERROR(
  INDEX('GIR Log'!$E$2:$V$70,
    MATCH(1,
      ('GIR Log'!$A$2:$A$70=$A1220)*
      ('GIR Log'!$B$2:$B$70=$B1220)*
      ('GIR Log'!$C$2:$C$70=$C1220),
    0),
    MATCH($G1220,'GIR Log'!$E$1:$V$1,0)
  ),
"")</f>
        <v>1</v>
      </c>
    </row>
    <row r="1221" spans="1:17" x14ac:dyDescent="0.25">
      <c r="A1221" s="92" t="s">
        <v>126</v>
      </c>
      <c r="B1221" s="2">
        <v>46160</v>
      </c>
      <c r="C1221" s="92" t="s">
        <v>5</v>
      </c>
      <c r="D1221" s="92" t="s">
        <v>5</v>
      </c>
      <c r="E1221" s="92" t="s">
        <v>34</v>
      </c>
      <c r="F1221">
        <v>82</v>
      </c>
      <c r="G1221" s="12" t="s">
        <v>60</v>
      </c>
      <c r="H1221" s="9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Log'!$E$2:$V$70,
    MATCH(1,
      ('Golf Log'!$A$2:$A$70=$A1221)*
      ('Golf Log'!$B$2:$B$70=$B1221)*
      ('Golf Log'!$C$2:$C$70=$C1221),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Log'!$E$2:$V$70,
    MATCH(1,
      ('Putt Log'!$A$2:$A$70=$A1221)*
      ('Putt Log'!$B$2:$B$70=$B1221)*
      ('Putt Log'!$C$2:$C$70=$C1221),
    0),
    MATCH($G1221,'Putt Log'!$E$1:$V$1,0)
  ),
"")</f>
        <v>1</v>
      </c>
      <c r="P1221" cm="1">
        <f t="array" ref="P1221">IF(K1221=3,"",
  IFERROR(
    INDEX('Fairway Log'!$E$2:$V$70,
      MATCH(1,
        ('Fairway Log'!$A$2:$A$70=$A1221)*
        ('Fairway Log'!$B$2:$B$70=$B1221)*
        ('Fairway Log'!$C$2:$C1292=$C1221),
      0),
      MATCH($G1221,'Fairway Log'!$E$1:$V$1,0)
    ),
  "")
)</f>
        <v>1</v>
      </c>
      <c r="Q1221" t="str" cm="1">
        <f t="array" ref="Q1221">IFERROR(
  INDEX('GIR Log'!$E$2:$V$70,
    MATCH(1,
      ('GIR Log'!$A$2:$A$70=$A1221)*
      ('GIR Log'!$B$2:$B$70=$B1221)*
      ('GIR Log'!$C$2:$C$70=$C1221),
    0),
    MATCH($G1221,'GIR Log'!$E$1:$V$1,0)
  ),
"")</f>
        <v>↓</v>
      </c>
    </row>
    <row r="1222" spans="1:17" x14ac:dyDescent="0.25">
      <c r="A1222" s="92" t="s">
        <v>126</v>
      </c>
      <c r="B1222" s="2">
        <v>46160</v>
      </c>
      <c r="C1222" s="92" t="s">
        <v>5</v>
      </c>
      <c r="D1222" s="92" t="s">
        <v>5</v>
      </c>
      <c r="E1222" s="92" t="s">
        <v>34</v>
      </c>
      <c r="F1222">
        <v>82</v>
      </c>
      <c r="G1222" s="12" t="s">
        <v>61</v>
      </c>
      <c r="H1222" s="9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Log'!$E$2:$V$70,
    MATCH(1,
      ('Golf Log'!$A$2:$A$70=$A1222)*
      ('Golf Log'!$B$2:$B$70=$B1222)*
      ('Golf Log'!$C$2:$C$70=$C1222),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Log'!$E$2:$V$70,
    MATCH(1,
      ('Putt Log'!$A$2:$A$70=$A1222)*
      ('Putt Log'!$B$2:$B$70=$B1222)*
      ('Putt Log'!$C$2:$C$70=$C1222),
    0),
    MATCH($G1222,'Putt Log'!$E$1:$V$1,0)
  ),
"")</f>
        <v>2</v>
      </c>
      <c r="P1222" t="str" cm="1">
        <f t="array" ref="P1222">IF(K1222=3,"",
  IFERROR(
    INDEX('Fairway Log'!$E$2:$V$70,
      MATCH(1,
        ('Fairway Log'!$A$2:$A$70=$A1222)*
        ('Fairway Log'!$B$2:$B$70=$B1222)*
        ('Fairway Log'!$C$2:$C1293=$C1222),
      0),
      MATCH($G1222,'Fairway Log'!$E$1:$V$1,0)
    ),
  "")
)</f>
        <v>→</v>
      </c>
      <c r="Q1222" t="str" cm="1">
        <f t="array" ref="Q1222">IFERROR(
  INDEX('GIR Log'!$E$2:$V$70,
    MATCH(1,
      ('GIR Log'!$A$2:$A$70=$A1222)*
      ('GIR Log'!$B$2:$B$70=$B1222)*
      ('GIR Log'!$C$2:$C$70=$C1222),
    0),
    MATCH($G1222,'GIR Log'!$E$1:$V$1,0)
  ),
"")</f>
        <v>↓</v>
      </c>
    </row>
    <row r="1223" spans="1:17" x14ac:dyDescent="0.25">
      <c r="A1223" s="92" t="s">
        <v>126</v>
      </c>
      <c r="B1223" s="2">
        <v>46160</v>
      </c>
      <c r="C1223" s="92" t="s">
        <v>5</v>
      </c>
      <c r="D1223" s="92" t="s">
        <v>5</v>
      </c>
      <c r="E1223" s="92" t="s">
        <v>34</v>
      </c>
      <c r="F1223">
        <v>82</v>
      </c>
      <c r="G1223" s="12" t="s">
        <v>62</v>
      </c>
      <c r="H1223" s="9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Log'!$E$2:$V$70,
    MATCH(1,
      ('Golf Log'!$A$2:$A$70=$A1223)*
      ('Golf Log'!$B$2:$B$70=$B1223)*
      ('Golf Log'!$C$2:$C$70=$C1223),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Log'!$E$2:$V$70,
    MATCH(1,
      ('Putt Log'!$A$2:$A$70=$A1223)*
      ('Putt Log'!$B$2:$B$70=$B1223)*
      ('Putt Log'!$C$2:$C$70=$C1223),
    0),
    MATCH($G1223,'Putt Log'!$E$1:$V$1,0)
  ),
"")</f>
        <v>2</v>
      </c>
      <c r="P1223" t="str" cm="1">
        <f t="array" ref="P1223">IF(K1223=3,"",
  IFERROR(
    INDEX('Fairway Log'!$E$2:$V$70,
      MATCH(1,
        ('Fairway Log'!$A$2:$A$70=$A1223)*
        ('Fairway Log'!$B$2:$B$70=$B1223)*
        ('Fairway Log'!$C$2:$C1294=$C1223),
      0),
      MATCH($G1223,'Fairway Log'!$E$1:$V$1,0)
    ),
  "")
)</f>
        <v>←</v>
      </c>
      <c r="Q1223" t="str" cm="1">
        <f t="array" ref="Q1223">IFERROR(
  INDEX('GIR Log'!$E$2:$V$70,
    MATCH(1,
      ('GIR Log'!$A$2:$A$70=$A1223)*
      ('GIR Log'!$B$2:$B$70=$B1223)*
      ('GIR Log'!$C$2:$C$70=$C1223),
    0),
    MATCH($G1223,'GIR Log'!$E$1:$V$1,0)
  ),
"")</f>
        <v>↓</v>
      </c>
    </row>
    <row r="1224" spans="1:17" x14ac:dyDescent="0.25">
      <c r="A1224" s="92" t="s">
        <v>126</v>
      </c>
      <c r="B1224" s="2">
        <v>46160</v>
      </c>
      <c r="C1224" s="92" t="s">
        <v>5</v>
      </c>
      <c r="D1224" s="92" t="s">
        <v>5</v>
      </c>
      <c r="E1224" s="92" t="s">
        <v>34</v>
      </c>
      <c r="F1224">
        <v>82</v>
      </c>
      <c r="G1224" s="12" t="s">
        <v>63</v>
      </c>
      <c r="H1224" s="9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Log'!$E$2:$V$70,
    MATCH(1,
      ('Golf Log'!$A$2:$A$70=$A1224)*
      ('Golf Log'!$B$2:$B$70=$B1224)*
      ('Golf Log'!$C$2:$C$70=$C1224),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Log'!$E$2:$V$70,
    MATCH(1,
      ('Putt Log'!$A$2:$A$70=$A1224)*
      ('Putt Log'!$B$2:$B$70=$B1224)*
      ('Putt Log'!$C$2:$C$70=$C1224),
    0),
    MATCH($G1224,'Putt Log'!$E$1:$V$1,0)
  ),
"")</f>
        <v>2</v>
      </c>
      <c r="P1224" t="str" cm="1">
        <f t="array" ref="P1224">IF(K1224=3,"",
  IFERROR(
    INDEX('Fairway Log'!$E$2:$V$70,
      MATCH(1,
        ('Fairway Log'!$A$2:$A$70=$A1224)*
        ('Fairway Log'!$B$2:$B$70=$B1224)*
        ('Fairway Log'!$C$2:$C1295=$C1224),
      0),
      MATCH($G1224,'Fairway Log'!$E$1:$V$1,0)
    ),
  "")
)</f>
        <v/>
      </c>
      <c r="Q1224" t="str" cm="1">
        <f t="array" ref="Q1224">IFERROR(
  INDEX('GIR Log'!$E$2:$V$70,
    MATCH(1,
      ('GIR Log'!$A$2:$A$70=$A1224)*
      ('GIR Log'!$B$2:$B$70=$B1224)*
      ('GIR Log'!$C$2:$C$70=$C1224),
    0),
    MATCH($G1224,'GIR Log'!$E$1:$V$1,0)
  ),
"")</f>
        <v>↓</v>
      </c>
    </row>
    <row r="1225" spans="1:17" x14ac:dyDescent="0.25">
      <c r="A1225" s="92" t="s">
        <v>126</v>
      </c>
      <c r="B1225" s="2">
        <v>46160</v>
      </c>
      <c r="C1225" s="92" t="s">
        <v>5</v>
      </c>
      <c r="D1225" s="92" t="s">
        <v>5</v>
      </c>
      <c r="E1225" s="92" t="s">
        <v>34</v>
      </c>
      <c r="F1225">
        <v>82</v>
      </c>
      <c r="G1225" s="12" t="s">
        <v>64</v>
      </c>
      <c r="H1225" s="9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Log'!$E$2:$V$70,
    MATCH(1,
      ('Golf Log'!$A$2:$A$70=$A1225)*
      ('Golf Log'!$B$2:$B$70=$B1225)*
      ('Golf Log'!$C$2:$C$70=$C1225),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Log'!$E$2:$V$70,
    MATCH(1,
      ('Putt Log'!$A$2:$A$70=$A1225)*
      ('Putt Log'!$B$2:$B$70=$B1225)*
      ('Putt Log'!$C$2:$C$70=$C1225),
    0),
    MATCH($G1225,'Putt Log'!$E$1:$V$1,0)
  ),
"")</f>
        <v>2</v>
      </c>
      <c r="P1225" t="str" cm="1">
        <f t="array" ref="P1225">IF(K1225=3,"",
  IFERROR(
    INDEX('Fairway Log'!$E$2:$V$70,
      MATCH(1,
        ('Fairway Log'!$A$2:$A$70=$A1225)*
        ('Fairway Log'!$B$2:$B$70=$B1225)*
        ('Fairway Log'!$C$2:$C1296=$C1225),
      0),
      MATCH($G1225,'Fairway Log'!$E$1:$V$1,0)
    ),
  "")
)</f>
        <v>→</v>
      </c>
      <c r="Q1225" t="str" cm="1">
        <f t="array" ref="Q1225">IFERROR(
  INDEX('GIR Log'!$E$2:$V$70,
    MATCH(1,
      ('GIR Log'!$A$2:$A$70=$A1225)*
      ('GIR Log'!$B$2:$B$70=$B1225)*
      ('GIR Log'!$C$2:$C$70=$C1225),
    0),
    MATCH($G1225,'GIR Log'!$E$1:$V$1,0)
  ),
"")</f>
        <v>↓</v>
      </c>
    </row>
    <row r="1226" spans="1:17" x14ac:dyDescent="0.25">
      <c r="A1226" s="51"/>
      <c r="G1226" s="12"/>
      <c r="H1226" s="9"/>
    </row>
    <row r="1227" spans="1:17" x14ac:dyDescent="0.25">
      <c r="A1227" s="51"/>
      <c r="G1227" s="12"/>
      <c r="H1227" s="9"/>
    </row>
    <row r="1228" spans="1:17" x14ac:dyDescent="0.25">
      <c r="A1228" s="51"/>
      <c r="G1228" s="12"/>
      <c r="H1228" s="9"/>
    </row>
    <row r="1229" spans="1:17" x14ac:dyDescent="0.25">
      <c r="A1229" s="51"/>
      <c r="G1229" s="12"/>
      <c r="H1229" s="9"/>
    </row>
    <row r="1230" spans="1:17" x14ac:dyDescent="0.25">
      <c r="A1230" s="51"/>
      <c r="G1230" s="12"/>
      <c r="H1230" s="9"/>
    </row>
    <row r="1231" spans="1:17" x14ac:dyDescent="0.25">
      <c r="A1231" s="51"/>
      <c r="G1231" s="12"/>
      <c r="H1231" s="9"/>
    </row>
    <row r="1232" spans="1:17" x14ac:dyDescent="0.25">
      <c r="A1232" s="51"/>
      <c r="G1232" s="12"/>
      <c r="H1232" s="9"/>
    </row>
    <row r="1233" spans="1:8" x14ac:dyDescent="0.25">
      <c r="A1233" s="51"/>
      <c r="G1233" s="12"/>
      <c r="H1233" s="9"/>
    </row>
    <row r="1234" spans="1:8" x14ac:dyDescent="0.25">
      <c r="A1234" s="51"/>
      <c r="G1234" s="12"/>
      <c r="H1234" s="9"/>
    </row>
    <row r="1235" spans="1:8" x14ac:dyDescent="0.25">
      <c r="A1235" s="51"/>
      <c r="G1235" s="12"/>
      <c r="H1235" s="9"/>
    </row>
    <row r="1236" spans="1:8" x14ac:dyDescent="0.25">
      <c r="A1236" s="51"/>
      <c r="G1236" s="12"/>
      <c r="H1236" s="9"/>
    </row>
    <row r="1237" spans="1:8" x14ac:dyDescent="0.25">
      <c r="A1237" s="51"/>
      <c r="G1237" s="12"/>
      <c r="H1237" s="9"/>
    </row>
    <row r="1238" spans="1:8" x14ac:dyDescent="0.25">
      <c r="A1238" s="51"/>
      <c r="G1238" s="12"/>
      <c r="H1238" s="9"/>
    </row>
    <row r="1239" spans="1:8" x14ac:dyDescent="0.25">
      <c r="A1239" s="51"/>
      <c r="G1239" s="12"/>
      <c r="H1239" s="9"/>
    </row>
    <row r="1240" spans="1:8" x14ac:dyDescent="0.25">
      <c r="A1240" s="51"/>
      <c r="G1240" s="12"/>
      <c r="H1240" s="9"/>
    </row>
    <row r="1241" spans="1:8" x14ac:dyDescent="0.25">
      <c r="A1241" s="51"/>
      <c r="G1241" s="12"/>
      <c r="H1241" s="9"/>
    </row>
    <row r="1242" spans="1:8" x14ac:dyDescent="0.25">
      <c r="A1242" s="51"/>
      <c r="G1242" s="12"/>
      <c r="H1242" s="9"/>
    </row>
    <row r="1243" spans="1:8" x14ac:dyDescent="0.25">
      <c r="A1243" s="51"/>
      <c r="G1243" s="12"/>
      <c r="H1243" s="9"/>
    </row>
    <row r="1244" spans="1:8" x14ac:dyDescent="0.25">
      <c r="A1244" s="51"/>
      <c r="H1244" s="9"/>
    </row>
    <row r="1245" spans="1:8" x14ac:dyDescent="0.25">
      <c r="A1245" s="51"/>
      <c r="H1245" s="9"/>
    </row>
    <row r="1246" spans="1:8" x14ac:dyDescent="0.25">
      <c r="A1246" s="51"/>
      <c r="H1246" s="9"/>
    </row>
    <row r="1247" spans="1:8" x14ac:dyDescent="0.25">
      <c r="A1247" s="51"/>
      <c r="H1247" s="9"/>
    </row>
    <row r="1248" spans="1:8" x14ac:dyDescent="0.25">
      <c r="A1248" s="51"/>
      <c r="H1248" s="9"/>
    </row>
    <row r="1249" spans="1:8" x14ac:dyDescent="0.25">
      <c r="A1249" s="51"/>
      <c r="H1249" s="9"/>
    </row>
    <row r="1250" spans="1:8" x14ac:dyDescent="0.25">
      <c r="A1250" s="51"/>
      <c r="H1250" s="9"/>
    </row>
    <row r="1251" spans="1:8" x14ac:dyDescent="0.25">
      <c r="A1251" s="51"/>
      <c r="H1251" s="9"/>
    </row>
    <row r="1252" spans="1:8" x14ac:dyDescent="0.25">
      <c r="A1252" s="51"/>
      <c r="H1252" s="9"/>
    </row>
    <row r="1253" spans="1:8" x14ac:dyDescent="0.25">
      <c r="A1253" s="51"/>
      <c r="H1253" s="9"/>
    </row>
    <row r="1254" spans="1:8" x14ac:dyDescent="0.25">
      <c r="A1254" s="51"/>
      <c r="H1254" s="9"/>
    </row>
    <row r="1255" spans="1:8" x14ac:dyDescent="0.25">
      <c r="A1255" s="51"/>
      <c r="H1255" s="9"/>
    </row>
    <row r="1256" spans="1:8" x14ac:dyDescent="0.25">
      <c r="A1256" s="51"/>
      <c r="H1256" s="9"/>
    </row>
    <row r="1257" spans="1:8" x14ac:dyDescent="0.25">
      <c r="A1257" s="51"/>
      <c r="H1257" s="9"/>
    </row>
    <row r="1258" spans="1:8" x14ac:dyDescent="0.25">
      <c r="A1258" s="51"/>
      <c r="H1258" s="9"/>
    </row>
    <row r="1259" spans="1:8" x14ac:dyDescent="0.25">
      <c r="A1259" s="51"/>
      <c r="H1259" s="9"/>
    </row>
    <row r="1260" spans="1:8" x14ac:dyDescent="0.25">
      <c r="A1260" s="51"/>
      <c r="H1260" s="9"/>
    </row>
    <row r="1261" spans="1:8" x14ac:dyDescent="0.25">
      <c r="A1261" s="51"/>
      <c r="H1261" s="9"/>
    </row>
    <row r="1262" spans="1:8" x14ac:dyDescent="0.25">
      <c r="A1262" s="51"/>
      <c r="G1262" s="12"/>
      <c r="H1262" s="9"/>
    </row>
    <row r="1263" spans="1:8" x14ac:dyDescent="0.25">
      <c r="A1263" s="51"/>
      <c r="G1263" s="12"/>
      <c r="H1263" s="9"/>
    </row>
    <row r="1264" spans="1:8" x14ac:dyDescent="0.25">
      <c r="A1264" s="51"/>
      <c r="G1264" s="12"/>
      <c r="H1264" s="9"/>
    </row>
    <row r="1265" spans="1:8" x14ac:dyDescent="0.25">
      <c r="A1265" s="51"/>
      <c r="G1265" s="12"/>
      <c r="H1265" s="9"/>
    </row>
    <row r="1266" spans="1:8" x14ac:dyDescent="0.25">
      <c r="A1266" s="51"/>
      <c r="G1266" s="12"/>
      <c r="H1266" s="9"/>
    </row>
    <row r="1267" spans="1:8" x14ac:dyDescent="0.25">
      <c r="A1267" s="51"/>
      <c r="G1267" s="12"/>
      <c r="H1267" s="9"/>
    </row>
    <row r="1268" spans="1:8" x14ac:dyDescent="0.25">
      <c r="A1268" s="51"/>
      <c r="G1268" s="12"/>
      <c r="H1268" s="9"/>
    </row>
    <row r="1269" spans="1:8" x14ac:dyDescent="0.25">
      <c r="A1269" s="51"/>
      <c r="G1269" s="12"/>
      <c r="H1269" s="9"/>
    </row>
    <row r="1270" spans="1:8" x14ac:dyDescent="0.25">
      <c r="A1270" s="51"/>
      <c r="G1270" s="12"/>
      <c r="H1270" s="9"/>
    </row>
    <row r="1271" spans="1:8" x14ac:dyDescent="0.25">
      <c r="A1271" s="51"/>
      <c r="G1271" s="12"/>
      <c r="H1271" s="9"/>
    </row>
    <row r="1272" spans="1:8" x14ac:dyDescent="0.25">
      <c r="A1272" s="51"/>
      <c r="G1272" s="12"/>
      <c r="H1272" s="9"/>
    </row>
    <row r="1273" spans="1:8" x14ac:dyDescent="0.25">
      <c r="A1273" s="51"/>
      <c r="G1273" s="12"/>
      <c r="H1273" s="9"/>
    </row>
    <row r="1274" spans="1:8" x14ac:dyDescent="0.25">
      <c r="A1274" s="51"/>
      <c r="G1274" s="12"/>
      <c r="H1274" s="9"/>
    </row>
    <row r="1275" spans="1:8" x14ac:dyDescent="0.25">
      <c r="A1275" s="51"/>
      <c r="G1275" s="12"/>
      <c r="H1275" s="9"/>
    </row>
    <row r="1276" spans="1:8" x14ac:dyDescent="0.25">
      <c r="A1276" s="51"/>
      <c r="G1276" s="12"/>
      <c r="H1276" s="9"/>
    </row>
    <row r="1277" spans="1:8" x14ac:dyDescent="0.25">
      <c r="A1277" s="51"/>
      <c r="G1277" s="12"/>
      <c r="H1277" s="9"/>
    </row>
    <row r="1278" spans="1:8" x14ac:dyDescent="0.25">
      <c r="A1278" s="51"/>
      <c r="G1278" s="12"/>
      <c r="H1278" s="9"/>
    </row>
    <row r="1279" spans="1:8" x14ac:dyDescent="0.25">
      <c r="A1279" s="51"/>
      <c r="G1279" s="12"/>
      <c r="H1279" s="9"/>
    </row>
    <row r="1280" spans="1:8" x14ac:dyDescent="0.25">
      <c r="A1280" s="51"/>
      <c r="H1280" s="9"/>
    </row>
    <row r="1281" spans="1:8" x14ac:dyDescent="0.25">
      <c r="A1281" s="51"/>
      <c r="H1281" s="9"/>
    </row>
    <row r="1282" spans="1:8" x14ac:dyDescent="0.25">
      <c r="A1282" s="51"/>
      <c r="H1282" s="9"/>
    </row>
    <row r="1283" spans="1:8" x14ac:dyDescent="0.25">
      <c r="A1283" s="51"/>
      <c r="H1283" s="9"/>
    </row>
    <row r="1284" spans="1:8" x14ac:dyDescent="0.25">
      <c r="A1284" s="51"/>
      <c r="H1284" s="9"/>
    </row>
    <row r="1285" spans="1:8" x14ac:dyDescent="0.25">
      <c r="A1285" s="51"/>
      <c r="H1285" s="9"/>
    </row>
    <row r="1286" spans="1:8" x14ac:dyDescent="0.25">
      <c r="A1286" s="51"/>
      <c r="H1286" s="9"/>
    </row>
    <row r="1287" spans="1:8" x14ac:dyDescent="0.25">
      <c r="A1287" s="51"/>
      <c r="H1287" s="9"/>
    </row>
    <row r="1288" spans="1:8" x14ac:dyDescent="0.25">
      <c r="A1288" s="51"/>
      <c r="H1288" s="9"/>
    </row>
    <row r="1289" spans="1:8" x14ac:dyDescent="0.25">
      <c r="A1289" s="51"/>
      <c r="H1289" s="9"/>
    </row>
    <row r="1290" spans="1:8" x14ac:dyDescent="0.25">
      <c r="A1290" s="51"/>
      <c r="H1290" s="9"/>
    </row>
    <row r="1291" spans="1:8" x14ac:dyDescent="0.25">
      <c r="A1291" s="51"/>
      <c r="H1291" s="9"/>
    </row>
    <row r="1292" spans="1:8" x14ac:dyDescent="0.25">
      <c r="A1292" s="51"/>
      <c r="H1292" s="9"/>
    </row>
    <row r="1293" spans="1:8" x14ac:dyDescent="0.25">
      <c r="A1293" s="51"/>
      <c r="H1293" s="9"/>
    </row>
    <row r="1294" spans="1:8" x14ac:dyDescent="0.25">
      <c r="A1294" s="51"/>
      <c r="H1294" s="9"/>
    </row>
    <row r="1295" spans="1:8" x14ac:dyDescent="0.25">
      <c r="A1295" s="51"/>
      <c r="H1295" s="9"/>
    </row>
    <row r="1296" spans="1:8" x14ac:dyDescent="0.25">
      <c r="A1296" s="51"/>
      <c r="H1296" s="9"/>
    </row>
    <row r="1297" spans="1:8" x14ac:dyDescent="0.25">
      <c r="A1297" s="51"/>
      <c r="H1297" s="9"/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5"/>
  <sheetViews>
    <sheetView topLeftCell="D55" workbookViewId="0">
      <selection activeCell="X70" sqref="X70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9" t="s">
        <v>19</v>
      </c>
      <c r="C1" s="26" t="s">
        <v>24</v>
      </c>
      <c r="D1" s="26" t="s">
        <v>20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0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30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3.75</v>
      </c>
      <c r="AA2" s="28" cm="1">
        <f t="array" ref="AA2">SUMPRODUCT((_xlfn.XLOOKUP(C2, 'Course Stats'!A:A, 'Course Stats'!G:X)=4)*(E2:V2)) / COUNTIF(_xlfn.XLOOKUP(C2, 'Course Stats'!A:A, 'Course Stats'!G:X), 4)</f>
        <v>4.0909090909090908</v>
      </c>
      <c r="AB2" s="28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126</v>
      </c>
      <c r="B3" s="30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4</v>
      </c>
      <c r="AA3" s="28" cm="1">
        <f t="array" ref="AA3">SUMPRODUCT((_xlfn.XLOOKUP(C3, 'Course Stats'!A:A, 'Course Stats'!G:X)=4)*(E3:V3)) / COUNTIF(_xlfn.XLOOKUP(C3, 'Course Stats'!A:A, 'Course Stats'!G:X), 4)</f>
        <v>4.7</v>
      </c>
      <c r="AB3" s="28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126</v>
      </c>
      <c r="B4" s="30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3.5</v>
      </c>
      <c r="AA4" s="28" cm="1">
        <f t="array" ref="AA4">SUMPRODUCT((_xlfn.XLOOKUP(C4, 'Course Stats'!A:A, 'Course Stats'!G:X)=4)*(E4:V4)) / COUNTIF(_xlfn.XLOOKUP(C4, 'Course Stats'!A:A, 'Course Stats'!G:X), 4)</f>
        <v>4.5</v>
      </c>
      <c r="AB4" s="28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126</v>
      </c>
      <c r="B5" s="30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4.25</v>
      </c>
      <c r="AA5" s="28" cm="1">
        <f t="array" ref="AA5">SUMPRODUCT((_xlfn.XLOOKUP(C5, 'Course Stats'!A:A, 'Course Stats'!G:X)=4)*(E5:V5)) / COUNTIF(_xlfn.XLOOKUP(C5, 'Course Stats'!A:A, 'Course Stats'!G:X), 4)</f>
        <v>4.9090909090909092</v>
      </c>
      <c r="AB5" s="28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126</v>
      </c>
      <c r="B6" s="30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4</v>
      </c>
      <c r="AA6" s="28" cm="1">
        <f t="array" ref="AA6">SUMPRODUCT((_xlfn.XLOOKUP(C6, 'Course Stats'!A:A, 'Course Stats'!G:X)=4)*(E6:V6)) / COUNTIF(_xlfn.XLOOKUP(C6, 'Course Stats'!A:A, 'Course Stats'!G:X), 4)</f>
        <v>4.5999999999999996</v>
      </c>
      <c r="AB6" s="28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126</v>
      </c>
      <c r="B7" s="30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3.5</v>
      </c>
      <c r="AA7" s="28" cm="1">
        <f t="array" ref="AA7">SUMPRODUCT((_xlfn.XLOOKUP(C7, 'Course Stats'!A:A, 'Course Stats'!G:X)=4)*(E7:V7)) / COUNTIF(_xlfn.XLOOKUP(C7, 'Course Stats'!A:A, 'Course Stats'!G:X), 4)</f>
        <v>4.5454545454545459</v>
      </c>
      <c r="AB7" s="28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126</v>
      </c>
      <c r="B8" s="30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4.25</v>
      </c>
      <c r="AA8" s="28" cm="1">
        <f t="array" ref="AA8">SUMPRODUCT((_xlfn.XLOOKUP(C8, 'Course Stats'!A:A, 'Course Stats'!G:X)=4)*(E8:V8)) / COUNTIF(_xlfn.XLOOKUP(C8, 'Course Stats'!A:A, 'Course Stats'!G:X), 4)</f>
        <v>4.8181818181818183</v>
      </c>
      <c r="AB8" s="28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126</v>
      </c>
      <c r="B9" s="30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4</v>
      </c>
      <c r="AA9" s="28" cm="1">
        <f t="array" ref="AA9">SUMPRODUCT((_xlfn.XLOOKUP(C9, 'Course Stats'!A:A, 'Course Stats'!G:X)=4)*(E9:V9)) / COUNTIF(_xlfn.XLOOKUP(C9, 'Course Stats'!A:A, 'Course Stats'!G:X), 4)</f>
        <v>4.583333333333333</v>
      </c>
      <c r="AB9" s="28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126</v>
      </c>
      <c r="B10" s="30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4</v>
      </c>
      <c r="AA10" s="28" cm="1">
        <f t="array" ref="AA10">SUMPRODUCT((_xlfn.XLOOKUP(C10, 'Course Stats'!A:A, 'Course Stats'!G:X)=4)*(E10:V10)) / COUNTIF(_xlfn.XLOOKUP(C10, 'Course Stats'!A:A, 'Course Stats'!G:X), 4)</f>
        <v>4.5454545454545459</v>
      </c>
      <c r="AB10" s="28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126</v>
      </c>
      <c r="B11" s="30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4</v>
      </c>
      <c r="AA11" s="28" cm="1">
        <f t="array" ref="AA11">SUMPRODUCT((_xlfn.XLOOKUP(C11, 'Course Stats'!A:A, 'Course Stats'!G:X)=4)*(E11:V11)) / COUNTIF(_xlfn.XLOOKUP(C11, 'Course Stats'!A:A, 'Course Stats'!G:X), 4)</f>
        <v>4.5</v>
      </c>
      <c r="AB11" s="28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126</v>
      </c>
      <c r="B12" s="30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3.6666666666666665</v>
      </c>
      <c r="AA12" s="28" cm="1">
        <f t="array" ref="AA12">SUMPRODUCT((_xlfn.XLOOKUP(C12, 'Course Stats'!A:A, 'Course Stats'!G:X)=4)*(E12:V12)) / COUNTIF(_xlfn.XLOOKUP(C12, 'Course Stats'!A:A, 'Course Stats'!G:X), 4)</f>
        <v>4.75</v>
      </c>
      <c r="AB12" s="28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126</v>
      </c>
      <c r="B13" s="30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3.75</v>
      </c>
      <c r="AA13" s="28" cm="1">
        <f t="array" ref="AA13">SUMPRODUCT((_xlfn.XLOOKUP(C13, 'Course Stats'!A:A, 'Course Stats'!G:X)=4)*(E13:V13)) / COUNTIF(_xlfn.XLOOKUP(C13, 'Course Stats'!A:A, 'Course Stats'!G:X), 4)</f>
        <v>4.3636363636363633</v>
      </c>
      <c r="AB13" s="28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126</v>
      </c>
      <c r="B14" s="30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3.5</v>
      </c>
      <c r="AA14" s="28" cm="1">
        <f t="array" ref="AA14">SUMPRODUCT((_xlfn.XLOOKUP(C14, 'Course Stats'!A:A, 'Course Stats'!G:X)=4)*(E14:V14)) / COUNTIF(_xlfn.XLOOKUP(C14, 'Course Stats'!A:A, 'Course Stats'!G:X), 4)</f>
        <v>4.666666666666667</v>
      </c>
      <c r="AB14" s="28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126</v>
      </c>
      <c r="B15" s="30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3.25</v>
      </c>
      <c r="AA15" s="28" cm="1">
        <f t="array" ref="AA15">SUMPRODUCT((_xlfn.XLOOKUP(C15, 'Course Stats'!A:A, 'Course Stats'!G:X)=4)*(E15:V15)) / COUNTIF(_xlfn.XLOOKUP(C15, 'Course Stats'!A:A, 'Course Stats'!G:X), 4)</f>
        <v>4.4000000000000004</v>
      </c>
      <c r="AB15" s="28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126</v>
      </c>
      <c r="B16" s="30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3.75</v>
      </c>
      <c r="AA16" s="28" cm="1">
        <f t="array" ref="AA16">SUMPRODUCT((_xlfn.XLOOKUP(C16, 'Course Stats'!A:A, 'Course Stats'!G:X)=4)*(E16:V16)) / COUNTIF(_xlfn.XLOOKUP(C16, 'Course Stats'!A:A, 'Course Stats'!G:X), 4)</f>
        <v>4.5</v>
      </c>
      <c r="AB16" s="28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126</v>
      </c>
      <c r="B17" s="30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3.25</v>
      </c>
      <c r="AA17" s="28" cm="1">
        <f t="array" ref="AA17">SUMPRODUCT((_xlfn.XLOOKUP(C17, 'Course Stats'!A:A, 'Course Stats'!G:X)=4)*(E17:V17)) / COUNTIF(_xlfn.XLOOKUP(C17, 'Course Stats'!A:A, 'Course Stats'!G:X), 4)</f>
        <v>4.833333333333333</v>
      </c>
      <c r="AB17" s="28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126</v>
      </c>
      <c r="B18" s="30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4.5</v>
      </c>
      <c r="AA18" s="28" cm="1">
        <f t="array" ref="AA18">SUMPRODUCT((_xlfn.XLOOKUP(C18, 'Course Stats'!A:A, 'Course Stats'!G:X)=4)*(E18:V18)) / COUNTIF(_xlfn.XLOOKUP(C18, 'Course Stats'!A:A, 'Course Stats'!G:X), 4)</f>
        <v>5.5</v>
      </c>
      <c r="AB18" s="28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126</v>
      </c>
      <c r="B19" s="30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3.8</v>
      </c>
      <c r="AA19" s="28" cm="1">
        <f t="array" ref="AA19">SUMPRODUCT((_xlfn.XLOOKUP(C19, 'Course Stats'!A:A, 'Course Stats'!G:X)=4)*(E19:V19)) / COUNTIF(_xlfn.XLOOKUP(C19, 'Course Stats'!A:A, 'Course Stats'!G:X), 4)</f>
        <v>5.666666666666667</v>
      </c>
      <c r="AB19" s="28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126</v>
      </c>
      <c r="B20" s="30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3.75</v>
      </c>
      <c r="AA20" s="28" cm="1">
        <f t="array" ref="AA20">SUMPRODUCT((_xlfn.XLOOKUP(C20, 'Course Stats'!A:A, 'Course Stats'!G:X)=4)*(E20:V20)) / COUNTIF(_xlfn.XLOOKUP(C20, 'Course Stats'!A:A, 'Course Stats'!G:X), 4)</f>
        <v>4.9090909090909092</v>
      </c>
      <c r="AB20" s="28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126</v>
      </c>
      <c r="B21" s="30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4.25</v>
      </c>
      <c r="AA21" s="28" cm="1">
        <f t="array" ref="AA21">SUMPRODUCT((_xlfn.XLOOKUP(C21, 'Course Stats'!A:A, 'Course Stats'!G:X)=4)*(E21:V21)) / COUNTIF(_xlfn.XLOOKUP(C21, 'Course Stats'!A:A, 'Course Stats'!G:X), 4)</f>
        <v>5.0909090909090908</v>
      </c>
      <c r="AB21" s="28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126</v>
      </c>
      <c r="B22" s="30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3.75</v>
      </c>
      <c r="AA22" s="28" cm="1">
        <f t="array" ref="AA22">SUMPRODUCT((_xlfn.XLOOKUP(C22, 'Course Stats'!A:A, 'Course Stats'!G:X)=4)*(E22:V22)) / COUNTIF(_xlfn.XLOOKUP(C22, 'Course Stats'!A:A, 'Course Stats'!G:X), 4)</f>
        <v>5</v>
      </c>
      <c r="AB22" s="28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126</v>
      </c>
      <c r="B23" s="30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3.5</v>
      </c>
      <c r="AA23" s="28" cm="1">
        <f t="array" ref="AA23">SUMPRODUCT((_xlfn.XLOOKUP(C23, 'Course Stats'!A:A, 'Course Stats'!G:X)=4)*(E23:V23)) / COUNTIF(_xlfn.XLOOKUP(C23, 'Course Stats'!A:A, 'Course Stats'!G:X), 4)</f>
        <v>5.0909090909090908</v>
      </c>
      <c r="AB23" s="28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126</v>
      </c>
      <c r="B24" s="30">
        <v>45156</v>
      </c>
      <c r="C24" s="20" t="s">
        <v>46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3.75</v>
      </c>
      <c r="AA24" s="28" cm="1">
        <f t="array" ref="AA24">SUMPRODUCT((_xlfn.XLOOKUP(C24, 'Course Stats'!A:A, 'Course Stats'!G:X)=4)*(E24:V24)) / COUNTIF(_xlfn.XLOOKUP(C24, 'Course Stats'!A:A, 'Course Stats'!G:X), 4)</f>
        <v>5.2727272727272725</v>
      </c>
      <c r="AB24" s="28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126</v>
      </c>
      <c r="B25" s="30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3.75</v>
      </c>
      <c r="AA25" s="28" cm="1">
        <f t="array" ref="AA25">SUMPRODUCT((_xlfn.XLOOKUP(C25, 'Course Stats'!A:A, 'Course Stats'!G:X)=4)*(E25:V25)) / COUNTIF(_xlfn.XLOOKUP(C25, 'Course Stats'!A:A, 'Course Stats'!G:X), 4)</f>
        <v>5.9090909090909092</v>
      </c>
      <c r="AB25" s="28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126</v>
      </c>
      <c r="B26" s="30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3.75</v>
      </c>
      <c r="AA26" s="28" cm="1">
        <f t="array" ref="AA26">SUMPRODUCT((_xlfn.XLOOKUP(C26, 'Course Stats'!A:A, 'Course Stats'!G:X)=4)*(E26:V26)) / COUNTIF(_xlfn.XLOOKUP(C26, 'Course Stats'!A:A, 'Course Stats'!G:X), 4)</f>
        <v>5.0909090909090908</v>
      </c>
      <c r="AB26" s="28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126</v>
      </c>
      <c r="B27" s="30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3.75</v>
      </c>
      <c r="AA27" s="28" cm="1">
        <f t="array" ref="AA27">SUMPRODUCT((_xlfn.XLOOKUP(C27, 'Course Stats'!A:A, 'Course Stats'!G:X)=4)*(E27:V27)) / COUNTIF(_xlfn.XLOOKUP(C27, 'Course Stats'!A:A, 'Course Stats'!G:X), 4)</f>
        <v>5.2727272727272725</v>
      </c>
      <c r="AB27" s="28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126</v>
      </c>
      <c r="B28" s="30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3.75</v>
      </c>
      <c r="AA28" s="28" cm="1">
        <f t="array" ref="AA28">SUMPRODUCT((_xlfn.XLOOKUP(C28, 'Course Stats'!A:A, 'Course Stats'!G:X)=4)*(E28:V28)) / COUNTIF(_xlfn.XLOOKUP(C28, 'Course Stats'!A:A, 'Course Stats'!G:X), 4)</f>
        <v>5.0999999999999996</v>
      </c>
      <c r="AB28" s="28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126</v>
      </c>
      <c r="B29" s="30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4.5</v>
      </c>
      <c r="AA29" s="28" cm="1">
        <f t="array" ref="AA29">SUMPRODUCT((_xlfn.XLOOKUP(C29, 'Course Stats'!A:A, 'Course Stats'!G:X)=4)*(E29:V29)) / COUNTIF(_xlfn.XLOOKUP(C29, 'Course Stats'!A:A, 'Course Stats'!G:X), 4)</f>
        <v>5</v>
      </c>
      <c r="AB29" s="28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126</v>
      </c>
      <c r="B30" s="30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3.75</v>
      </c>
      <c r="AA30" s="28" cm="1">
        <f t="array" ref="AA30">SUMPRODUCT((_xlfn.XLOOKUP(C30, 'Course Stats'!A:A, 'Course Stats'!G:X)=4)*(E30:V30)) / COUNTIF(_xlfn.XLOOKUP(C30, 'Course Stats'!A:A, 'Course Stats'!G:X), 4)</f>
        <v>5.2</v>
      </c>
      <c r="AB30" s="28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126</v>
      </c>
      <c r="B31" s="30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4</v>
      </c>
      <c r="AA31" s="28" cm="1">
        <f t="array" ref="AA31">SUMPRODUCT((_xlfn.XLOOKUP(C31, 'Course Stats'!A:A, 'Course Stats'!G:X)=4)*(E31:V31)) / COUNTIF(_xlfn.XLOOKUP(C31, 'Course Stats'!A:A, 'Course Stats'!G:X), 4)</f>
        <v>4.9090909090909092</v>
      </c>
      <c r="AB31" s="28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126</v>
      </c>
      <c r="B32" s="30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3.75</v>
      </c>
      <c r="AA32" s="28" cm="1">
        <f t="array" ref="AA32">SUMPRODUCT((_xlfn.XLOOKUP(C32, 'Course Stats'!A:A, 'Course Stats'!G:X)=4)*(E32:V32)) / COUNTIF(_xlfn.XLOOKUP(C32, 'Course Stats'!A:A, 'Course Stats'!G:X), 4)</f>
        <v>5.6363636363636367</v>
      </c>
      <c r="AB32" s="28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126</v>
      </c>
      <c r="B33" s="30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4.25</v>
      </c>
      <c r="AA33" s="28" cm="1">
        <f t="array" ref="AA33">SUMPRODUCT((_xlfn.XLOOKUP(C33, 'Course Stats'!A:A, 'Course Stats'!G:X)=4)*(E33:V33)) / COUNTIF(_xlfn.XLOOKUP(C33, 'Course Stats'!A:A, 'Course Stats'!G:X), 4)</f>
        <v>4.6363636363636367</v>
      </c>
      <c r="AB33" s="28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126</v>
      </c>
      <c r="B34" s="30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3.75</v>
      </c>
      <c r="AA34" s="28" cm="1">
        <f t="array" ref="AA34">SUMPRODUCT((_xlfn.XLOOKUP(C34, 'Course Stats'!A:A, 'Course Stats'!G:X)=4)*(E34:V34)) / COUNTIF(_xlfn.XLOOKUP(C34, 'Course Stats'!A:A, 'Course Stats'!G:X), 4)</f>
        <v>5.2</v>
      </c>
      <c r="AB34" s="28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126</v>
      </c>
      <c r="B35" s="30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28" cm="1">
        <f t="array" ref="Z35">SUMPRODUCT((_xlfn.XLOOKUP(C35, 'Course Stats'!A:A, 'Course Stats'!G:X)=3)*(E35:V35)) / COUNTIF(_xlfn.XLOOKUP(C35, 'Course Stats'!A:A, 'Course Stats'!G:X), 3)</f>
        <v>3.6666666666666665</v>
      </c>
      <c r="AA35" s="28" cm="1">
        <f t="array" ref="AA35">SUMPRODUCT((_xlfn.XLOOKUP(C35, 'Course Stats'!A:A, 'Course Stats'!G:X)=4)*(E35:V35)) / COUNTIF(_xlfn.XLOOKUP(C35, 'Course Stats'!A:A, 'Course Stats'!G:X), 4)</f>
        <v>4</v>
      </c>
      <c r="AB35" s="28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126</v>
      </c>
      <c r="B36" s="30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28" cm="1">
        <f t="array" ref="Z36">SUMPRODUCT((_xlfn.XLOOKUP(C36, 'Course Stats'!A:A, 'Course Stats'!G:X)=3)*(E36:V36)) / COUNTIF(_xlfn.XLOOKUP(C36, 'Course Stats'!A:A, 'Course Stats'!G:X), 3)</f>
        <v>3.75</v>
      </c>
      <c r="AA36" s="28" cm="1">
        <f t="array" ref="AA36">SUMPRODUCT((_xlfn.XLOOKUP(C36, 'Course Stats'!A:A, 'Course Stats'!G:X)=4)*(E36:V36)) / COUNTIF(_xlfn.XLOOKUP(C36, 'Course Stats'!A:A, 'Course Stats'!G:X), 4)</f>
        <v>4.4000000000000004</v>
      </c>
      <c r="AB36" s="28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126</v>
      </c>
      <c r="B37" s="30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28" cm="1">
        <f t="array" ref="Z37">SUMPRODUCT((_xlfn.XLOOKUP(C37, 'Course Stats'!A:A, 'Course Stats'!G:X)=3)*(E37:V37)) / COUNTIF(_xlfn.XLOOKUP(C37, 'Course Stats'!A:A, 'Course Stats'!G:X), 3)</f>
        <v>3.5</v>
      </c>
      <c r="AA37" s="28" cm="1">
        <f t="array" ref="AA37">SUMPRODUCT((_xlfn.XLOOKUP(C37, 'Course Stats'!A:A, 'Course Stats'!G:X)=4)*(E37:V37)) / COUNTIF(_xlfn.XLOOKUP(C37, 'Course Stats'!A:A, 'Course Stats'!G:X), 4)</f>
        <v>4.2727272727272725</v>
      </c>
      <c r="AB37" s="28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126</v>
      </c>
      <c r="B38" s="30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28" cm="1">
        <f t="array" ref="Z38">SUMPRODUCT((_xlfn.XLOOKUP(C38, 'Course Stats'!A:A, 'Course Stats'!G:X)=3)*(E38:V38)) / COUNTIF(_xlfn.XLOOKUP(C38, 'Course Stats'!A:A, 'Course Stats'!G:X), 3)</f>
        <v>3.5</v>
      </c>
      <c r="AA38" s="28" cm="1">
        <f t="array" ref="AA38">SUMPRODUCT((_xlfn.XLOOKUP(C38, 'Course Stats'!A:A, 'Course Stats'!G:X)=4)*(E38:V38)) / COUNTIF(_xlfn.XLOOKUP(C38, 'Course Stats'!A:A, 'Course Stats'!G:X), 4)</f>
        <v>4.0909090909090908</v>
      </c>
      <c r="AB38" s="28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126</v>
      </c>
      <c r="B39" s="30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28" cm="1">
        <f t="array" ref="Z39">SUMPRODUCT((_xlfn.XLOOKUP(C39, 'Course Stats'!A:A, 'Course Stats'!G:X)=3)*(E39:V39)) / COUNTIF(_xlfn.XLOOKUP(C39, 'Course Stats'!A:A, 'Course Stats'!G:X), 3)</f>
        <v>3.25</v>
      </c>
      <c r="AA39" s="28" cm="1">
        <f t="array" ref="AA39">SUMPRODUCT((_xlfn.XLOOKUP(C39, 'Course Stats'!A:A, 'Course Stats'!G:X)=4)*(E39:V39)) / COUNTIF(_xlfn.XLOOKUP(C39, 'Course Stats'!A:A, 'Course Stats'!G:X), 4)</f>
        <v>4.916666666666667</v>
      </c>
      <c r="AB39" s="28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126</v>
      </c>
      <c r="B40" s="30">
        <v>45886</v>
      </c>
      <c r="C40" s="20" t="s">
        <v>41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28" cm="1">
        <f t="array" ref="Z40">SUMPRODUCT((_xlfn.XLOOKUP(C40, 'Course Stats'!A:A, 'Course Stats'!G:X)=3)*(E40:V40)) / COUNTIF(_xlfn.XLOOKUP(C40, 'Course Stats'!A:A, 'Course Stats'!G:X), 3)</f>
        <v>3.5</v>
      </c>
      <c r="AA40" s="28" cm="1">
        <f t="array" ref="AA40">SUMPRODUCT((_xlfn.XLOOKUP(C40, 'Course Stats'!A:A, 'Course Stats'!G:X)=4)*(E40:V40)) / COUNTIF(_xlfn.XLOOKUP(C40, 'Course Stats'!A:A, 'Course Stats'!G:X), 4)</f>
        <v>4.8</v>
      </c>
      <c r="AB40" s="28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126</v>
      </c>
      <c r="B41" s="30">
        <v>45892</v>
      </c>
      <c r="C41" s="20" t="s">
        <v>41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28" cm="1">
        <f t="array" ref="Z41">SUMPRODUCT((_xlfn.XLOOKUP(C41, 'Course Stats'!A:A, 'Course Stats'!G:X)=3)*(E41:V41)) / COUNTIF(_xlfn.XLOOKUP(C41, 'Course Stats'!A:A, 'Course Stats'!G:X), 3)</f>
        <v>3.5</v>
      </c>
      <c r="AA41" s="28" cm="1">
        <f t="array" ref="AA41">SUMPRODUCT((_xlfn.XLOOKUP(C41, 'Course Stats'!A:A, 'Course Stats'!G:X)=4)*(E41:V41)) / COUNTIF(_xlfn.XLOOKUP(C41, 'Course Stats'!A:A, 'Course Stats'!G:X), 4)</f>
        <v>5</v>
      </c>
      <c r="AB41" s="28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126</v>
      </c>
      <c r="B42" s="30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28" cm="1">
        <f t="array" ref="Z42">SUMPRODUCT((_xlfn.XLOOKUP(C42, 'Course Stats'!A:A, 'Course Stats'!G:X)=3)*(E42:V42)) / COUNTIF(_xlfn.XLOOKUP(C42, 'Course Stats'!A:A, 'Course Stats'!G:X), 3)</f>
        <v>4.4000000000000004</v>
      </c>
      <c r="AA42" s="28" cm="1">
        <f t="array" ref="AA42">SUMPRODUCT((_xlfn.XLOOKUP(C42, 'Course Stats'!A:A, 'Course Stats'!G:X)=4)*(E42:V42)) / COUNTIF(_xlfn.XLOOKUP(C42, 'Course Stats'!A:A, 'Course Stats'!G:X), 4)</f>
        <v>5.4444444444444446</v>
      </c>
      <c r="AB42" s="28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126</v>
      </c>
      <c r="B43" s="30">
        <v>45897</v>
      </c>
      <c r="C43" s="20" t="s">
        <v>41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28" cm="1">
        <f t="array" ref="Z43">SUMPRODUCT((_xlfn.XLOOKUP(C43, 'Course Stats'!A:A, 'Course Stats'!G:X)=3)*(E43:V43)) / COUNTIF(_xlfn.XLOOKUP(C43, 'Course Stats'!A:A, 'Course Stats'!G:X), 3)</f>
        <v>4.5</v>
      </c>
      <c r="AA43" s="28" cm="1">
        <f t="array" ref="AA43">SUMPRODUCT((_xlfn.XLOOKUP(C43, 'Course Stats'!A:A, 'Course Stats'!G:X)=4)*(E43:V43)) / COUNTIF(_xlfn.XLOOKUP(C43, 'Course Stats'!A:A, 'Course Stats'!G:X), 4)</f>
        <v>5</v>
      </c>
      <c r="AB43" s="28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127</v>
      </c>
      <c r="B44" s="30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28" cm="1">
        <f t="array" ref="Z44">SUMPRODUCT((_xlfn.XLOOKUP(C44, 'Course Stats'!A:A, 'Course Stats'!G:X)=3)*(E44:V44)) / COUNTIF(_xlfn.XLOOKUP(C44, 'Course Stats'!A:A, 'Course Stats'!G:X), 3)</f>
        <v>5.6</v>
      </c>
      <c r="AA44" s="28" cm="1">
        <f t="array" ref="AA44">SUMPRODUCT((_xlfn.XLOOKUP(C44, 'Course Stats'!A:A, 'Course Stats'!G:X)=4)*(E44:V44)) / COUNTIF(_xlfn.XLOOKUP(C44, 'Course Stats'!A:A, 'Course Stats'!G:X), 4)</f>
        <v>6.333333333333333</v>
      </c>
      <c r="AB44" s="28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5" t="s">
        <v>127</v>
      </c>
      <c r="B45" s="38">
        <v>45853</v>
      </c>
      <c r="C45" s="35" t="s">
        <v>128</v>
      </c>
      <c r="D45" s="35">
        <f>SUM('Golf Log'!$E45:$V45)</f>
        <v>109</v>
      </c>
      <c r="E45" s="35">
        <v>7</v>
      </c>
      <c r="F45" s="35">
        <v>4</v>
      </c>
      <c r="G45" s="35">
        <v>6</v>
      </c>
      <c r="H45" s="35">
        <v>9</v>
      </c>
      <c r="I45" s="35">
        <v>7</v>
      </c>
      <c r="J45" s="35">
        <v>8</v>
      </c>
      <c r="K45" s="35">
        <v>6</v>
      </c>
      <c r="L45" s="35">
        <v>4</v>
      </c>
      <c r="M45" s="35">
        <v>6</v>
      </c>
      <c r="N45" s="35">
        <v>5</v>
      </c>
      <c r="O45" s="35">
        <v>4</v>
      </c>
      <c r="P45" s="35">
        <v>6</v>
      </c>
      <c r="Q45" s="35">
        <v>7</v>
      </c>
      <c r="R45" s="35">
        <v>3</v>
      </c>
      <c r="S45" s="35">
        <v>8</v>
      </c>
      <c r="T45" s="35">
        <v>6</v>
      </c>
      <c r="U45" s="35">
        <v>8</v>
      </c>
      <c r="V45" s="35">
        <v>5</v>
      </c>
      <c r="W45" s="35">
        <v>45</v>
      </c>
      <c r="X45" s="35">
        <v>0</v>
      </c>
      <c r="Y45" s="35">
        <v>2</v>
      </c>
      <c r="Z45" s="39" cm="1">
        <f t="array" ref="Z45">SUMPRODUCT((_xlfn.XLOOKUP(C45, 'Course Stats'!A:A, 'Course Stats'!G:X)=3)*(E45:V45)) / COUNTIF(_xlfn.XLOOKUP(C45, 'Course Stats'!A:A, 'Course Stats'!G:X), 3)</f>
        <v>3.75</v>
      </c>
      <c r="AA45" s="39" cm="1">
        <f t="array" ref="AA45">SUMPRODUCT((_xlfn.XLOOKUP(C45, 'Course Stats'!A:A, 'Course Stats'!G:X)=4)*(E45:V45)) / COUNTIF(_xlfn.XLOOKUP(C45, 'Course Stats'!A:A, 'Course Stats'!G:X), 4)</f>
        <v>6.4545454545454541</v>
      </c>
      <c r="AB45" s="39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5" t="s">
        <v>127</v>
      </c>
      <c r="B46" s="38">
        <v>45765</v>
      </c>
      <c r="C46" s="35" t="s">
        <v>129</v>
      </c>
      <c r="D46" s="35">
        <f>SUM('Golf Log'!$E46:$V46)</f>
        <v>111</v>
      </c>
      <c r="E46" s="35">
        <v>8</v>
      </c>
      <c r="F46" s="35">
        <v>7</v>
      </c>
      <c r="G46" s="35">
        <v>8</v>
      </c>
      <c r="H46" s="35">
        <v>7</v>
      </c>
      <c r="I46" s="35">
        <v>6</v>
      </c>
      <c r="J46" s="35">
        <v>5</v>
      </c>
      <c r="K46" s="35">
        <v>6</v>
      </c>
      <c r="L46" s="35">
        <v>6</v>
      </c>
      <c r="M46" s="35">
        <v>5</v>
      </c>
      <c r="N46" s="35">
        <v>6</v>
      </c>
      <c r="O46" s="35">
        <v>6</v>
      </c>
      <c r="P46" s="35">
        <v>5</v>
      </c>
      <c r="Q46" s="35">
        <v>5</v>
      </c>
      <c r="R46" s="35">
        <v>8</v>
      </c>
      <c r="S46" s="35">
        <v>7</v>
      </c>
      <c r="T46" s="35">
        <v>4</v>
      </c>
      <c r="U46" s="35">
        <v>5</v>
      </c>
      <c r="V46" s="35">
        <v>7</v>
      </c>
      <c r="W46" s="35">
        <v>42</v>
      </c>
      <c r="X46" s="35">
        <v>5</v>
      </c>
      <c r="Y46" s="35">
        <v>2</v>
      </c>
      <c r="Z46" s="39" cm="1">
        <f t="array" ref="Z46">SUMPRODUCT((_xlfn.XLOOKUP(C46, 'Course Stats'!A:A, 'Course Stats'!G:X)=3)*(E46:V46)) / COUNTIF(_xlfn.XLOOKUP(C46, 'Course Stats'!A:A, 'Course Stats'!G:X), 3)</f>
        <v>5.6</v>
      </c>
      <c r="AA46" s="39" cm="1">
        <f t="array" ref="AA46">SUMPRODUCT((_xlfn.XLOOKUP(C46, 'Course Stats'!A:A, 'Course Stats'!G:X)=4)*(E46:V46)) / COUNTIF(_xlfn.XLOOKUP(C46, 'Course Stats'!A:A, 'Course Stats'!G:X), 4)</f>
        <v>6.2222222222222223</v>
      </c>
      <c r="AB46" s="39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3" t="s">
        <v>127</v>
      </c>
      <c r="B47" s="48">
        <v>45520</v>
      </c>
      <c r="C47" s="43" t="s">
        <v>46</v>
      </c>
      <c r="D47" s="43">
        <f>SUM('Golf Log'!$E47:$V47)</f>
        <v>98</v>
      </c>
      <c r="E47" s="43">
        <v>6</v>
      </c>
      <c r="F47" s="43">
        <v>7</v>
      </c>
      <c r="G47" s="43">
        <v>4</v>
      </c>
      <c r="H47" s="43">
        <v>4</v>
      </c>
      <c r="I47" s="43">
        <v>4</v>
      </c>
      <c r="J47" s="43">
        <v>6</v>
      </c>
      <c r="K47" s="43">
        <v>5</v>
      </c>
      <c r="L47" s="43">
        <v>4</v>
      </c>
      <c r="M47" s="43">
        <v>6</v>
      </c>
      <c r="N47" s="43">
        <v>8</v>
      </c>
      <c r="O47" s="43">
        <v>5</v>
      </c>
      <c r="P47" s="43">
        <v>7</v>
      </c>
      <c r="Q47" s="43">
        <v>3</v>
      </c>
      <c r="R47" s="43">
        <v>6</v>
      </c>
      <c r="S47" s="43">
        <v>6</v>
      </c>
      <c r="T47" s="43">
        <v>8</v>
      </c>
      <c r="U47" s="43">
        <v>4</v>
      </c>
      <c r="V47" s="43">
        <v>5</v>
      </c>
      <c r="W47" s="43">
        <v>36</v>
      </c>
      <c r="X47" s="43">
        <v>7</v>
      </c>
      <c r="Y47" s="43">
        <v>4</v>
      </c>
      <c r="Z47" s="49" cm="1">
        <f t="array" ref="Z47">SUMPRODUCT((_xlfn.XLOOKUP(C47, 'Course Stats'!A:A, 'Course Stats'!G:X)=3)*(E47:V47)) / COUNTIF(_xlfn.XLOOKUP(C47, 'Course Stats'!A:A, 'Course Stats'!G:X), 3)</f>
        <v>3.75</v>
      </c>
      <c r="AA47" s="49" cm="1">
        <f t="array" ref="AA47">SUMPRODUCT((_xlfn.XLOOKUP(C47, 'Course Stats'!A:A, 'Course Stats'!G:X)=4)*(E47:V47)) / COUNTIF(_xlfn.XLOOKUP(C47, 'Course Stats'!A:A, 'Course Stats'!G:X), 4)</f>
        <v>5.8181818181818183</v>
      </c>
      <c r="AB47" s="49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3" t="s">
        <v>127</v>
      </c>
      <c r="B48" s="48">
        <v>45492</v>
      </c>
      <c r="C48" s="43" t="s">
        <v>6</v>
      </c>
      <c r="D48" s="43">
        <f>SUM('Golf Log'!$E48:$V48)</f>
        <v>104</v>
      </c>
      <c r="E48" s="43">
        <v>8</v>
      </c>
      <c r="F48" s="43">
        <v>6</v>
      </c>
      <c r="G48" s="43">
        <v>6</v>
      </c>
      <c r="H48" s="43">
        <v>6</v>
      </c>
      <c r="I48" s="43">
        <v>6</v>
      </c>
      <c r="J48" s="43">
        <v>5</v>
      </c>
      <c r="K48" s="43">
        <v>8</v>
      </c>
      <c r="L48" s="43">
        <v>6</v>
      </c>
      <c r="M48" s="43">
        <v>6</v>
      </c>
      <c r="N48" s="43">
        <v>6</v>
      </c>
      <c r="O48" s="43">
        <v>6</v>
      </c>
      <c r="P48" s="43">
        <v>6</v>
      </c>
      <c r="Q48" s="43">
        <v>5</v>
      </c>
      <c r="R48" s="43">
        <v>4</v>
      </c>
      <c r="S48" s="43">
        <v>6</v>
      </c>
      <c r="T48" s="43">
        <v>3</v>
      </c>
      <c r="U48" s="43">
        <v>6</v>
      </c>
      <c r="V48" s="43">
        <v>5</v>
      </c>
      <c r="W48" s="43">
        <v>34</v>
      </c>
      <c r="X48" s="43">
        <v>7</v>
      </c>
      <c r="Y48" s="43">
        <v>1</v>
      </c>
      <c r="Z48" s="49" cm="1">
        <f t="array" ref="Z48">SUMPRODUCT((_xlfn.XLOOKUP(C48, 'Course Stats'!A:A, 'Course Stats'!G:X)=3)*(E48:V48)) / COUNTIF(_xlfn.XLOOKUP(C48, 'Course Stats'!A:A, 'Course Stats'!G:X), 3)</f>
        <v>5.333333333333333</v>
      </c>
      <c r="AA48" s="49" cm="1">
        <f t="array" ref="AA48">SUMPRODUCT((_xlfn.XLOOKUP(C48, 'Course Stats'!A:A, 'Course Stats'!G:X)=4)*(E48:V48)) / COUNTIF(_xlfn.XLOOKUP(C48, 'Course Stats'!A:A, 'Course Stats'!G:X), 4)</f>
        <v>5.666666666666667</v>
      </c>
      <c r="AB48" s="49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3" t="s">
        <v>127</v>
      </c>
      <c r="B49" s="48">
        <v>45453</v>
      </c>
      <c r="C49" s="43" t="s">
        <v>11</v>
      </c>
      <c r="D49" s="43">
        <f>SUM('Golf Log'!$E49:$V49)</f>
        <v>109</v>
      </c>
      <c r="E49" s="43">
        <v>5</v>
      </c>
      <c r="F49" s="43">
        <v>4</v>
      </c>
      <c r="G49" s="43">
        <v>7</v>
      </c>
      <c r="H49" s="43">
        <v>5</v>
      </c>
      <c r="I49" s="43">
        <v>6</v>
      </c>
      <c r="J49" s="43">
        <v>7</v>
      </c>
      <c r="K49" s="43">
        <v>5</v>
      </c>
      <c r="L49" s="43">
        <v>7</v>
      </c>
      <c r="M49" s="43">
        <v>8</v>
      </c>
      <c r="N49" s="43">
        <v>7</v>
      </c>
      <c r="O49" s="43">
        <v>5</v>
      </c>
      <c r="P49" s="43">
        <v>7</v>
      </c>
      <c r="Q49" s="43">
        <v>6</v>
      </c>
      <c r="R49" s="43">
        <v>6</v>
      </c>
      <c r="S49" s="43">
        <v>8</v>
      </c>
      <c r="T49" s="43">
        <v>5</v>
      </c>
      <c r="U49" s="43">
        <v>5</v>
      </c>
      <c r="V49" s="43">
        <v>6</v>
      </c>
      <c r="W49" s="43">
        <v>35</v>
      </c>
      <c r="X49" s="43">
        <v>0</v>
      </c>
      <c r="Y49" s="43">
        <v>1</v>
      </c>
      <c r="Z49" s="49" cm="1">
        <f t="array" ref="Z49">SUMPRODUCT((_xlfn.XLOOKUP(C49, 'Course Stats'!A:A, 'Course Stats'!G:X)=3)*(E49:V49)) / COUNTIF(_xlfn.XLOOKUP(C49, 'Course Stats'!A:A, 'Course Stats'!G:X), 3)</f>
        <v>5</v>
      </c>
      <c r="AA49" s="49" cm="1">
        <f t="array" ref="AA49">SUMPRODUCT((_xlfn.XLOOKUP(C49, 'Course Stats'!A:A, 'Course Stats'!G:X)=4)*(E49:V49)) / COUNTIF(_xlfn.XLOOKUP(C49, 'Course Stats'!A:A, 'Course Stats'!G:X), 4)</f>
        <v>6.2222222222222223</v>
      </c>
      <c r="AB49" s="49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1" t="s">
        <v>130</v>
      </c>
      <c r="B50" s="54">
        <v>45156</v>
      </c>
      <c r="C50" s="51" t="s">
        <v>46</v>
      </c>
      <c r="D50" s="51">
        <f>SUM('Golf Log'!$E50:$V50)</f>
        <v>89</v>
      </c>
      <c r="E50" s="51">
        <v>5</v>
      </c>
      <c r="F50" s="51">
        <v>6</v>
      </c>
      <c r="G50" s="51">
        <v>5</v>
      </c>
      <c r="H50" s="51">
        <v>4</v>
      </c>
      <c r="I50" s="51">
        <v>4</v>
      </c>
      <c r="J50" s="51">
        <v>5</v>
      </c>
      <c r="K50" s="51">
        <v>5</v>
      </c>
      <c r="L50" s="51">
        <v>3</v>
      </c>
      <c r="M50" s="51">
        <v>6</v>
      </c>
      <c r="N50" s="51">
        <v>6</v>
      </c>
      <c r="O50" s="51">
        <v>5</v>
      </c>
      <c r="P50" s="51">
        <v>7</v>
      </c>
      <c r="Q50" s="51">
        <v>3</v>
      </c>
      <c r="R50" s="51">
        <v>5</v>
      </c>
      <c r="S50" s="51">
        <v>5</v>
      </c>
      <c r="T50" s="51">
        <v>5</v>
      </c>
      <c r="U50" s="51">
        <v>4</v>
      </c>
      <c r="V50" s="51">
        <v>6</v>
      </c>
      <c r="W50" s="51"/>
      <c r="X50" s="51"/>
      <c r="Y50" s="51"/>
      <c r="Z50" s="55" cm="1">
        <f t="array" ref="Z50">SUMPRODUCT((_xlfn.XLOOKUP(C50, 'Course Stats'!A:A, 'Course Stats'!G:X)=3)*(E50:V50)) / COUNTIF(_xlfn.XLOOKUP(C50, 'Course Stats'!A:A, 'Course Stats'!G:X), 3)</f>
        <v>3.5</v>
      </c>
      <c r="AA50" s="55" cm="1">
        <f t="array" ref="AA50">SUMPRODUCT((_xlfn.XLOOKUP(C50, 'Course Stats'!A:A, 'Course Stats'!G:X)=4)*(E50:V50)) / COUNTIF(_xlfn.XLOOKUP(C50, 'Course Stats'!A:A, 'Course Stats'!G:X), 4)</f>
        <v>5.1818181818181817</v>
      </c>
      <c r="AB50" s="55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1" t="s">
        <v>130</v>
      </c>
      <c r="B51" s="54">
        <v>45465</v>
      </c>
      <c r="C51" s="51" t="s">
        <v>12</v>
      </c>
      <c r="D51" s="51">
        <f>SUM('Golf Log'!$E51:$V51)</f>
        <v>99</v>
      </c>
      <c r="E51" s="51">
        <v>7</v>
      </c>
      <c r="F51" s="51">
        <v>5</v>
      </c>
      <c r="G51" s="51">
        <v>5</v>
      </c>
      <c r="H51" s="51">
        <v>6</v>
      </c>
      <c r="I51" s="51">
        <v>6</v>
      </c>
      <c r="J51" s="51">
        <v>4</v>
      </c>
      <c r="K51" s="51">
        <v>5</v>
      </c>
      <c r="L51" s="51">
        <v>4</v>
      </c>
      <c r="M51" s="51">
        <v>6</v>
      </c>
      <c r="N51" s="51">
        <v>8</v>
      </c>
      <c r="O51" s="51">
        <v>5</v>
      </c>
      <c r="P51" s="51">
        <v>5</v>
      </c>
      <c r="Q51" s="51">
        <v>5</v>
      </c>
      <c r="R51" s="51">
        <v>5</v>
      </c>
      <c r="S51" s="51">
        <v>6</v>
      </c>
      <c r="T51" s="51">
        <v>5</v>
      </c>
      <c r="U51" s="51">
        <v>6</v>
      </c>
      <c r="V51" s="51">
        <v>6</v>
      </c>
      <c r="W51" s="51">
        <v>34</v>
      </c>
      <c r="X51" s="51">
        <v>0</v>
      </c>
      <c r="Y51" s="51">
        <v>1</v>
      </c>
      <c r="Z51" s="55" cm="1">
        <f t="array" ref="Z51">SUMPRODUCT((_xlfn.XLOOKUP(C51, 'Course Stats'!A:A, 'Course Stats'!G:X)=3)*(E51:V51)) / COUNTIF(_xlfn.XLOOKUP(C51, 'Course Stats'!A:A, 'Course Stats'!G:X), 3)</f>
        <v>4.5</v>
      </c>
      <c r="AA51" s="55" cm="1">
        <f t="array" ref="AA51">SUMPRODUCT((_xlfn.XLOOKUP(C51, 'Course Stats'!A:A, 'Course Stats'!G:X)=4)*(E51:V51)) / COUNTIF(_xlfn.XLOOKUP(C51, 'Course Stats'!A:A, 'Course Stats'!G:X), 4)</f>
        <v>5.6</v>
      </c>
      <c r="AB51" s="55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1" t="s">
        <v>130</v>
      </c>
      <c r="B52" s="54">
        <v>45514</v>
      </c>
      <c r="C52" s="51" t="s">
        <v>6</v>
      </c>
      <c r="D52" s="51">
        <f>SUM('Golf Log'!$E52:$V52)</f>
        <v>90</v>
      </c>
      <c r="E52" s="51">
        <v>6</v>
      </c>
      <c r="F52" s="51">
        <v>5</v>
      </c>
      <c r="G52" s="51">
        <v>5</v>
      </c>
      <c r="H52" s="51">
        <v>6</v>
      </c>
      <c r="I52" s="51">
        <v>4</v>
      </c>
      <c r="J52" s="51">
        <v>5</v>
      </c>
      <c r="K52" s="51">
        <v>4</v>
      </c>
      <c r="L52" s="51">
        <v>4</v>
      </c>
      <c r="M52" s="51">
        <v>5</v>
      </c>
      <c r="N52" s="51">
        <v>6</v>
      </c>
      <c r="O52" s="51">
        <v>6</v>
      </c>
      <c r="P52" s="51">
        <v>6</v>
      </c>
      <c r="Q52" s="51">
        <v>5</v>
      </c>
      <c r="R52" s="51">
        <v>3</v>
      </c>
      <c r="S52" s="51">
        <v>5</v>
      </c>
      <c r="T52" s="51">
        <v>5</v>
      </c>
      <c r="U52" s="51">
        <v>5</v>
      </c>
      <c r="V52" s="51">
        <v>5</v>
      </c>
      <c r="W52" s="51">
        <v>28</v>
      </c>
      <c r="X52" s="51">
        <v>4</v>
      </c>
      <c r="Y52" s="51">
        <v>1</v>
      </c>
      <c r="Z52" s="55" cm="1">
        <f t="array" ref="Z52">SUMPRODUCT((_xlfn.XLOOKUP(C52, 'Course Stats'!A:A, 'Course Stats'!G:X)=3)*(E52:V52)) / COUNTIF(_xlfn.XLOOKUP(C52, 'Course Stats'!A:A, 'Course Stats'!G:X), 3)</f>
        <v>4</v>
      </c>
      <c r="AA52" s="55" cm="1">
        <f t="array" ref="AA52">SUMPRODUCT((_xlfn.XLOOKUP(C52, 'Course Stats'!A:A, 'Course Stats'!G:X)=4)*(E52:V52)) / COUNTIF(_xlfn.XLOOKUP(C52, 'Course Stats'!A:A, 'Course Stats'!G:X), 4)</f>
        <v>5.083333333333333</v>
      </c>
      <c r="AB52" s="55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1" t="s">
        <v>130</v>
      </c>
      <c r="B53" s="54">
        <v>45892</v>
      </c>
      <c r="C53" s="51" t="s">
        <v>41</v>
      </c>
      <c r="D53" s="51">
        <f>SUM('Golf Log'!$E53:$V53)</f>
        <v>90</v>
      </c>
      <c r="E53" s="51">
        <v>7</v>
      </c>
      <c r="F53" s="51">
        <v>4</v>
      </c>
      <c r="G53" s="51">
        <v>5</v>
      </c>
      <c r="H53" s="51">
        <v>6</v>
      </c>
      <c r="I53" s="51">
        <v>4</v>
      </c>
      <c r="J53" s="51">
        <v>3</v>
      </c>
      <c r="K53" s="51">
        <v>5</v>
      </c>
      <c r="L53" s="51">
        <v>5</v>
      </c>
      <c r="M53" s="51">
        <v>5</v>
      </c>
      <c r="N53" s="51">
        <v>6</v>
      </c>
      <c r="O53" s="51">
        <v>6</v>
      </c>
      <c r="P53" s="51">
        <v>5</v>
      </c>
      <c r="Q53" s="51">
        <v>3</v>
      </c>
      <c r="R53" s="51">
        <v>6</v>
      </c>
      <c r="S53" s="51">
        <v>6</v>
      </c>
      <c r="T53" s="51">
        <v>4</v>
      </c>
      <c r="U53" s="51">
        <v>4</v>
      </c>
      <c r="V53" s="51">
        <v>6</v>
      </c>
      <c r="W53" s="51">
        <v>38</v>
      </c>
      <c r="X53" s="51">
        <v>8</v>
      </c>
      <c r="Y53" s="51">
        <v>6</v>
      </c>
      <c r="Z53" s="55" cm="1">
        <f t="array" ref="Z53">SUMPRODUCT((_xlfn.XLOOKUP(C53, 'Course Stats'!A:A, 'Course Stats'!G:X)=3)*(E53:V53)) / COUNTIF(_xlfn.XLOOKUP(C53, 'Course Stats'!A:A, 'Course Stats'!G:X), 3)</f>
        <v>3.75</v>
      </c>
      <c r="AA53" s="55" cm="1">
        <f t="array" ref="AA53">SUMPRODUCT((_xlfn.XLOOKUP(C53, 'Course Stats'!A:A, 'Course Stats'!G:X)=4)*(E53:V53)) / COUNTIF(_xlfn.XLOOKUP(C53, 'Course Stats'!A:A, 'Course Stats'!G:X), 4)</f>
        <v>5.2</v>
      </c>
      <c r="AB53" s="55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1" t="s">
        <v>130</v>
      </c>
      <c r="B54" s="54">
        <v>45886</v>
      </c>
      <c r="C54" s="51" t="s">
        <v>41</v>
      </c>
      <c r="D54" s="51">
        <f>SUM('Golf Log'!$E54:$V54)</f>
        <v>89</v>
      </c>
      <c r="E54" s="51">
        <v>6</v>
      </c>
      <c r="F54" s="51">
        <v>6</v>
      </c>
      <c r="G54" s="51">
        <v>4</v>
      </c>
      <c r="H54" s="51">
        <v>6</v>
      </c>
      <c r="I54" s="51">
        <v>6</v>
      </c>
      <c r="J54" s="51">
        <v>3</v>
      </c>
      <c r="K54" s="51">
        <v>4</v>
      </c>
      <c r="L54" s="51">
        <v>4</v>
      </c>
      <c r="M54" s="51">
        <v>6</v>
      </c>
      <c r="N54" s="51">
        <v>4</v>
      </c>
      <c r="O54" s="51">
        <v>5</v>
      </c>
      <c r="P54" s="51">
        <v>5</v>
      </c>
      <c r="Q54" s="51">
        <v>4</v>
      </c>
      <c r="R54" s="51">
        <v>4</v>
      </c>
      <c r="S54" s="51">
        <v>6</v>
      </c>
      <c r="T54" s="51">
        <v>3</v>
      </c>
      <c r="U54" s="51">
        <v>7</v>
      </c>
      <c r="V54" s="51">
        <v>6</v>
      </c>
      <c r="W54" s="51">
        <v>39</v>
      </c>
      <c r="X54" s="51">
        <v>8</v>
      </c>
      <c r="Y54" s="51">
        <v>8</v>
      </c>
      <c r="Z54" s="55" cm="1">
        <f t="array" ref="Z54">SUMPRODUCT((_xlfn.XLOOKUP(C54, 'Course Stats'!A:A, 'Course Stats'!G:X)=3)*(E54:V54)) / COUNTIF(_xlfn.XLOOKUP(C54, 'Course Stats'!A:A, 'Course Stats'!G:X), 3)</f>
        <v>3.5</v>
      </c>
      <c r="AA54" s="55" cm="1">
        <f t="array" ref="AA54">SUMPRODUCT((_xlfn.XLOOKUP(C54, 'Course Stats'!A:A, 'Course Stats'!G:X)=4)*(E54:V54)) / COUNTIF(_xlfn.XLOOKUP(C54, 'Course Stats'!A:A, 'Course Stats'!G:X), 4)</f>
        <v>5.2</v>
      </c>
      <c r="AB54" s="55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1" t="s">
        <v>130</v>
      </c>
      <c r="B55" s="54">
        <v>45897</v>
      </c>
      <c r="C55" s="51" t="s">
        <v>41</v>
      </c>
      <c r="D55" s="51">
        <f>SUM('Golf Log'!$E55:$V55)</f>
        <v>90</v>
      </c>
      <c r="E55" s="51">
        <v>5</v>
      </c>
      <c r="F55" s="51">
        <v>5</v>
      </c>
      <c r="G55" s="51">
        <v>4</v>
      </c>
      <c r="H55" s="51">
        <v>6</v>
      </c>
      <c r="I55" s="51">
        <v>5</v>
      </c>
      <c r="J55" s="51">
        <v>3</v>
      </c>
      <c r="K55" s="51">
        <v>4</v>
      </c>
      <c r="L55" s="51">
        <v>5</v>
      </c>
      <c r="M55" s="51">
        <v>6</v>
      </c>
      <c r="N55" s="51">
        <v>5</v>
      </c>
      <c r="O55" s="51">
        <v>7</v>
      </c>
      <c r="P55" s="51">
        <v>5</v>
      </c>
      <c r="Q55" s="51">
        <v>4</v>
      </c>
      <c r="R55" s="51">
        <v>4</v>
      </c>
      <c r="S55" s="51">
        <v>6</v>
      </c>
      <c r="T55" s="51">
        <v>4</v>
      </c>
      <c r="U55" s="51">
        <v>6</v>
      </c>
      <c r="V55" s="51">
        <v>6</v>
      </c>
      <c r="W55" s="51">
        <v>32</v>
      </c>
      <c r="X55" s="51">
        <v>5</v>
      </c>
      <c r="Y55" s="51">
        <v>0</v>
      </c>
      <c r="Z55" s="55" cm="1">
        <f t="array" ref="Z55">SUMPRODUCT((_xlfn.XLOOKUP(C55, 'Course Stats'!A:A, 'Course Stats'!G:X)=3)*(E55:V55)) / COUNTIF(_xlfn.XLOOKUP(C55, 'Course Stats'!A:A, 'Course Stats'!G:X), 3)</f>
        <v>3.75</v>
      </c>
      <c r="AA55" s="55" cm="1">
        <f t="array" ref="AA55">SUMPRODUCT((_xlfn.XLOOKUP(C55, 'Course Stats'!A:A, 'Course Stats'!G:X)=4)*(E55:V55)) / COUNTIF(_xlfn.XLOOKUP(C55, 'Course Stats'!A:A, 'Course Stats'!G:X), 4)</f>
        <v>5</v>
      </c>
      <c r="AB55" s="55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1" t="s">
        <v>130</v>
      </c>
      <c r="B56" s="54">
        <v>45829</v>
      </c>
      <c r="C56" s="51" t="s">
        <v>6</v>
      </c>
      <c r="D56" s="51">
        <f>SUM('Golf Log'!$E56:$V56)</f>
        <v>83</v>
      </c>
      <c r="E56" s="51">
        <v>6</v>
      </c>
      <c r="F56" s="51">
        <v>5</v>
      </c>
      <c r="G56" s="51">
        <v>4</v>
      </c>
      <c r="H56" s="51">
        <v>6</v>
      </c>
      <c r="I56" s="51">
        <v>4</v>
      </c>
      <c r="J56" s="51">
        <v>5</v>
      </c>
      <c r="K56" s="51">
        <v>5</v>
      </c>
      <c r="L56" s="51">
        <v>6</v>
      </c>
      <c r="M56" s="51">
        <v>4</v>
      </c>
      <c r="N56" s="51">
        <v>5</v>
      </c>
      <c r="O56" s="51">
        <v>4</v>
      </c>
      <c r="P56" s="51">
        <v>4</v>
      </c>
      <c r="Q56" s="51">
        <v>4</v>
      </c>
      <c r="R56" s="51">
        <v>3</v>
      </c>
      <c r="S56" s="51">
        <v>4</v>
      </c>
      <c r="T56" s="51">
        <v>4</v>
      </c>
      <c r="U56" s="51">
        <v>5</v>
      </c>
      <c r="V56" s="51">
        <v>5</v>
      </c>
      <c r="W56" s="51">
        <v>34</v>
      </c>
      <c r="X56" s="51">
        <v>1</v>
      </c>
      <c r="Y56" s="51">
        <v>6</v>
      </c>
      <c r="Z56" s="55" cm="1">
        <f t="array" ref="Z56">SUMPRODUCT((_xlfn.XLOOKUP(C56, 'Course Stats'!A:A, 'Course Stats'!G:X)=3)*(E56:V56)) / COUNTIF(_xlfn.XLOOKUP(C56, 'Course Stats'!A:A, 'Course Stats'!G:X), 3)</f>
        <v>3.6666666666666665</v>
      </c>
      <c r="AA56" s="55" cm="1">
        <f t="array" ref="AA56">SUMPRODUCT((_xlfn.XLOOKUP(C56, 'Course Stats'!A:A, 'Course Stats'!G:X)=4)*(E56:V56)) / COUNTIF(_xlfn.XLOOKUP(C56, 'Course Stats'!A:A, 'Course Stats'!G:X), 4)</f>
        <v>4.583333333333333</v>
      </c>
      <c r="AB56" s="55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1" t="s">
        <v>130</v>
      </c>
      <c r="B57" s="54">
        <v>45857</v>
      </c>
      <c r="C57" s="51" t="s">
        <v>3</v>
      </c>
      <c r="D57" s="51">
        <f>SUM('Golf Log'!$E57:$V57)</f>
        <v>84</v>
      </c>
      <c r="E57" s="51">
        <v>4</v>
      </c>
      <c r="F57" s="51">
        <v>6</v>
      </c>
      <c r="G57" s="51">
        <v>5</v>
      </c>
      <c r="H57" s="51">
        <v>5</v>
      </c>
      <c r="I57" s="51">
        <v>5</v>
      </c>
      <c r="J57" s="51">
        <v>4</v>
      </c>
      <c r="K57" s="51">
        <v>5</v>
      </c>
      <c r="L57" s="51">
        <v>3</v>
      </c>
      <c r="M57" s="51">
        <v>6</v>
      </c>
      <c r="N57" s="51">
        <v>5</v>
      </c>
      <c r="O57" s="51">
        <v>5</v>
      </c>
      <c r="P57" s="51">
        <v>4</v>
      </c>
      <c r="Q57" s="51">
        <v>5</v>
      </c>
      <c r="R57" s="51">
        <v>4</v>
      </c>
      <c r="S57" s="51">
        <v>4</v>
      </c>
      <c r="T57" s="51">
        <v>4</v>
      </c>
      <c r="U57" s="51">
        <v>6</v>
      </c>
      <c r="V57" s="51">
        <v>4</v>
      </c>
      <c r="W57" s="51">
        <v>35</v>
      </c>
      <c r="X57" s="51">
        <v>6</v>
      </c>
      <c r="Y57" s="51">
        <v>8</v>
      </c>
      <c r="Z57" s="55" cm="1">
        <f t="array" ref="Z57">SUMPRODUCT((_xlfn.XLOOKUP(C57, 'Course Stats'!A:A, 'Course Stats'!G:X)=3)*(E57:V57)) / COUNTIF(_xlfn.XLOOKUP(C57, 'Course Stats'!A:A, 'Course Stats'!G:X), 3)</f>
        <v>4.5</v>
      </c>
      <c r="AA57" s="55" cm="1">
        <f t="array" ref="AA57">SUMPRODUCT((_xlfn.XLOOKUP(C57, 'Course Stats'!A:A, 'Course Stats'!G:X)=4)*(E57:V57)) / COUNTIF(_xlfn.XLOOKUP(C57, 'Course Stats'!A:A, 'Course Stats'!G:X), 4)</f>
        <v>4.5454545454545459</v>
      </c>
      <c r="AB57" s="55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1" t="s">
        <v>130</v>
      </c>
      <c r="B58" s="54">
        <v>45844</v>
      </c>
      <c r="C58" s="51" t="s">
        <v>3</v>
      </c>
      <c r="D58" s="51">
        <f>SUM('Golf Log'!$E58:$V58)</f>
        <v>86</v>
      </c>
      <c r="E58" s="51">
        <v>4</v>
      </c>
      <c r="F58" s="51">
        <v>6</v>
      </c>
      <c r="G58" s="51">
        <v>4</v>
      </c>
      <c r="H58" s="51">
        <v>6</v>
      </c>
      <c r="I58" s="51">
        <v>4</v>
      </c>
      <c r="J58" s="51">
        <v>3</v>
      </c>
      <c r="K58" s="51">
        <v>6</v>
      </c>
      <c r="L58" s="51">
        <v>4</v>
      </c>
      <c r="M58" s="51">
        <v>7</v>
      </c>
      <c r="N58" s="51">
        <v>4</v>
      </c>
      <c r="O58" s="51">
        <v>4</v>
      </c>
      <c r="P58" s="51">
        <v>5</v>
      </c>
      <c r="Q58" s="51">
        <v>6</v>
      </c>
      <c r="R58" s="51">
        <v>5</v>
      </c>
      <c r="S58" s="51">
        <v>4</v>
      </c>
      <c r="T58" s="51">
        <v>5</v>
      </c>
      <c r="U58" s="51">
        <v>5</v>
      </c>
      <c r="V58" s="51">
        <v>4</v>
      </c>
      <c r="W58" s="51">
        <v>31</v>
      </c>
      <c r="X58" s="51">
        <v>6</v>
      </c>
      <c r="Y58" s="51">
        <v>3</v>
      </c>
      <c r="Z58" s="55" cm="1">
        <f t="array" ref="Z58">SUMPRODUCT((_xlfn.XLOOKUP(C58, 'Course Stats'!A:A, 'Course Stats'!G:X)=3)*(E58:V58)) / COUNTIF(_xlfn.XLOOKUP(C58, 'Course Stats'!A:A, 'Course Stats'!G:X), 3)</f>
        <v>3.75</v>
      </c>
      <c r="AA58" s="55" cm="1">
        <f t="array" ref="AA58">SUMPRODUCT((_xlfn.XLOOKUP(C58, 'Course Stats'!A:A, 'Course Stats'!G:X)=4)*(E58:V58)) / COUNTIF(_xlfn.XLOOKUP(C58, 'Course Stats'!A:A, 'Course Stats'!G:X), 4)</f>
        <v>4.7272727272727275</v>
      </c>
      <c r="AB58" s="55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1" t="s">
        <v>130</v>
      </c>
      <c r="B59" s="54">
        <v>45653</v>
      </c>
      <c r="C59" s="51" t="s">
        <v>2</v>
      </c>
      <c r="D59" s="51">
        <f>SUM('Golf Log'!$E59:$V59)</f>
        <v>92</v>
      </c>
      <c r="E59" s="51">
        <v>5</v>
      </c>
      <c r="F59" s="51">
        <v>6</v>
      </c>
      <c r="G59" s="51">
        <v>5</v>
      </c>
      <c r="H59" s="51">
        <v>6</v>
      </c>
      <c r="I59" s="51">
        <v>5</v>
      </c>
      <c r="J59" s="51">
        <v>4</v>
      </c>
      <c r="K59" s="51">
        <v>6</v>
      </c>
      <c r="L59" s="51">
        <v>4</v>
      </c>
      <c r="M59" s="51">
        <v>5</v>
      </c>
      <c r="N59" s="51">
        <v>5</v>
      </c>
      <c r="O59" s="51">
        <v>4</v>
      </c>
      <c r="P59" s="51">
        <v>4</v>
      </c>
      <c r="Q59" s="51">
        <v>7</v>
      </c>
      <c r="R59" s="51">
        <v>5</v>
      </c>
      <c r="S59" s="51">
        <v>6</v>
      </c>
      <c r="T59" s="51">
        <v>4</v>
      </c>
      <c r="U59" s="51">
        <v>5</v>
      </c>
      <c r="V59" s="51">
        <v>6</v>
      </c>
      <c r="W59" s="51">
        <v>36</v>
      </c>
      <c r="X59" s="51">
        <v>3</v>
      </c>
      <c r="Y59" s="51">
        <v>2</v>
      </c>
      <c r="Z59" s="55" cm="1">
        <f t="array" ref="Z59">SUMPRODUCT((_xlfn.XLOOKUP(C59, 'Course Stats'!A:A, 'Course Stats'!G:X)=3)*(E59:V59)) / COUNTIF(_xlfn.XLOOKUP(C59, 'Course Stats'!A:A, 'Course Stats'!G:X), 3)</f>
        <v>4.25</v>
      </c>
      <c r="AA59" s="55" cm="1">
        <f t="array" ref="AA59">SUMPRODUCT((_xlfn.XLOOKUP(C59, 'Course Stats'!A:A, 'Course Stats'!G:X)=4)*(E59:V59)) / COUNTIF(_xlfn.XLOOKUP(C59, 'Course Stats'!A:A, 'Course Stats'!G:X), 4)</f>
        <v>5</v>
      </c>
      <c r="AB59" s="55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1" t="s">
        <v>130</v>
      </c>
      <c r="B60" s="54">
        <v>45655</v>
      </c>
      <c r="C60" s="51" t="s">
        <v>4</v>
      </c>
      <c r="D60" s="51">
        <f>SUM('Golf Log'!$E60:$V60)</f>
        <v>91</v>
      </c>
      <c r="E60" s="51">
        <v>4</v>
      </c>
      <c r="F60" s="51">
        <v>6</v>
      </c>
      <c r="G60" s="51">
        <v>3</v>
      </c>
      <c r="H60" s="51">
        <v>4</v>
      </c>
      <c r="I60" s="51">
        <v>5</v>
      </c>
      <c r="J60" s="51">
        <v>4</v>
      </c>
      <c r="K60" s="51">
        <v>5</v>
      </c>
      <c r="L60" s="51">
        <v>4</v>
      </c>
      <c r="M60" s="51">
        <v>6</v>
      </c>
      <c r="N60" s="51">
        <v>6</v>
      </c>
      <c r="O60" s="51">
        <v>7</v>
      </c>
      <c r="P60" s="51">
        <v>6</v>
      </c>
      <c r="Q60" s="51">
        <v>4</v>
      </c>
      <c r="R60" s="51">
        <v>5</v>
      </c>
      <c r="S60" s="51">
        <v>6</v>
      </c>
      <c r="T60" s="51">
        <v>4</v>
      </c>
      <c r="U60" s="51">
        <v>5</v>
      </c>
      <c r="V60" s="51">
        <v>7</v>
      </c>
      <c r="W60" s="51">
        <v>36</v>
      </c>
      <c r="X60" s="51">
        <v>3</v>
      </c>
      <c r="Y60" s="51">
        <v>4</v>
      </c>
      <c r="Z60" s="55" cm="1">
        <f t="array" ref="Z60">SUMPRODUCT((_xlfn.XLOOKUP(C60, 'Course Stats'!A:A, 'Course Stats'!G:X)=3)*(E60:V60)) / COUNTIF(_xlfn.XLOOKUP(C60, 'Course Stats'!A:A, 'Course Stats'!G:X), 3)</f>
        <v>3.75</v>
      </c>
      <c r="AA60" s="55" cm="1">
        <f t="array" ref="AA60">SUMPRODUCT((_xlfn.XLOOKUP(C60, 'Course Stats'!A:A, 'Course Stats'!G:X)=4)*(E60:V60)) / COUNTIF(_xlfn.XLOOKUP(C60, 'Course Stats'!A:A, 'Course Stats'!G:X), 4)</f>
        <v>5</v>
      </c>
      <c r="AB60" s="55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1" t="s">
        <v>130</v>
      </c>
      <c r="B61" s="54">
        <v>45649</v>
      </c>
      <c r="C61" s="51" t="s">
        <v>14</v>
      </c>
      <c r="D61" s="51">
        <f>SUM('Golf Log'!$E61:$V61)</f>
        <v>91</v>
      </c>
      <c r="E61" s="51">
        <v>6</v>
      </c>
      <c r="F61" s="51">
        <v>5</v>
      </c>
      <c r="G61" s="51">
        <v>4</v>
      </c>
      <c r="H61" s="51">
        <v>5</v>
      </c>
      <c r="I61" s="51">
        <v>6</v>
      </c>
      <c r="J61" s="51">
        <v>6</v>
      </c>
      <c r="K61" s="51">
        <v>5</v>
      </c>
      <c r="L61" s="51">
        <v>5</v>
      </c>
      <c r="M61" s="51">
        <v>6</v>
      </c>
      <c r="N61" s="51">
        <v>5</v>
      </c>
      <c r="O61" s="51">
        <v>6</v>
      </c>
      <c r="P61" s="51">
        <v>5</v>
      </c>
      <c r="Q61" s="51">
        <v>5</v>
      </c>
      <c r="R61" s="51">
        <v>5</v>
      </c>
      <c r="S61" s="51">
        <v>4</v>
      </c>
      <c r="T61" s="51">
        <v>5</v>
      </c>
      <c r="U61" s="51">
        <v>3</v>
      </c>
      <c r="V61" s="51">
        <v>5</v>
      </c>
      <c r="W61" s="51">
        <v>37</v>
      </c>
      <c r="X61" s="51">
        <v>3</v>
      </c>
      <c r="Y61" s="51">
        <v>3</v>
      </c>
      <c r="Z61" s="55" cm="1">
        <f t="array" ref="Z61">SUMPRODUCT((_xlfn.XLOOKUP(C61, 'Course Stats'!A:A, 'Course Stats'!G:X)=3)*(E61:V61)) / COUNTIF(_xlfn.XLOOKUP(C61, 'Course Stats'!A:A, 'Course Stats'!G:X), 3)</f>
        <v>4.25</v>
      </c>
      <c r="AA61" s="55" cm="1">
        <f t="array" ref="AA61">SUMPRODUCT((_xlfn.XLOOKUP(C61, 'Course Stats'!A:A, 'Course Stats'!G:X)=4)*(E61:V61)) / COUNTIF(_xlfn.XLOOKUP(C61, 'Course Stats'!A:A, 'Course Stats'!G:X), 4)</f>
        <v>5.0909090909090908</v>
      </c>
      <c r="AB61" s="55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1" t="s">
        <v>130</v>
      </c>
      <c r="B62" s="54">
        <v>45570</v>
      </c>
      <c r="C62" s="51" t="s">
        <v>3</v>
      </c>
      <c r="D62" s="51">
        <f>SUM('Golf Log'!$E62:$V62)</f>
        <v>87</v>
      </c>
      <c r="E62" s="51">
        <v>5</v>
      </c>
      <c r="F62" s="51">
        <v>4</v>
      </c>
      <c r="G62" s="51">
        <v>4</v>
      </c>
      <c r="H62" s="51">
        <v>4</v>
      </c>
      <c r="I62" s="51">
        <v>5</v>
      </c>
      <c r="J62" s="51">
        <v>4</v>
      </c>
      <c r="K62" s="51">
        <v>7</v>
      </c>
      <c r="L62" s="51">
        <v>5</v>
      </c>
      <c r="M62" s="51">
        <v>6</v>
      </c>
      <c r="N62" s="51">
        <v>4</v>
      </c>
      <c r="O62" s="51">
        <v>5</v>
      </c>
      <c r="P62" s="51">
        <v>5</v>
      </c>
      <c r="Q62" s="51">
        <v>6</v>
      </c>
      <c r="R62" s="51">
        <v>5</v>
      </c>
      <c r="S62" s="51">
        <v>4</v>
      </c>
      <c r="T62" s="51">
        <v>4</v>
      </c>
      <c r="U62" s="51">
        <v>4</v>
      </c>
      <c r="V62" s="51">
        <v>6</v>
      </c>
      <c r="W62" s="51">
        <v>38</v>
      </c>
      <c r="X62" s="51">
        <v>2</v>
      </c>
      <c r="Y62" s="51">
        <v>6</v>
      </c>
      <c r="Z62" s="55" cm="1">
        <f t="array" ref="Z62">SUMPRODUCT((_xlfn.XLOOKUP(C62, 'Course Stats'!A:A, 'Course Stats'!G:X)=3)*(E62:V62)) / COUNTIF(_xlfn.XLOOKUP(C62, 'Course Stats'!A:A, 'Course Stats'!G:X), 3)</f>
        <v>4.25</v>
      </c>
      <c r="AA62" s="55" cm="1">
        <f t="array" ref="AA62">SUMPRODUCT((_xlfn.XLOOKUP(C62, 'Course Stats'!A:A, 'Course Stats'!G:X)=4)*(E62:V62)) / COUNTIF(_xlfn.XLOOKUP(C62, 'Course Stats'!A:A, 'Course Stats'!G:X), 4)</f>
        <v>4.6363636363636367</v>
      </c>
      <c r="AB62" s="55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1" t="s">
        <v>130</v>
      </c>
      <c r="B63" s="54">
        <v>45535</v>
      </c>
      <c r="C63" s="51" t="s">
        <v>9</v>
      </c>
      <c r="D63" s="51">
        <f>SUM('Golf Log'!$E63:$V63)</f>
        <v>87</v>
      </c>
      <c r="E63" s="51">
        <v>5</v>
      </c>
      <c r="F63" s="51">
        <v>5</v>
      </c>
      <c r="G63" s="51">
        <v>5</v>
      </c>
      <c r="H63" s="51">
        <v>4</v>
      </c>
      <c r="I63" s="51">
        <v>5</v>
      </c>
      <c r="J63" s="51">
        <v>5</v>
      </c>
      <c r="K63" s="51">
        <v>4</v>
      </c>
      <c r="L63" s="51">
        <v>5</v>
      </c>
      <c r="M63" s="51">
        <v>6</v>
      </c>
      <c r="N63" s="51">
        <v>6</v>
      </c>
      <c r="O63" s="51">
        <v>3</v>
      </c>
      <c r="P63" s="51">
        <v>5</v>
      </c>
      <c r="Q63" s="51">
        <v>5</v>
      </c>
      <c r="R63" s="51">
        <v>4</v>
      </c>
      <c r="S63" s="51">
        <v>5</v>
      </c>
      <c r="T63" s="51">
        <v>5</v>
      </c>
      <c r="U63" s="51">
        <v>5</v>
      </c>
      <c r="V63" s="51">
        <v>5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3.75</v>
      </c>
      <c r="AA63" s="55" cm="1">
        <f t="array" ref="AA63">SUMPRODUCT((_xlfn.XLOOKUP(C63, 'Course Stats'!A:A, 'Course Stats'!G:X)=4)*(E63:V63)) / COUNTIF(_xlfn.XLOOKUP(C63, 'Course Stats'!A:A, 'Course Stats'!G:X), 4)</f>
        <v>5.0909090909090908</v>
      </c>
      <c r="AB63" s="55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1" t="s">
        <v>130</v>
      </c>
      <c r="B64" s="54">
        <v>45487</v>
      </c>
      <c r="C64" s="51" t="s">
        <v>3</v>
      </c>
      <c r="D64" s="51">
        <f>SUM('Golf Log'!$E64:$V64)</f>
        <v>89</v>
      </c>
      <c r="E64" s="51">
        <v>5</v>
      </c>
      <c r="F64" s="51">
        <v>6</v>
      </c>
      <c r="G64" s="51">
        <v>3</v>
      </c>
      <c r="H64" s="51">
        <v>4</v>
      </c>
      <c r="I64" s="51">
        <v>5</v>
      </c>
      <c r="J64" s="51">
        <v>5</v>
      </c>
      <c r="K64" s="51">
        <v>6</v>
      </c>
      <c r="L64" s="51">
        <v>5</v>
      </c>
      <c r="M64" s="51">
        <v>7</v>
      </c>
      <c r="N64" s="51">
        <v>5</v>
      </c>
      <c r="O64" s="51">
        <v>4</v>
      </c>
      <c r="P64" s="51">
        <v>5</v>
      </c>
      <c r="Q64" s="51">
        <v>6</v>
      </c>
      <c r="R64" s="51">
        <v>5</v>
      </c>
      <c r="S64" s="51">
        <v>3</v>
      </c>
      <c r="T64" s="51">
        <v>5</v>
      </c>
      <c r="U64" s="51">
        <v>5</v>
      </c>
      <c r="V64" s="51">
        <v>5</v>
      </c>
      <c r="W64" s="51">
        <v>34</v>
      </c>
      <c r="X64" s="51">
        <v>2</v>
      </c>
      <c r="Y64" s="51">
        <v>2</v>
      </c>
      <c r="Z64" s="55" cm="1">
        <f t="array" ref="Z64">SUMPRODUCT((_xlfn.XLOOKUP(C64, 'Course Stats'!A:A, 'Course Stats'!G:X)=3)*(E64:V64)) / COUNTIF(_xlfn.XLOOKUP(C64, 'Course Stats'!A:A, 'Course Stats'!G:X), 3)</f>
        <v>3.75</v>
      </c>
      <c r="AA64" s="55" cm="1">
        <f t="array" ref="AA64">SUMPRODUCT((_xlfn.XLOOKUP(C64, 'Course Stats'!A:A, 'Course Stats'!G:X)=4)*(E64:V64)) / COUNTIF(_xlfn.XLOOKUP(C64, 'Course Stats'!A:A, 'Course Stats'!G:X), 4)</f>
        <v>5</v>
      </c>
      <c r="AB64" s="55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1" t="s">
        <v>130</v>
      </c>
      <c r="B65" s="54">
        <v>45172</v>
      </c>
      <c r="C65" s="51" t="s">
        <v>3</v>
      </c>
      <c r="D65" s="51">
        <f>SUM('Golf Log'!$E65:$V65)</f>
        <v>82</v>
      </c>
      <c r="E65" s="51">
        <v>4</v>
      </c>
      <c r="F65" s="51">
        <v>4</v>
      </c>
      <c r="G65" s="51">
        <v>5</v>
      </c>
      <c r="H65" s="51">
        <v>5</v>
      </c>
      <c r="I65" s="51">
        <v>6</v>
      </c>
      <c r="J65" s="51">
        <v>4</v>
      </c>
      <c r="K65" s="51">
        <v>5</v>
      </c>
      <c r="L65" s="51">
        <v>4</v>
      </c>
      <c r="M65" s="51">
        <v>6</v>
      </c>
      <c r="N65" s="51">
        <v>4</v>
      </c>
      <c r="O65" s="51">
        <v>4</v>
      </c>
      <c r="P65" s="51">
        <v>3</v>
      </c>
      <c r="Q65" s="51">
        <v>6</v>
      </c>
      <c r="R65" s="51">
        <v>5</v>
      </c>
      <c r="S65" s="51">
        <v>3</v>
      </c>
      <c r="T65" s="51">
        <v>4</v>
      </c>
      <c r="U65" s="51">
        <v>5</v>
      </c>
      <c r="V65" s="51">
        <v>5</v>
      </c>
      <c r="W65" s="51">
        <v>32</v>
      </c>
      <c r="X65" s="51">
        <v>5</v>
      </c>
      <c r="Y65" s="51">
        <v>5</v>
      </c>
      <c r="Z65" s="55" cm="1">
        <f t="array" ref="Z65">SUMPRODUCT((_xlfn.XLOOKUP(C65, 'Course Stats'!A:A, 'Course Stats'!G:X)=3)*(E65:V65)) / COUNTIF(_xlfn.XLOOKUP(C65, 'Course Stats'!A:A, 'Course Stats'!G:X), 3)</f>
        <v>4</v>
      </c>
      <c r="AA65" s="55" cm="1">
        <f t="array" ref="AA65">SUMPRODUCT((_xlfn.XLOOKUP(C65, 'Course Stats'!A:A, 'Course Stats'!G:X)=4)*(E65:V65)) / COUNTIF(_xlfn.XLOOKUP(C65, 'Course Stats'!A:A, 'Course Stats'!G:X), 4)</f>
        <v>4.4545454545454541</v>
      </c>
      <c r="AB65" s="55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8" t="s">
        <v>126</v>
      </c>
      <c r="B66" s="73">
        <v>45941</v>
      </c>
      <c r="C66" s="68" t="s">
        <v>12</v>
      </c>
      <c r="D66" s="68">
        <f>SUM('Golf Log'!$E66:$V66)</f>
        <v>91</v>
      </c>
      <c r="E66" s="68">
        <v>6</v>
      </c>
      <c r="F66" s="68">
        <v>7</v>
      </c>
      <c r="G66" s="68">
        <v>5</v>
      </c>
      <c r="H66" s="68">
        <v>6</v>
      </c>
      <c r="I66" s="68">
        <v>6</v>
      </c>
      <c r="J66" s="68">
        <v>3</v>
      </c>
      <c r="K66" s="68">
        <v>5</v>
      </c>
      <c r="L66" s="68">
        <v>3</v>
      </c>
      <c r="M66" s="68">
        <v>5</v>
      </c>
      <c r="N66" s="68">
        <v>4</v>
      </c>
      <c r="O66" s="68">
        <v>4</v>
      </c>
      <c r="P66" s="68">
        <v>4</v>
      </c>
      <c r="Q66" s="68">
        <v>5</v>
      </c>
      <c r="R66" s="68">
        <v>5</v>
      </c>
      <c r="S66" s="68">
        <v>6</v>
      </c>
      <c r="T66" s="68">
        <v>6</v>
      </c>
      <c r="U66" s="68">
        <v>6</v>
      </c>
      <c r="V66" s="68">
        <v>5</v>
      </c>
      <c r="W66" s="68">
        <v>30</v>
      </c>
      <c r="X66" s="68">
        <v>1</v>
      </c>
      <c r="Y66" s="68">
        <v>3</v>
      </c>
      <c r="Z66" s="74" cm="1">
        <f t="array" ref="Z66">SUMPRODUCT((_xlfn.XLOOKUP(C66, 'Course Stats'!A:A, 'Course Stats'!G:X)=3)*(E66:V66)) / COUNTIF(_xlfn.XLOOKUP(C66, 'Course Stats'!A:A, 'Course Stats'!G:X), 3)</f>
        <v>3.75</v>
      </c>
      <c r="AA66" s="74" cm="1">
        <f t="array" ref="AA66">SUMPRODUCT((_xlfn.XLOOKUP(C66, 'Course Stats'!A:A, 'Course Stats'!G:X)=4)*(E66:V66)) / COUNTIF(_xlfn.XLOOKUP(C66, 'Course Stats'!A:A, 'Course Stats'!G:X), 4)</f>
        <v>5.3</v>
      </c>
      <c r="AB66" s="74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8" t="s">
        <v>130</v>
      </c>
      <c r="B67" s="73">
        <v>45941</v>
      </c>
      <c r="C67" s="68" t="s">
        <v>12</v>
      </c>
      <c r="D67" s="68">
        <f>SUM('Golf Log'!$E67:$V67)</f>
        <v>91</v>
      </c>
      <c r="E67" s="68">
        <v>5</v>
      </c>
      <c r="F67" s="68">
        <v>6</v>
      </c>
      <c r="G67" s="68">
        <v>6</v>
      </c>
      <c r="H67" s="68">
        <v>4</v>
      </c>
      <c r="I67" s="68">
        <v>5</v>
      </c>
      <c r="J67" s="68">
        <v>6</v>
      </c>
      <c r="K67" s="68">
        <v>5</v>
      </c>
      <c r="L67" s="68">
        <v>3</v>
      </c>
      <c r="M67" s="68">
        <v>6</v>
      </c>
      <c r="N67" s="68">
        <v>7</v>
      </c>
      <c r="O67" s="68">
        <v>4</v>
      </c>
      <c r="P67" s="68">
        <v>4</v>
      </c>
      <c r="Q67" s="68">
        <v>5</v>
      </c>
      <c r="R67" s="68">
        <v>4</v>
      </c>
      <c r="S67" s="68">
        <v>6</v>
      </c>
      <c r="T67" s="68">
        <v>5</v>
      </c>
      <c r="U67" s="68">
        <v>5</v>
      </c>
      <c r="V67" s="68">
        <v>5</v>
      </c>
      <c r="W67" s="68">
        <v>33</v>
      </c>
      <c r="X67" s="68">
        <v>7</v>
      </c>
      <c r="Y67" s="68">
        <v>1</v>
      </c>
      <c r="Z67" s="74" cm="1">
        <f t="array" ref="Z67">SUMPRODUCT((_xlfn.XLOOKUP(C67, 'Course Stats'!A:A, 'Course Stats'!G:X)=3)*(E67:V67)) / COUNTIF(_xlfn.XLOOKUP(C67, 'Course Stats'!A:A, 'Course Stats'!G:X), 3)</f>
        <v>4.25</v>
      </c>
      <c r="AA67" s="74" cm="1">
        <f t="array" ref="AA67">SUMPRODUCT((_xlfn.XLOOKUP(C67, 'Course Stats'!A:A, 'Course Stats'!G:X)=4)*(E67:V67)) / COUNTIF(_xlfn.XLOOKUP(C67, 'Course Stats'!A:A, 'Course Stats'!G:X), 4)</f>
        <v>5</v>
      </c>
      <c r="AB67" s="74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8" t="s">
        <v>130</v>
      </c>
      <c r="B68" s="83">
        <v>45143</v>
      </c>
      <c r="C68" s="78" t="s">
        <v>9</v>
      </c>
      <c r="D68" s="78">
        <f>SUM('Golf Log'!$E68:$V68)</f>
        <v>85</v>
      </c>
      <c r="E68" s="78">
        <v>5</v>
      </c>
      <c r="F68" s="78">
        <v>6</v>
      </c>
      <c r="G68" s="78">
        <v>4</v>
      </c>
      <c r="H68" s="78">
        <v>3</v>
      </c>
      <c r="I68" s="78">
        <v>5</v>
      </c>
      <c r="J68" s="78">
        <v>5</v>
      </c>
      <c r="K68" s="78">
        <v>3</v>
      </c>
      <c r="L68" s="78">
        <v>4</v>
      </c>
      <c r="M68" s="78">
        <v>5</v>
      </c>
      <c r="N68" s="78">
        <v>7</v>
      </c>
      <c r="O68" s="78">
        <v>4</v>
      </c>
      <c r="P68" s="78">
        <v>5</v>
      </c>
      <c r="Q68" s="78">
        <v>5</v>
      </c>
      <c r="R68" s="78">
        <v>5</v>
      </c>
      <c r="S68" s="78">
        <v>4</v>
      </c>
      <c r="T68" s="78">
        <v>4</v>
      </c>
      <c r="U68" s="78">
        <v>6</v>
      </c>
      <c r="V68" s="78">
        <v>5</v>
      </c>
      <c r="W68" s="78">
        <v>38</v>
      </c>
      <c r="X68" s="78">
        <v>8</v>
      </c>
      <c r="Y68" s="78">
        <v>4</v>
      </c>
      <c r="Z68" s="84" cm="1">
        <f t="array" ref="Z68">SUMPRODUCT((_xlfn.XLOOKUP(C68, 'Course Stats'!A:A, 'Course Stats'!G:X)=3)*(E68:V68)) / COUNTIF(_xlfn.XLOOKUP(C68, 'Course Stats'!A:A, 'Course Stats'!G:X), 3)</f>
        <v>3.75</v>
      </c>
      <c r="AA68" s="84" cm="1">
        <f t="array" ref="AA68">SUMPRODUCT((_xlfn.XLOOKUP(C68, 'Course Stats'!A:A, 'Course Stats'!G:X)=4)*(E68:V68)) / COUNTIF(_xlfn.XLOOKUP(C68, 'Course Stats'!A:A, 'Course Stats'!G:X), 4)</f>
        <v>4.7272727272727275</v>
      </c>
      <c r="AB68" s="84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8" t="s">
        <v>130</v>
      </c>
      <c r="B69" s="83">
        <v>45136</v>
      </c>
      <c r="C69" s="78" t="s">
        <v>5</v>
      </c>
      <c r="D69" s="78">
        <f>SUM('Golf Log'!$E69:$V69)</f>
        <v>87</v>
      </c>
      <c r="E69" s="78">
        <v>4</v>
      </c>
      <c r="F69" s="78">
        <v>6</v>
      </c>
      <c r="G69" s="78">
        <v>3</v>
      </c>
      <c r="H69" s="78">
        <v>5</v>
      </c>
      <c r="I69" s="78">
        <v>4</v>
      </c>
      <c r="J69" s="78">
        <v>5</v>
      </c>
      <c r="K69" s="78">
        <v>3</v>
      </c>
      <c r="L69" s="78">
        <v>7</v>
      </c>
      <c r="M69" s="78">
        <v>6</v>
      </c>
      <c r="N69" s="78">
        <v>4</v>
      </c>
      <c r="O69" s="78">
        <v>4</v>
      </c>
      <c r="P69" s="78">
        <v>7</v>
      </c>
      <c r="Q69" s="78">
        <v>4</v>
      </c>
      <c r="R69" s="78">
        <v>5</v>
      </c>
      <c r="S69" s="78">
        <v>5</v>
      </c>
      <c r="T69" s="78">
        <v>6</v>
      </c>
      <c r="U69" s="78">
        <v>5</v>
      </c>
      <c r="V69" s="78">
        <v>4</v>
      </c>
      <c r="W69" s="78">
        <v>34</v>
      </c>
      <c r="X69" s="78">
        <v>4</v>
      </c>
      <c r="Y69" s="78">
        <v>6</v>
      </c>
      <c r="Z69" s="84" cm="1">
        <f t="array" ref="Z69">SUMPRODUCT((_xlfn.XLOOKUP(C69, 'Course Stats'!A:A, 'Course Stats'!G:X)=3)*(E69:V69)) / COUNTIF(_xlfn.XLOOKUP(C69, 'Course Stats'!A:A, 'Course Stats'!G:X), 3)</f>
        <v>3.75</v>
      </c>
      <c r="AA69" s="84" cm="1">
        <f t="array" ref="AA69">SUMPRODUCT((_xlfn.XLOOKUP(C69, 'Course Stats'!A:A, 'Course Stats'!G:X)=4)*(E69:V69)) / COUNTIF(_xlfn.XLOOKUP(C69, 'Course Stats'!A:A, 'Course Stats'!G:X), 4)</f>
        <v>4.7</v>
      </c>
      <c r="AB69" s="84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3" t="s">
        <v>126</v>
      </c>
      <c r="B70" s="105">
        <v>46160</v>
      </c>
      <c r="C70" s="93" t="s">
        <v>5</v>
      </c>
      <c r="D70" s="93">
        <f>SUM('Golf Log'!$E70:$V70)</f>
        <v>82</v>
      </c>
      <c r="E70" s="93">
        <v>4</v>
      </c>
      <c r="F70" s="93">
        <v>4</v>
      </c>
      <c r="G70" s="93">
        <v>4</v>
      </c>
      <c r="H70" s="93">
        <v>6</v>
      </c>
      <c r="I70" s="93">
        <v>4</v>
      </c>
      <c r="J70" s="93">
        <v>6</v>
      </c>
      <c r="K70" s="93">
        <v>3</v>
      </c>
      <c r="L70" s="93">
        <v>5</v>
      </c>
      <c r="M70" s="93">
        <v>5</v>
      </c>
      <c r="N70" s="93">
        <v>4</v>
      </c>
      <c r="O70" s="93">
        <v>2</v>
      </c>
      <c r="P70" s="93">
        <v>6</v>
      </c>
      <c r="Q70" s="93">
        <v>4</v>
      </c>
      <c r="R70" s="93">
        <v>5</v>
      </c>
      <c r="S70" s="93">
        <v>5</v>
      </c>
      <c r="T70" s="93">
        <v>6</v>
      </c>
      <c r="U70" s="93">
        <v>4</v>
      </c>
      <c r="V70" s="93">
        <v>5</v>
      </c>
      <c r="W70" s="93">
        <v>34</v>
      </c>
      <c r="X70" s="93">
        <v>5</v>
      </c>
      <c r="Y70" s="93">
        <v>8</v>
      </c>
      <c r="Z70" s="106" cm="1">
        <f t="array" ref="Z70">SUMPRODUCT((_xlfn.XLOOKUP(C70, 'Course Stats'!A:A, 'Course Stats'!G:X)=3)*(E70:V70)) / COUNTIF(_xlfn.XLOOKUP(C70, 'Course Stats'!A:A, 'Course Stats'!G:X), 3)</f>
        <v>3.25</v>
      </c>
      <c r="AA70" s="106" cm="1">
        <f t="array" ref="AA70">SUMPRODUCT((_xlfn.XLOOKUP(C70, 'Course Stats'!A:A, 'Course Stats'!G:X)=4)*(E70:V70)) / COUNTIF(_xlfn.XLOOKUP(C70, 'Course Stats'!A:A, 'Course Stats'!G:X), 4)</f>
        <v>4.5999999999999996</v>
      </c>
      <c r="AB70" s="106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35"/>
      <c r="B71" s="38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9"/>
      <c r="AA71" s="39"/>
      <c r="AB71" s="39"/>
    </row>
    <row r="72" spans="1:28" x14ac:dyDescent="0.25">
      <c r="A72" s="20" t="s">
        <v>125</v>
      </c>
      <c r="B72" s="32" t="s">
        <v>19</v>
      </c>
      <c r="C72" s="26" t="s">
        <v>24</v>
      </c>
      <c r="D72" s="26" t="s">
        <v>20</v>
      </c>
      <c r="E72" s="26" t="s">
        <v>47</v>
      </c>
      <c r="F72" s="26" t="s">
        <v>48</v>
      </c>
      <c r="G72" s="26" t="s">
        <v>49</v>
      </c>
      <c r="H72" s="26" t="s">
        <v>50</v>
      </c>
      <c r="I72" s="33" t="s">
        <v>51</v>
      </c>
      <c r="J72" s="26" t="s">
        <v>52</v>
      </c>
      <c r="K72" s="26" t="s">
        <v>53</v>
      </c>
      <c r="L72" s="26" t="s">
        <v>54</v>
      </c>
      <c r="M72" s="26" t="s">
        <v>55</v>
      </c>
    </row>
    <row r="73" spans="1:28" x14ac:dyDescent="0.25">
      <c r="A73" s="20" t="s">
        <v>126</v>
      </c>
      <c r="B73" s="30">
        <v>45457</v>
      </c>
      <c r="C73" s="20" t="s">
        <v>38</v>
      </c>
      <c r="D73" s="20">
        <f>SUM('Golf Log'!$E73:$M73)</f>
        <v>44</v>
      </c>
      <c r="E73" s="20">
        <v>6</v>
      </c>
      <c r="F73" s="20">
        <v>5</v>
      </c>
      <c r="G73" s="20">
        <v>4</v>
      </c>
      <c r="H73" s="20">
        <v>5</v>
      </c>
      <c r="I73" s="20">
        <v>4</v>
      </c>
      <c r="J73" s="20">
        <v>3</v>
      </c>
      <c r="K73" s="20">
        <v>5</v>
      </c>
      <c r="L73" s="20">
        <v>6</v>
      </c>
      <c r="M73" s="20">
        <v>6</v>
      </c>
      <c r="Z73" s="5"/>
      <c r="AA73" s="5"/>
      <c r="AB73" s="5"/>
    </row>
    <row r="74" spans="1:28" x14ac:dyDescent="0.25">
      <c r="A74" s="20" t="s">
        <v>126</v>
      </c>
      <c r="B74" s="30">
        <v>45454</v>
      </c>
      <c r="C74" s="20" t="s">
        <v>5</v>
      </c>
      <c r="D74" s="20">
        <f>SUM('Golf Log'!$E74:$M74)</f>
        <v>47</v>
      </c>
      <c r="E74" s="20">
        <v>6</v>
      </c>
      <c r="F74" s="20">
        <v>5</v>
      </c>
      <c r="G74" s="20">
        <v>5</v>
      </c>
      <c r="H74" s="20">
        <v>6</v>
      </c>
      <c r="I74" s="20">
        <v>5</v>
      </c>
      <c r="J74" s="20">
        <v>5</v>
      </c>
      <c r="K74" s="20">
        <v>4</v>
      </c>
      <c r="L74" s="20">
        <v>6</v>
      </c>
      <c r="M74" s="20">
        <v>5</v>
      </c>
      <c r="Z74" s="5"/>
      <c r="AA74" s="5"/>
      <c r="AB74" s="5"/>
    </row>
    <row r="75" spans="1:28" x14ac:dyDescent="0.25">
      <c r="B75" s="31"/>
      <c r="I75" s="2"/>
    </row>
    <row r="76" spans="1:28" x14ac:dyDescent="0.25">
      <c r="B76" s="31"/>
      <c r="I76" s="2"/>
    </row>
    <row r="77" spans="1:28" x14ac:dyDescent="0.25">
      <c r="B77" s="31"/>
      <c r="I77" s="2"/>
    </row>
    <row r="78" spans="1:28" x14ac:dyDescent="0.25">
      <c r="B78" s="31"/>
      <c r="I78" s="2"/>
    </row>
    <row r="79" spans="1:28" x14ac:dyDescent="0.25">
      <c r="B79" s="31"/>
      <c r="I79" s="2"/>
    </row>
    <row r="80" spans="1:28" x14ac:dyDescent="0.25">
      <c r="B80" s="31"/>
      <c r="I80" s="2"/>
    </row>
    <row r="81" spans="2:9" x14ac:dyDescent="0.25">
      <c r="B81" s="31"/>
      <c r="I81" s="2"/>
    </row>
    <row r="82" spans="2:9" x14ac:dyDescent="0.25">
      <c r="B82" s="31"/>
      <c r="I82" s="2"/>
    </row>
    <row r="83" spans="2:9" x14ac:dyDescent="0.25">
      <c r="B83" s="31"/>
      <c r="I83" s="2"/>
    </row>
    <row r="84" spans="2:9" x14ac:dyDescent="0.25">
      <c r="B84" s="31"/>
      <c r="I84" s="2"/>
    </row>
    <row r="85" spans="2:9" x14ac:dyDescent="0.25">
      <c r="B85" s="31"/>
      <c r="I85" s="2"/>
    </row>
    <row r="86" spans="2:9" x14ac:dyDescent="0.25">
      <c r="B86" s="31"/>
      <c r="I86" s="2"/>
    </row>
    <row r="87" spans="2:9" x14ac:dyDescent="0.25">
      <c r="B87" s="31"/>
      <c r="I87" s="2"/>
    </row>
    <row r="88" spans="2:9" x14ac:dyDescent="0.25">
      <c r="B88" s="31"/>
      <c r="I88" s="2"/>
    </row>
    <row r="89" spans="2:9" x14ac:dyDescent="0.25">
      <c r="B89" s="31"/>
      <c r="I89" s="2"/>
    </row>
    <row r="90" spans="2:9" x14ac:dyDescent="0.25">
      <c r="B90" s="31"/>
      <c r="I90" s="2"/>
    </row>
    <row r="91" spans="2:9" x14ac:dyDescent="0.25">
      <c r="B91" s="31"/>
      <c r="I91" s="2"/>
    </row>
    <row r="92" spans="2:9" x14ac:dyDescent="0.25">
      <c r="B92" s="31"/>
      <c r="I92" s="2"/>
    </row>
    <row r="93" spans="2:9" x14ac:dyDescent="0.25">
      <c r="B93" s="31"/>
      <c r="I93" s="2"/>
    </row>
    <row r="94" spans="2:9" x14ac:dyDescent="0.25">
      <c r="B94" s="31"/>
      <c r="I94" s="2"/>
    </row>
    <row r="95" spans="2:9" x14ac:dyDescent="0.25">
      <c r="B95" s="31"/>
      <c r="I95" s="2"/>
    </row>
  </sheetData>
  <phoneticPr fontId="18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77"/>
  <sheetViews>
    <sheetView topLeftCell="G49" workbookViewId="0">
      <selection activeCell="W70" sqref="W70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6" t="s">
        <v>19</v>
      </c>
      <c r="C1" s="26" t="s">
        <v>24</v>
      </c>
      <c r="D1" s="26" t="s">
        <v>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83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27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1.75</v>
      </c>
      <c r="AA2" s="28" cm="1">
        <f t="array" ref="AA2">SUMPRODUCT((_xlfn.XLOOKUP(C2, 'Course Stats'!A:A, 'Course Stats'!G:X)=4)*(E2:V2)) / COUNTIF(_xlfn.XLOOKUP(C2, 'Course Stats'!A:A, 'Course Stats'!G:X), 4)</f>
        <v>1.6363636363636365</v>
      </c>
      <c r="AB2" s="28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126</v>
      </c>
      <c r="B3" s="27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2</v>
      </c>
      <c r="AA3" s="28" cm="1">
        <f t="array" ref="AA3">SUMPRODUCT((_xlfn.XLOOKUP(C3, 'Course Stats'!A:A, 'Course Stats'!G:X)=4)*(E3:V3)) / COUNTIF(_xlfn.XLOOKUP(C3, 'Course Stats'!A:A, 'Course Stats'!G:X), 4)</f>
        <v>1.8</v>
      </c>
      <c r="AB3" s="28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126</v>
      </c>
      <c r="B4" s="27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2</v>
      </c>
      <c r="AA4" s="28" cm="1">
        <f t="array" ref="AA4">SUMPRODUCT((_xlfn.XLOOKUP(C4, 'Course Stats'!A:A, 'Course Stats'!G:X)=4)*(E4:V4)) / COUNTIF(_xlfn.XLOOKUP(C4, 'Course Stats'!A:A, 'Course Stats'!G:X), 4)</f>
        <v>1.7</v>
      </c>
      <c r="AB4" s="28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126</v>
      </c>
      <c r="B5" s="27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2.25</v>
      </c>
      <c r="AA5" s="28" cm="1">
        <f t="array" ref="AA5">SUMPRODUCT((_xlfn.XLOOKUP(C5, 'Course Stats'!A:A, 'Course Stats'!G:X)=4)*(E5:V5)) / COUNTIF(_xlfn.XLOOKUP(C5, 'Course Stats'!A:A, 'Course Stats'!G:X), 4)</f>
        <v>1.8181818181818181</v>
      </c>
      <c r="AB5" s="28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126</v>
      </c>
      <c r="B6" s="27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1.5</v>
      </c>
      <c r="AA6" s="28" cm="1">
        <f t="array" ref="AA6">SUMPRODUCT((_xlfn.XLOOKUP(C6, 'Course Stats'!A:A, 'Course Stats'!G:X)=4)*(E6:V6)) / COUNTIF(_xlfn.XLOOKUP(C6, 'Course Stats'!A:A, 'Course Stats'!G:X), 4)</f>
        <v>1.6</v>
      </c>
      <c r="AB6" s="28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126</v>
      </c>
      <c r="B7" s="27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1.5</v>
      </c>
      <c r="AA7" s="28" cm="1">
        <f t="array" ref="AA7">SUMPRODUCT((_xlfn.XLOOKUP(C7, 'Course Stats'!A:A, 'Course Stats'!G:X)=4)*(E7:V7)) / COUNTIF(_xlfn.XLOOKUP(C7, 'Course Stats'!A:A, 'Course Stats'!G:X), 4)</f>
        <v>1.7272727272727273</v>
      </c>
      <c r="AB7" s="28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126</v>
      </c>
      <c r="B8" s="27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1.75</v>
      </c>
      <c r="AA8" s="28" cm="1">
        <f t="array" ref="AA8">SUMPRODUCT((_xlfn.XLOOKUP(C8, 'Course Stats'!A:A, 'Course Stats'!G:X)=4)*(E8:V8)) / COUNTIF(_xlfn.XLOOKUP(C8, 'Course Stats'!A:A, 'Course Stats'!G:X), 4)</f>
        <v>1.7272727272727273</v>
      </c>
      <c r="AB8" s="28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126</v>
      </c>
      <c r="B9" s="27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1.6666666666666667</v>
      </c>
      <c r="AA9" s="28" cm="1">
        <f t="array" ref="AA9">SUMPRODUCT((_xlfn.XLOOKUP(C9, 'Course Stats'!A:A, 'Course Stats'!G:X)=4)*(E9:V9)) / COUNTIF(_xlfn.XLOOKUP(C9, 'Course Stats'!A:A, 'Course Stats'!G:X), 4)</f>
        <v>1.75</v>
      </c>
      <c r="AB9" s="28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126</v>
      </c>
      <c r="B10" s="27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1.75</v>
      </c>
      <c r="AA10" s="28" cm="1">
        <f t="array" ref="AA10">SUMPRODUCT((_xlfn.XLOOKUP(C10, 'Course Stats'!A:A, 'Course Stats'!G:X)=4)*(E10:V10)) / COUNTIF(_xlfn.XLOOKUP(C10, 'Course Stats'!A:A, 'Course Stats'!G:X), 4)</f>
        <v>1.6363636363636365</v>
      </c>
      <c r="AB10" s="28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126</v>
      </c>
      <c r="B11" s="27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1.6666666666666667</v>
      </c>
      <c r="AA11" s="28" cm="1">
        <f t="array" ref="AA11">SUMPRODUCT((_xlfn.XLOOKUP(C11, 'Course Stats'!A:A, 'Course Stats'!G:X)=4)*(E11:V11)) / COUNTIF(_xlfn.XLOOKUP(C11, 'Course Stats'!A:A, 'Course Stats'!G:X), 4)</f>
        <v>1.5833333333333333</v>
      </c>
      <c r="AB11" s="28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126</v>
      </c>
      <c r="B12" s="27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1.3333333333333333</v>
      </c>
      <c r="AA12" s="28" cm="1">
        <f t="array" ref="AA12">SUMPRODUCT((_xlfn.XLOOKUP(C12, 'Course Stats'!A:A, 'Course Stats'!G:X)=4)*(E12:V12)) / COUNTIF(_xlfn.XLOOKUP(C12, 'Course Stats'!A:A, 'Course Stats'!G:X), 4)</f>
        <v>1.6666666666666667</v>
      </c>
      <c r="AB12" s="28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126</v>
      </c>
      <c r="B13" s="27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1.75</v>
      </c>
      <c r="AA13" s="28" cm="1">
        <f t="array" ref="AA13">SUMPRODUCT((_xlfn.XLOOKUP(C13, 'Course Stats'!A:A, 'Course Stats'!G:X)=4)*(E13:V13)) / COUNTIF(_xlfn.XLOOKUP(C13, 'Course Stats'!A:A, 'Course Stats'!G:X), 4)</f>
        <v>1.4545454545454546</v>
      </c>
      <c r="AB13" s="28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126</v>
      </c>
      <c r="B14" s="27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1.5</v>
      </c>
      <c r="AA14" s="28" cm="1">
        <f t="array" ref="AA14">SUMPRODUCT((_xlfn.XLOOKUP(C14, 'Course Stats'!A:A, 'Course Stats'!G:X)=4)*(E14:V14)) / COUNTIF(_xlfn.XLOOKUP(C14, 'Course Stats'!A:A, 'Course Stats'!G:X), 4)</f>
        <v>1.6666666666666667</v>
      </c>
      <c r="AB14" s="28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126</v>
      </c>
      <c r="B15" s="27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1.5</v>
      </c>
      <c r="AA15" s="28" cm="1">
        <f t="array" ref="AA15">SUMPRODUCT((_xlfn.XLOOKUP(C15, 'Course Stats'!A:A, 'Course Stats'!G:X)=4)*(E15:V15)) / COUNTIF(_xlfn.XLOOKUP(C15, 'Course Stats'!A:A, 'Course Stats'!G:X), 4)</f>
        <v>1.6</v>
      </c>
      <c r="AB15" s="28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126</v>
      </c>
      <c r="B16" s="27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1.75</v>
      </c>
      <c r="AA16" s="28" cm="1">
        <f t="array" ref="AA16">SUMPRODUCT((_xlfn.XLOOKUP(C16, 'Course Stats'!A:A, 'Course Stats'!G:X)=4)*(E16:V16)) / COUNTIF(_xlfn.XLOOKUP(C16, 'Course Stats'!A:A, 'Course Stats'!G:X), 4)</f>
        <v>1.9</v>
      </c>
      <c r="AB16" s="28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126</v>
      </c>
      <c r="B17" s="27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1.75</v>
      </c>
      <c r="AA17" s="28" cm="1">
        <f t="array" ref="AA17">SUMPRODUCT((_xlfn.XLOOKUP(C17, 'Course Stats'!A:A, 'Course Stats'!G:X)=4)*(E17:V17)) / COUNTIF(_xlfn.XLOOKUP(C17, 'Course Stats'!A:A, 'Course Stats'!G:X), 4)</f>
        <v>1.75</v>
      </c>
      <c r="AB17" s="28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126</v>
      </c>
      <c r="B18" s="27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2.25</v>
      </c>
      <c r="AA18" s="28" cm="1">
        <f t="array" ref="AA18">SUMPRODUCT((_xlfn.XLOOKUP(C18, 'Course Stats'!A:A, 'Course Stats'!G:X)=4)*(E18:V18)) / COUNTIF(_xlfn.XLOOKUP(C18, 'Course Stats'!A:A, 'Course Stats'!G:X), 4)</f>
        <v>1.7</v>
      </c>
      <c r="AB18" s="28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126</v>
      </c>
      <c r="B19" s="27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1.6</v>
      </c>
      <c r="AA19" s="28" cm="1">
        <f t="array" ref="AA19">SUMPRODUCT((_xlfn.XLOOKUP(C19, 'Course Stats'!A:A, 'Course Stats'!G:X)=4)*(E19:V19)) / COUNTIF(_xlfn.XLOOKUP(C19, 'Course Stats'!A:A, 'Course Stats'!G:X), 4)</f>
        <v>2.1111111111111112</v>
      </c>
      <c r="AB19" s="28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126</v>
      </c>
      <c r="B20" s="27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2</v>
      </c>
      <c r="AA20" s="28" cm="1">
        <f t="array" ref="AA20">SUMPRODUCT((_xlfn.XLOOKUP(C20, 'Course Stats'!A:A, 'Course Stats'!G:X)=4)*(E20:V20)) / COUNTIF(_xlfn.XLOOKUP(C20, 'Course Stats'!A:A, 'Course Stats'!G:X), 4)</f>
        <v>1.9090909090909092</v>
      </c>
      <c r="AB20" s="28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126</v>
      </c>
      <c r="B21" s="27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1.75</v>
      </c>
      <c r="AA21" s="28" cm="1">
        <f t="array" ref="AA21">SUMPRODUCT((_xlfn.XLOOKUP(C21, 'Course Stats'!A:A, 'Course Stats'!G:X)=4)*(E21:V21)) / COUNTIF(_xlfn.XLOOKUP(C21, 'Course Stats'!A:A, 'Course Stats'!G:X), 4)</f>
        <v>2</v>
      </c>
      <c r="AB21" s="28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126</v>
      </c>
      <c r="B22" s="27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2.25</v>
      </c>
      <c r="AA22" s="28" cm="1">
        <f t="array" ref="AA22">SUMPRODUCT((_xlfn.XLOOKUP(C22, 'Course Stats'!A:A, 'Course Stats'!G:X)=4)*(E22:V22)) / COUNTIF(_xlfn.XLOOKUP(C22, 'Course Stats'!A:A, 'Course Stats'!G:X), 4)</f>
        <v>2.0909090909090908</v>
      </c>
      <c r="AB22" s="28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126</v>
      </c>
      <c r="B23" s="27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1.75</v>
      </c>
      <c r="AA23" s="28" cm="1">
        <f t="array" ref="AA23">SUMPRODUCT((_xlfn.XLOOKUP(C23, 'Course Stats'!A:A, 'Course Stats'!G:X)=4)*(E23:V23)) / COUNTIF(_xlfn.XLOOKUP(C23, 'Course Stats'!A:A, 'Course Stats'!G:X), 4)</f>
        <v>2.0909090909090908</v>
      </c>
      <c r="AB23" s="28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126</v>
      </c>
      <c r="B24" s="27">
        <v>45156</v>
      </c>
      <c r="C24" s="20" t="s">
        <v>46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2</v>
      </c>
      <c r="AA24" s="28" cm="1">
        <f t="array" ref="AA24">SUMPRODUCT((_xlfn.XLOOKUP(C24, 'Course Stats'!A:A, 'Course Stats'!G:X)=4)*(E24:V24)) / COUNTIF(_xlfn.XLOOKUP(C24, 'Course Stats'!A:A, 'Course Stats'!G:X), 4)</f>
        <v>2</v>
      </c>
      <c r="AB24" s="28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126</v>
      </c>
      <c r="B25" s="27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2</v>
      </c>
      <c r="AA25" s="28" cm="1">
        <f t="array" ref="AA25">SUMPRODUCT((_xlfn.XLOOKUP(C25, 'Course Stats'!A:A, 'Course Stats'!G:X)=4)*(E25:V25)) / COUNTIF(_xlfn.XLOOKUP(C25, 'Course Stats'!A:A, 'Course Stats'!G:X), 4)</f>
        <v>1.8181818181818181</v>
      </c>
      <c r="AB25" s="28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126</v>
      </c>
      <c r="B26" s="27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2.25</v>
      </c>
      <c r="AA26" s="28" cm="1">
        <f t="array" ref="AA26">SUMPRODUCT((_xlfn.XLOOKUP(C26, 'Course Stats'!A:A, 'Course Stats'!G:X)=4)*(E26:V26)) / COUNTIF(_xlfn.XLOOKUP(C26, 'Course Stats'!A:A, 'Course Stats'!G:X), 4)</f>
        <v>2.0909090909090908</v>
      </c>
      <c r="AB26" s="28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126</v>
      </c>
      <c r="B27" s="27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1.5</v>
      </c>
      <c r="AA27" s="28" cm="1">
        <f t="array" ref="AA27">SUMPRODUCT((_xlfn.XLOOKUP(C27, 'Course Stats'!A:A, 'Course Stats'!G:X)=4)*(E27:V27)) / COUNTIF(_xlfn.XLOOKUP(C27, 'Course Stats'!A:A, 'Course Stats'!G:X), 4)</f>
        <v>2</v>
      </c>
      <c r="AB27" s="28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126</v>
      </c>
      <c r="B28" s="27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1.5</v>
      </c>
      <c r="AA28" s="28" cm="1">
        <f t="array" ref="AA28">SUMPRODUCT((_xlfn.XLOOKUP(C28, 'Course Stats'!A:A, 'Course Stats'!G:X)=4)*(E28:V28)) / COUNTIF(_xlfn.XLOOKUP(C28, 'Course Stats'!A:A, 'Course Stats'!G:X), 4)</f>
        <v>1.6</v>
      </c>
      <c r="AB28" s="28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126</v>
      </c>
      <c r="B29" s="27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1.75</v>
      </c>
      <c r="AA29" s="28" cm="1">
        <f t="array" ref="AA29">SUMPRODUCT((_xlfn.XLOOKUP(C29, 'Course Stats'!A:A, 'Course Stats'!G:X)=4)*(E29:V29)) / COUNTIF(_xlfn.XLOOKUP(C29, 'Course Stats'!A:A, 'Course Stats'!G:X), 4)</f>
        <v>1.6</v>
      </c>
      <c r="AB29" s="28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126</v>
      </c>
      <c r="B30" s="27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1.5</v>
      </c>
      <c r="AA30" s="28" cm="1">
        <f t="array" ref="AA30">SUMPRODUCT((_xlfn.XLOOKUP(C30, 'Course Stats'!A:A, 'Course Stats'!G:X)=4)*(E30:V30)) / COUNTIF(_xlfn.XLOOKUP(C30, 'Course Stats'!A:A, 'Course Stats'!G:X), 4)</f>
        <v>2.1</v>
      </c>
      <c r="AB30" s="28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126</v>
      </c>
      <c r="B31" s="27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2</v>
      </c>
      <c r="AA31" s="28" cm="1">
        <f t="array" ref="AA31">SUMPRODUCT((_xlfn.XLOOKUP(C31, 'Course Stats'!A:A, 'Course Stats'!G:X)=4)*(E31:V31)) / COUNTIF(_xlfn.XLOOKUP(C31, 'Course Stats'!A:A, 'Course Stats'!G:X), 4)</f>
        <v>2</v>
      </c>
      <c r="AB31" s="28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126</v>
      </c>
      <c r="B32" s="27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1.5</v>
      </c>
      <c r="AA32" s="28" cm="1">
        <f t="array" ref="AA32">SUMPRODUCT((_xlfn.XLOOKUP(C32, 'Course Stats'!A:A, 'Course Stats'!G:X)=4)*(E32:V32)) / COUNTIF(_xlfn.XLOOKUP(C32, 'Course Stats'!A:A, 'Course Stats'!G:X), 4)</f>
        <v>2.1818181818181817</v>
      </c>
      <c r="AB32" s="28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126</v>
      </c>
      <c r="B33" s="27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2.25</v>
      </c>
      <c r="AA33" s="28" cm="1">
        <f t="array" ref="AA33">SUMPRODUCT((_xlfn.XLOOKUP(C33, 'Course Stats'!A:A, 'Course Stats'!G:X)=4)*(E33:V33)) / COUNTIF(_xlfn.XLOOKUP(C33, 'Course Stats'!A:A, 'Course Stats'!G:X), 4)</f>
        <v>1.8181818181818181</v>
      </c>
      <c r="AB33" s="28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126</v>
      </c>
      <c r="B34" s="27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1.5</v>
      </c>
      <c r="AA34" s="28" cm="1">
        <f t="array" ref="AA34">SUMPRODUCT((_xlfn.XLOOKUP(C34, 'Course Stats'!A:A, 'Course Stats'!G:X)=4)*(E34:V34)) / COUNTIF(_xlfn.XLOOKUP(C34, 'Course Stats'!A:A, 'Course Stats'!G:X), 4)</f>
        <v>1.9</v>
      </c>
      <c r="AB34" s="28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126</v>
      </c>
      <c r="B35" s="27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28" cm="1">
        <f t="array" ref="Z35">SUMPRODUCT((_xlfn.XLOOKUP(C35, 'Course Stats'!A:A, 'Course Stats'!G:X)=3)*(E35:V35)) / COUNTIF(_xlfn.XLOOKUP(C35, 'Course Stats'!A:A, 'Course Stats'!G:X), 3)</f>
        <v>1.6666666666666667</v>
      </c>
      <c r="AA35" s="28" cm="1">
        <f t="array" ref="AA35">SUMPRODUCT((_xlfn.XLOOKUP(C35, 'Course Stats'!A:A, 'Course Stats'!G:X)=4)*(E35:V35)) / COUNTIF(_xlfn.XLOOKUP(C35, 'Course Stats'!A:A, 'Course Stats'!G:X), 4)</f>
        <v>1.4166666666666667</v>
      </c>
      <c r="AB35" s="28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126</v>
      </c>
      <c r="B36" s="27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28" cm="1">
        <f t="array" ref="Z36">SUMPRODUCT((_xlfn.XLOOKUP(C36, 'Course Stats'!A:A, 'Course Stats'!G:X)=3)*(E36:V36)) / COUNTIF(_xlfn.XLOOKUP(C36, 'Course Stats'!A:A, 'Course Stats'!G:X), 3)</f>
        <v>2</v>
      </c>
      <c r="AA36" s="28" cm="1">
        <f t="array" ref="AA36">SUMPRODUCT((_xlfn.XLOOKUP(C36, 'Course Stats'!A:A, 'Course Stats'!G:X)=4)*(E36:V36)) / COUNTIF(_xlfn.XLOOKUP(C36, 'Course Stats'!A:A, 'Course Stats'!G:X), 4)</f>
        <v>1.8</v>
      </c>
      <c r="AB36" s="28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126</v>
      </c>
      <c r="B37" s="27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28" cm="1">
        <f t="array" ref="Z37">SUMPRODUCT((_xlfn.XLOOKUP(C37, 'Course Stats'!A:A, 'Course Stats'!G:X)=3)*(E37:V37)) / COUNTIF(_xlfn.XLOOKUP(C37, 'Course Stats'!A:A, 'Course Stats'!G:X), 3)</f>
        <v>1.75</v>
      </c>
      <c r="AA37" s="28" cm="1">
        <f t="array" ref="AA37">SUMPRODUCT((_xlfn.XLOOKUP(C37, 'Course Stats'!A:A, 'Course Stats'!G:X)=4)*(E37:V37)) / COUNTIF(_xlfn.XLOOKUP(C37, 'Course Stats'!A:A, 'Course Stats'!G:X), 4)</f>
        <v>1.7272727272727273</v>
      </c>
      <c r="AB37" s="28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126</v>
      </c>
      <c r="B38" s="27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28" cm="1">
        <f t="array" ref="Z38">SUMPRODUCT((_xlfn.XLOOKUP(C38, 'Course Stats'!A:A, 'Course Stats'!G:X)=3)*(E38:V38)) / COUNTIF(_xlfn.XLOOKUP(C38, 'Course Stats'!A:A, 'Course Stats'!G:X), 3)</f>
        <v>2</v>
      </c>
      <c r="AA38" s="28" cm="1">
        <f t="array" ref="AA38">SUMPRODUCT((_xlfn.XLOOKUP(C38, 'Course Stats'!A:A, 'Course Stats'!G:X)=4)*(E38:V38)) / COUNTIF(_xlfn.XLOOKUP(C38, 'Course Stats'!A:A, 'Course Stats'!G:X), 4)</f>
        <v>1.7272727272727273</v>
      </c>
      <c r="AB38" s="28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126</v>
      </c>
      <c r="B39" s="27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28" cm="1">
        <f t="array" ref="Z39">SUMPRODUCT((_xlfn.XLOOKUP(C39, 'Course Stats'!A:A, 'Course Stats'!G:X)=3)*(E39:V39)) / COUNTIF(_xlfn.XLOOKUP(C39, 'Course Stats'!A:A, 'Course Stats'!G:X), 3)</f>
        <v>1.5</v>
      </c>
      <c r="AA39" s="28" cm="1">
        <f t="array" ref="AA39">SUMPRODUCT((_xlfn.XLOOKUP(C39, 'Course Stats'!A:A, 'Course Stats'!G:X)=4)*(E39:V39)) / COUNTIF(_xlfn.XLOOKUP(C39, 'Course Stats'!A:A, 'Course Stats'!G:X), 4)</f>
        <v>1.5833333333333333</v>
      </c>
      <c r="AB39" s="28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126</v>
      </c>
      <c r="B40" s="27">
        <v>45886</v>
      </c>
      <c r="C40" s="20" t="s">
        <v>41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28" cm="1">
        <f t="array" ref="Z40">SUMPRODUCT((_xlfn.XLOOKUP(C40, 'Course Stats'!A:A, 'Course Stats'!G:X)=3)*(E40:V40)) / COUNTIF(_xlfn.XLOOKUP(C40, 'Course Stats'!A:A, 'Course Stats'!G:X), 3)</f>
        <v>1.75</v>
      </c>
      <c r="AA40" s="28" cm="1">
        <f t="array" ref="AA40">SUMPRODUCT((_xlfn.XLOOKUP(C40, 'Course Stats'!A:A, 'Course Stats'!G:X)=4)*(E40:V40)) / COUNTIF(_xlfn.XLOOKUP(C40, 'Course Stats'!A:A, 'Course Stats'!G:X), 4)</f>
        <v>1.7</v>
      </c>
      <c r="AB40" s="28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126</v>
      </c>
      <c r="B41" s="27">
        <v>45892</v>
      </c>
      <c r="C41" s="20" t="s">
        <v>41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28" cm="1">
        <f t="array" ref="Z41">SUMPRODUCT((_xlfn.XLOOKUP(C41, 'Course Stats'!A:A, 'Course Stats'!G:X)=3)*(E41:V41)) / COUNTIF(_xlfn.XLOOKUP(C41, 'Course Stats'!A:A, 'Course Stats'!G:X), 3)</f>
        <v>1.5</v>
      </c>
      <c r="AA41" s="28" cm="1">
        <f t="array" ref="AA41">SUMPRODUCT((_xlfn.XLOOKUP(C41, 'Course Stats'!A:A, 'Course Stats'!G:X)=4)*(E41:V41)) / COUNTIF(_xlfn.XLOOKUP(C41, 'Course Stats'!A:A, 'Course Stats'!G:X), 4)</f>
        <v>1.9</v>
      </c>
      <c r="AB41" s="28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126</v>
      </c>
      <c r="B42" s="27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28" cm="1">
        <f t="array" ref="Z42">SUMPRODUCT((_xlfn.XLOOKUP(C42, 'Course Stats'!A:A, 'Course Stats'!G:X)=3)*(E42:V42)) / COUNTIF(_xlfn.XLOOKUP(C42, 'Course Stats'!A:A, 'Course Stats'!G:X), 3)</f>
        <v>2.2000000000000002</v>
      </c>
      <c r="AA42" s="28" cm="1">
        <f t="array" ref="AA42">SUMPRODUCT((_xlfn.XLOOKUP(C42, 'Course Stats'!A:A, 'Course Stats'!G:X)=4)*(E42:V42)) / COUNTIF(_xlfn.XLOOKUP(C42, 'Course Stats'!A:A, 'Course Stats'!G:X), 4)</f>
        <v>2.1111111111111112</v>
      </c>
      <c r="AB42" s="28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126</v>
      </c>
      <c r="B43" s="18">
        <v>45897</v>
      </c>
      <c r="C43" s="20" t="s">
        <v>41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28" cm="1">
        <f t="array" ref="Z43">SUMPRODUCT((_xlfn.XLOOKUP(C43, 'Course Stats'!A:A, 'Course Stats'!G:X)=3)*(E43:V43)) / COUNTIF(_xlfn.XLOOKUP(C43, 'Course Stats'!A:A, 'Course Stats'!G:X), 3)</f>
        <v>1.75</v>
      </c>
      <c r="AA43" s="28" cm="1">
        <f t="array" ref="AA43">SUMPRODUCT((_xlfn.XLOOKUP(C43, 'Course Stats'!A:A, 'Course Stats'!G:X)=4)*(E43:V43)) / COUNTIF(_xlfn.XLOOKUP(C43, 'Course Stats'!A:A, 'Course Stats'!G:X), 4)</f>
        <v>1.7</v>
      </c>
      <c r="AB43" s="28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127</v>
      </c>
      <c r="B44" s="27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28" cm="1">
        <f t="array" ref="Z44">SUMPRODUCT((_xlfn.XLOOKUP(C44, 'Course Stats'!A:A, 'Course Stats'!G:X)=3)*(E44:V44)) / COUNTIF(_xlfn.XLOOKUP(C44, 'Course Stats'!A:A, 'Course Stats'!G:X), 3)</f>
        <v>2.6</v>
      </c>
      <c r="AA44" s="28" cm="1">
        <f t="array" ref="AA44">SUMPRODUCT((_xlfn.XLOOKUP(C44, 'Course Stats'!A:A, 'Course Stats'!G:X)=4)*(E44:V44)) / COUNTIF(_xlfn.XLOOKUP(C44, 'Course Stats'!A:A, 'Course Stats'!G:X), 4)</f>
        <v>2.2222222222222223</v>
      </c>
      <c r="AB44" s="28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5" t="s">
        <v>127</v>
      </c>
      <c r="B45" s="40">
        <v>45853</v>
      </c>
      <c r="C45" s="35" t="s">
        <v>128</v>
      </c>
      <c r="D45" s="35">
        <f>SUM('Putt Log'!$E45:$V45)</f>
        <v>45</v>
      </c>
      <c r="E45" s="35">
        <v>3</v>
      </c>
      <c r="F45" s="35">
        <v>2</v>
      </c>
      <c r="G45" s="35">
        <v>3</v>
      </c>
      <c r="H45" s="35">
        <v>3</v>
      </c>
      <c r="I45" s="35">
        <v>3</v>
      </c>
      <c r="J45" s="35">
        <v>3</v>
      </c>
      <c r="K45" s="35">
        <v>2</v>
      </c>
      <c r="L45" s="35">
        <v>2</v>
      </c>
      <c r="M45" s="35">
        <v>2</v>
      </c>
      <c r="N45" s="35">
        <v>2</v>
      </c>
      <c r="O45" s="35">
        <v>3</v>
      </c>
      <c r="P45" s="35">
        <v>2</v>
      </c>
      <c r="Q45" s="35">
        <v>3</v>
      </c>
      <c r="R45" s="35">
        <v>2</v>
      </c>
      <c r="S45" s="35">
        <v>3</v>
      </c>
      <c r="T45" s="35">
        <v>2</v>
      </c>
      <c r="U45" s="35">
        <v>3</v>
      </c>
      <c r="V45" s="35">
        <v>2</v>
      </c>
      <c r="W45" s="37">
        <v>45</v>
      </c>
      <c r="X45" s="37">
        <v>0</v>
      </c>
      <c r="Y45" s="37">
        <v>2</v>
      </c>
      <c r="Z45" s="39" cm="1">
        <f t="array" ref="Z45">SUMPRODUCT((_xlfn.XLOOKUP(C45, 'Course Stats'!A:A, 'Course Stats'!G:X)=3)*(E45:V45)) / COUNTIF(_xlfn.XLOOKUP(C45, 'Course Stats'!A:A, 'Course Stats'!G:X), 3)</f>
        <v>2.25</v>
      </c>
      <c r="AA45" s="39" cm="1">
        <f t="array" ref="AA45">SUMPRODUCT((_xlfn.XLOOKUP(C45, 'Course Stats'!A:A, 'Course Stats'!G:X)=4)*(E45:V45)) / COUNTIF(_xlfn.XLOOKUP(C45, 'Course Stats'!A:A, 'Course Stats'!G:X), 4)</f>
        <v>2.4545454545454546</v>
      </c>
      <c r="AB45" s="39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5" t="s">
        <v>127</v>
      </c>
      <c r="B46" s="40">
        <v>45765</v>
      </c>
      <c r="C46" s="35" t="s">
        <v>129</v>
      </c>
      <c r="D46" s="35">
        <f>SUM('Putt Log'!$E46:$V46)</f>
        <v>42</v>
      </c>
      <c r="E46" s="35">
        <v>3</v>
      </c>
      <c r="F46" s="35">
        <v>2</v>
      </c>
      <c r="G46" s="35">
        <v>3</v>
      </c>
      <c r="H46" s="35">
        <v>2</v>
      </c>
      <c r="I46" s="35">
        <v>2</v>
      </c>
      <c r="J46" s="35">
        <v>3</v>
      </c>
      <c r="K46" s="35">
        <v>3</v>
      </c>
      <c r="L46" s="35">
        <v>3</v>
      </c>
      <c r="M46" s="35">
        <v>2</v>
      </c>
      <c r="N46" s="35">
        <v>2</v>
      </c>
      <c r="O46" s="35">
        <v>2</v>
      </c>
      <c r="P46" s="35">
        <v>2</v>
      </c>
      <c r="Q46" s="35">
        <v>2</v>
      </c>
      <c r="R46" s="35">
        <v>2</v>
      </c>
      <c r="S46" s="35">
        <v>2</v>
      </c>
      <c r="T46" s="35">
        <v>2</v>
      </c>
      <c r="U46" s="35">
        <v>3</v>
      </c>
      <c r="V46" s="35">
        <v>2</v>
      </c>
      <c r="W46" s="37">
        <v>42</v>
      </c>
      <c r="X46" s="37">
        <v>5</v>
      </c>
      <c r="Y46" s="37">
        <v>2</v>
      </c>
      <c r="Z46" s="39" cm="1">
        <f t="array" ref="Z46">SUMPRODUCT((_xlfn.XLOOKUP(C46, 'Course Stats'!A:A, 'Course Stats'!G:X)=3)*(E46:V46)) / COUNTIF(_xlfn.XLOOKUP(C46, 'Course Stats'!A:A, 'Course Stats'!G:X), 3)</f>
        <v>2.6</v>
      </c>
      <c r="AA46" s="39" cm="1">
        <f t="array" ref="AA46">SUMPRODUCT((_xlfn.XLOOKUP(C46, 'Course Stats'!A:A, 'Course Stats'!G:X)=4)*(E46:V46)) / COUNTIF(_xlfn.XLOOKUP(C46, 'Course Stats'!A:A, 'Course Stats'!G:X), 4)</f>
        <v>2.2222222222222223</v>
      </c>
      <c r="AB46" s="39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3" t="s">
        <v>127</v>
      </c>
      <c r="B47" s="50">
        <v>45520</v>
      </c>
      <c r="C47" s="43" t="s">
        <v>46</v>
      </c>
      <c r="D47" s="43">
        <f>SUM('Putt Log'!$E47:$V47)</f>
        <v>36</v>
      </c>
      <c r="E47" s="43">
        <v>2</v>
      </c>
      <c r="F47" s="43">
        <v>2</v>
      </c>
      <c r="G47" s="43">
        <v>2</v>
      </c>
      <c r="H47" s="43">
        <v>2</v>
      </c>
      <c r="I47" s="43">
        <v>1</v>
      </c>
      <c r="J47" s="43">
        <v>2</v>
      </c>
      <c r="K47" s="43">
        <v>3</v>
      </c>
      <c r="L47" s="43">
        <v>2</v>
      </c>
      <c r="M47" s="43">
        <v>2</v>
      </c>
      <c r="N47" s="43">
        <v>0</v>
      </c>
      <c r="O47" s="43">
        <v>3</v>
      </c>
      <c r="P47" s="43">
        <v>3</v>
      </c>
      <c r="Q47" s="43">
        <v>2</v>
      </c>
      <c r="R47" s="43">
        <v>1</v>
      </c>
      <c r="S47" s="43">
        <v>3</v>
      </c>
      <c r="T47" s="43">
        <v>2</v>
      </c>
      <c r="U47" s="43">
        <v>2</v>
      </c>
      <c r="V47" s="43">
        <v>2</v>
      </c>
      <c r="W47" s="45">
        <v>36</v>
      </c>
      <c r="X47" s="45">
        <v>7</v>
      </c>
      <c r="Y47" s="45">
        <v>4</v>
      </c>
      <c r="Z47" s="49" cm="1">
        <f t="array" ref="Z47">SUMPRODUCT((_xlfn.XLOOKUP(C47, 'Course Stats'!A:A, 'Course Stats'!G:X)=3)*(E47:V47)) / COUNTIF(_xlfn.XLOOKUP(C47, 'Course Stats'!A:A, 'Course Stats'!G:X), 3)</f>
        <v>2</v>
      </c>
      <c r="AA47" s="49" cm="1">
        <f t="array" ref="AA47">SUMPRODUCT((_xlfn.XLOOKUP(C47, 'Course Stats'!A:A, 'Course Stats'!G:X)=4)*(E47:V47)) / COUNTIF(_xlfn.XLOOKUP(C47, 'Course Stats'!A:A, 'Course Stats'!G:X), 4)</f>
        <v>1.9090909090909092</v>
      </c>
      <c r="AB47" s="49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3" t="s">
        <v>127</v>
      </c>
      <c r="B48" s="50">
        <v>45492</v>
      </c>
      <c r="C48" s="43" t="s">
        <v>6</v>
      </c>
      <c r="D48" s="43">
        <f>SUM('Putt Log'!$E48:$V48)</f>
        <v>34</v>
      </c>
      <c r="E48" s="43">
        <v>2</v>
      </c>
      <c r="F48" s="43">
        <v>2</v>
      </c>
      <c r="G48" s="43">
        <v>3</v>
      </c>
      <c r="H48" s="43">
        <v>2</v>
      </c>
      <c r="I48" s="43">
        <v>2</v>
      </c>
      <c r="J48" s="43">
        <v>2</v>
      </c>
      <c r="K48" s="43">
        <v>3</v>
      </c>
      <c r="L48" s="43">
        <v>2</v>
      </c>
      <c r="M48" s="43">
        <v>2</v>
      </c>
      <c r="N48" s="43">
        <v>2</v>
      </c>
      <c r="O48" s="43">
        <v>2</v>
      </c>
      <c r="P48" s="43">
        <v>1</v>
      </c>
      <c r="Q48" s="43">
        <v>1</v>
      </c>
      <c r="R48" s="43">
        <v>1</v>
      </c>
      <c r="S48" s="43">
        <v>2</v>
      </c>
      <c r="T48" s="43">
        <v>1</v>
      </c>
      <c r="U48" s="43">
        <v>2</v>
      </c>
      <c r="V48" s="43">
        <v>2</v>
      </c>
      <c r="W48" s="45">
        <v>34</v>
      </c>
      <c r="X48" s="45">
        <v>7</v>
      </c>
      <c r="Y48" s="45">
        <v>1</v>
      </c>
      <c r="Z48" s="49" cm="1">
        <f t="array" ref="Z48">SUMPRODUCT((_xlfn.XLOOKUP(C48, 'Course Stats'!A:A, 'Course Stats'!G:X)=3)*(E48:V48)) / COUNTIF(_xlfn.XLOOKUP(C48, 'Course Stats'!A:A, 'Course Stats'!G:X), 3)</f>
        <v>2</v>
      </c>
      <c r="AA48" s="49" cm="1">
        <f t="array" ref="AA48">SUMPRODUCT((_xlfn.XLOOKUP(C48, 'Course Stats'!A:A, 'Course Stats'!G:X)=4)*(E48:V48)) / COUNTIF(_xlfn.XLOOKUP(C48, 'Course Stats'!A:A, 'Course Stats'!G:X), 4)</f>
        <v>1.8333333333333333</v>
      </c>
      <c r="AB48" s="49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3" t="s">
        <v>127</v>
      </c>
      <c r="B49" s="50">
        <v>45453</v>
      </c>
      <c r="C49" s="43" t="s">
        <v>11</v>
      </c>
      <c r="D49" s="43">
        <f>SUM('Putt Log'!$E49:$V49)</f>
        <v>35</v>
      </c>
      <c r="E49" s="43">
        <v>1</v>
      </c>
      <c r="F49" s="43">
        <v>2</v>
      </c>
      <c r="G49" s="43">
        <v>1</v>
      </c>
      <c r="H49" s="43">
        <v>3</v>
      </c>
      <c r="I49" s="43">
        <v>2</v>
      </c>
      <c r="J49" s="43">
        <v>2</v>
      </c>
      <c r="K49" s="43">
        <v>2</v>
      </c>
      <c r="L49" s="43">
        <v>3</v>
      </c>
      <c r="M49" s="43">
        <v>2</v>
      </c>
      <c r="N49" s="43">
        <v>2</v>
      </c>
      <c r="O49" s="43">
        <v>1</v>
      </c>
      <c r="P49" s="43">
        <v>2</v>
      </c>
      <c r="Q49" s="43">
        <v>2</v>
      </c>
      <c r="R49" s="43">
        <v>2</v>
      </c>
      <c r="S49" s="43">
        <v>2</v>
      </c>
      <c r="T49" s="43">
        <v>2</v>
      </c>
      <c r="U49" s="43">
        <v>2</v>
      </c>
      <c r="V49" s="43">
        <v>2</v>
      </c>
      <c r="W49" s="45">
        <v>35</v>
      </c>
      <c r="X49" s="45">
        <v>0</v>
      </c>
      <c r="Y49" s="45">
        <v>1</v>
      </c>
      <c r="Z49" s="49" cm="1">
        <f t="array" ref="Z49">SUMPRODUCT((_xlfn.XLOOKUP(C49, 'Course Stats'!A:A, 'Course Stats'!G:X)=3)*(E49:V49)) / COUNTIF(_xlfn.XLOOKUP(C49, 'Course Stats'!A:A, 'Course Stats'!G:X), 3)</f>
        <v>2</v>
      </c>
      <c r="AA49" s="49" cm="1">
        <f t="array" ref="AA49">SUMPRODUCT((_xlfn.XLOOKUP(C49, 'Course Stats'!A:A, 'Course Stats'!G:X)=4)*(E49:V49)) / COUNTIF(_xlfn.XLOOKUP(C49, 'Course Stats'!A:A, 'Course Stats'!G:X), 4)</f>
        <v>1.8888888888888888</v>
      </c>
      <c r="AB49" s="49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1" t="s">
        <v>130</v>
      </c>
      <c r="B50" s="58">
        <v>45156</v>
      </c>
      <c r="C50" s="51" t="s">
        <v>46</v>
      </c>
      <c r="D50" s="51">
        <f>SUM('Putt Log'!$E50:$V50)</f>
        <v>31</v>
      </c>
      <c r="E50" s="51">
        <v>1</v>
      </c>
      <c r="F50" s="51">
        <v>2</v>
      </c>
      <c r="G50" s="51">
        <v>2</v>
      </c>
      <c r="H50" s="51">
        <v>3</v>
      </c>
      <c r="I50" s="51">
        <v>1</v>
      </c>
      <c r="J50" s="51">
        <v>2</v>
      </c>
      <c r="K50" s="51">
        <v>2</v>
      </c>
      <c r="L50" s="51">
        <v>1</v>
      </c>
      <c r="M50" s="51">
        <v>1</v>
      </c>
      <c r="N50" s="51">
        <v>2</v>
      </c>
      <c r="O50" s="51">
        <v>2</v>
      </c>
      <c r="P50" s="51">
        <v>2</v>
      </c>
      <c r="Q50" s="51">
        <v>1</v>
      </c>
      <c r="R50" s="51">
        <v>2</v>
      </c>
      <c r="S50" s="51">
        <v>1</v>
      </c>
      <c r="T50" s="51">
        <v>1</v>
      </c>
      <c r="U50" s="51">
        <v>2</v>
      </c>
      <c r="V50" s="51">
        <v>3</v>
      </c>
      <c r="W50" s="53">
        <v>31</v>
      </c>
      <c r="X50" s="53"/>
      <c r="Y50" s="53"/>
      <c r="Z50" s="55" cm="1">
        <f t="array" ref="Z50">SUMPRODUCT((_xlfn.XLOOKUP(C50, 'Course Stats'!A:A, 'Course Stats'!G:X)=3)*(E50:V50)) / COUNTIF(_xlfn.XLOOKUP(C50, 'Course Stats'!A:A, 'Course Stats'!G:X), 3)</f>
        <v>1.75</v>
      </c>
      <c r="AA50" s="55" cm="1">
        <f t="array" ref="AA50">SUMPRODUCT((_xlfn.XLOOKUP(C50, 'Course Stats'!A:A, 'Course Stats'!G:X)=4)*(E50:V50)) / COUNTIF(_xlfn.XLOOKUP(C50, 'Course Stats'!A:A, 'Course Stats'!G:X), 4)</f>
        <v>1.8181818181818181</v>
      </c>
      <c r="AB50" s="55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1" t="s">
        <v>130</v>
      </c>
      <c r="B51" s="58">
        <v>45465</v>
      </c>
      <c r="C51" s="51" t="s">
        <v>12</v>
      </c>
      <c r="D51" s="51">
        <f>SUM('Putt Log'!$E51:$V51)</f>
        <v>34</v>
      </c>
      <c r="E51" s="51">
        <v>1</v>
      </c>
      <c r="F51" s="51">
        <v>1</v>
      </c>
      <c r="G51" s="51">
        <v>2</v>
      </c>
      <c r="H51" s="51">
        <v>2</v>
      </c>
      <c r="I51" s="51">
        <v>2</v>
      </c>
      <c r="J51" s="51">
        <v>2</v>
      </c>
      <c r="K51" s="51">
        <v>2</v>
      </c>
      <c r="L51" s="51">
        <v>2</v>
      </c>
      <c r="M51" s="51">
        <v>2</v>
      </c>
      <c r="N51" s="51">
        <v>2</v>
      </c>
      <c r="O51" s="51">
        <v>2</v>
      </c>
      <c r="P51" s="51">
        <v>2</v>
      </c>
      <c r="Q51" s="51">
        <v>2</v>
      </c>
      <c r="R51" s="51">
        <v>2</v>
      </c>
      <c r="S51" s="51">
        <v>1</v>
      </c>
      <c r="T51" s="51">
        <v>3</v>
      </c>
      <c r="U51" s="51">
        <v>2</v>
      </c>
      <c r="V51" s="51">
        <v>2</v>
      </c>
      <c r="W51" s="53">
        <v>34</v>
      </c>
      <c r="X51" s="53">
        <v>0</v>
      </c>
      <c r="Y51" s="53">
        <v>1</v>
      </c>
      <c r="Z51" s="55" cm="1">
        <f t="array" ref="Z51">SUMPRODUCT((_xlfn.XLOOKUP(C51, 'Course Stats'!A:A, 'Course Stats'!G:X)=3)*(E51:V51)) / COUNTIF(_xlfn.XLOOKUP(C51, 'Course Stats'!A:A, 'Course Stats'!G:X), 3)</f>
        <v>2</v>
      </c>
      <c r="AA51" s="55" cm="1">
        <f t="array" ref="AA51">SUMPRODUCT((_xlfn.XLOOKUP(C51, 'Course Stats'!A:A, 'Course Stats'!G:X)=4)*(E51:V51)) / COUNTIF(_xlfn.XLOOKUP(C51, 'Course Stats'!A:A, 'Course Stats'!G:X), 4)</f>
        <v>2</v>
      </c>
      <c r="AB51" s="55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1" t="s">
        <v>130</v>
      </c>
      <c r="B52" s="58">
        <v>45514</v>
      </c>
      <c r="C52" s="51" t="s">
        <v>6</v>
      </c>
      <c r="D52" s="51">
        <f>SUM('Putt Log'!$E52:$V52)</f>
        <v>28</v>
      </c>
      <c r="E52" s="51">
        <v>1</v>
      </c>
      <c r="F52" s="51">
        <v>1</v>
      </c>
      <c r="G52" s="51">
        <v>1</v>
      </c>
      <c r="H52" s="51">
        <v>1</v>
      </c>
      <c r="I52" s="51">
        <v>2</v>
      </c>
      <c r="J52" s="51">
        <v>2</v>
      </c>
      <c r="K52" s="51">
        <v>2</v>
      </c>
      <c r="L52" s="51">
        <v>1</v>
      </c>
      <c r="M52" s="51">
        <v>2</v>
      </c>
      <c r="N52" s="51">
        <v>2</v>
      </c>
      <c r="O52" s="51">
        <v>2</v>
      </c>
      <c r="P52" s="51">
        <v>2</v>
      </c>
      <c r="Q52" s="51">
        <v>2</v>
      </c>
      <c r="R52" s="51">
        <v>1</v>
      </c>
      <c r="S52" s="51">
        <v>2</v>
      </c>
      <c r="T52" s="51">
        <v>1</v>
      </c>
      <c r="U52" s="51">
        <v>1</v>
      </c>
      <c r="V52" s="51">
        <v>2</v>
      </c>
      <c r="W52" s="53">
        <v>28</v>
      </c>
      <c r="X52" s="53">
        <v>4</v>
      </c>
      <c r="Y52" s="53">
        <v>1</v>
      </c>
      <c r="Z52" s="55" cm="1">
        <f t="array" ref="Z52">SUMPRODUCT((_xlfn.XLOOKUP(C52, 'Course Stats'!A:A, 'Course Stats'!G:X)=3)*(E52:V52)) / COUNTIF(_xlfn.XLOOKUP(C52, 'Course Stats'!A:A, 'Course Stats'!G:X), 3)</f>
        <v>1.3333333333333333</v>
      </c>
      <c r="AA52" s="55" cm="1">
        <f t="array" ref="AA52">SUMPRODUCT((_xlfn.XLOOKUP(C52, 'Course Stats'!A:A, 'Course Stats'!G:X)=4)*(E52:V52)) / COUNTIF(_xlfn.XLOOKUP(C52, 'Course Stats'!A:A, 'Course Stats'!G:X), 4)</f>
        <v>1.75</v>
      </c>
      <c r="AB52" s="55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1" t="s">
        <v>130</v>
      </c>
      <c r="B53" s="58">
        <v>45892</v>
      </c>
      <c r="C53" s="51" t="s">
        <v>41</v>
      </c>
      <c r="D53" s="51">
        <f>SUM('Putt Log'!$E53:$V53)</f>
        <v>38</v>
      </c>
      <c r="E53" s="51">
        <v>2</v>
      </c>
      <c r="F53" s="51">
        <v>2</v>
      </c>
      <c r="G53" s="51">
        <v>2</v>
      </c>
      <c r="H53" s="51">
        <v>2</v>
      </c>
      <c r="I53" s="51">
        <v>1</v>
      </c>
      <c r="J53" s="51">
        <v>2</v>
      </c>
      <c r="K53" s="51">
        <v>2</v>
      </c>
      <c r="L53" s="51">
        <v>3</v>
      </c>
      <c r="M53" s="51">
        <v>2</v>
      </c>
      <c r="N53" s="51">
        <v>3</v>
      </c>
      <c r="O53" s="51">
        <v>2</v>
      </c>
      <c r="P53" s="51">
        <v>2</v>
      </c>
      <c r="Q53" s="51">
        <v>2</v>
      </c>
      <c r="R53" s="51">
        <v>2</v>
      </c>
      <c r="S53" s="51">
        <v>3</v>
      </c>
      <c r="T53" s="51">
        <v>2</v>
      </c>
      <c r="U53" s="51">
        <v>2</v>
      </c>
      <c r="V53" s="51">
        <v>2</v>
      </c>
      <c r="W53" s="53">
        <v>38</v>
      </c>
      <c r="X53" s="53">
        <v>8</v>
      </c>
      <c r="Y53" s="53">
        <v>6</v>
      </c>
      <c r="Z53" s="55" cm="1">
        <f t="array" ref="Z53">SUMPRODUCT((_xlfn.XLOOKUP(C53, 'Course Stats'!A:A, 'Course Stats'!G:X)=3)*(E53:V53)) / COUNTIF(_xlfn.XLOOKUP(C53, 'Course Stats'!A:A, 'Course Stats'!G:X), 3)</f>
        <v>2</v>
      </c>
      <c r="AA53" s="55" cm="1">
        <f t="array" ref="AA53">SUMPRODUCT((_xlfn.XLOOKUP(C53, 'Course Stats'!A:A, 'Course Stats'!G:X)=4)*(E53:V53)) / COUNTIF(_xlfn.XLOOKUP(C53, 'Course Stats'!A:A, 'Course Stats'!G:X), 4)</f>
        <v>2.2000000000000002</v>
      </c>
      <c r="AB53" s="55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1" t="s">
        <v>130</v>
      </c>
      <c r="B54" s="58">
        <v>45886</v>
      </c>
      <c r="C54" s="51" t="s">
        <v>41</v>
      </c>
      <c r="D54" s="51">
        <f>SUM('Putt Log'!$E54:$V54)</f>
        <v>39</v>
      </c>
      <c r="E54" s="51">
        <v>3</v>
      </c>
      <c r="F54" s="51">
        <v>3</v>
      </c>
      <c r="G54" s="51">
        <v>2</v>
      </c>
      <c r="H54" s="51">
        <v>3</v>
      </c>
      <c r="I54" s="51">
        <v>2</v>
      </c>
      <c r="J54" s="51">
        <v>2</v>
      </c>
      <c r="K54" s="51">
        <v>2</v>
      </c>
      <c r="L54" s="51">
        <v>2</v>
      </c>
      <c r="M54" s="51">
        <v>2</v>
      </c>
      <c r="N54" s="51">
        <v>2</v>
      </c>
      <c r="O54" s="51">
        <v>2</v>
      </c>
      <c r="P54" s="51">
        <v>1</v>
      </c>
      <c r="Q54" s="51">
        <v>2</v>
      </c>
      <c r="R54" s="51">
        <v>2</v>
      </c>
      <c r="S54" s="51">
        <v>2</v>
      </c>
      <c r="T54" s="51">
        <v>2</v>
      </c>
      <c r="U54" s="51">
        <v>3</v>
      </c>
      <c r="V54" s="51">
        <v>2</v>
      </c>
      <c r="W54" s="53">
        <v>39</v>
      </c>
      <c r="X54" s="53">
        <v>8</v>
      </c>
      <c r="Y54" s="53">
        <v>8</v>
      </c>
      <c r="Z54" s="55" cm="1">
        <f t="array" ref="Z54">SUMPRODUCT((_xlfn.XLOOKUP(C54, 'Course Stats'!A:A, 'Course Stats'!G:X)=3)*(E54:V54)) / COUNTIF(_xlfn.XLOOKUP(C54, 'Course Stats'!A:A, 'Course Stats'!G:X), 3)</f>
        <v>2</v>
      </c>
      <c r="AA54" s="55" cm="1">
        <f t="array" ref="AA54">SUMPRODUCT((_xlfn.XLOOKUP(C54, 'Course Stats'!A:A, 'Course Stats'!G:X)=4)*(E54:V54)) / COUNTIF(_xlfn.XLOOKUP(C54, 'Course Stats'!A:A, 'Course Stats'!G:X), 4)</f>
        <v>2.2000000000000002</v>
      </c>
      <c r="AB54" s="55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1" t="s">
        <v>130</v>
      </c>
      <c r="B55" s="58">
        <v>45897</v>
      </c>
      <c r="C55" s="51" t="s">
        <v>41</v>
      </c>
      <c r="D55" s="51">
        <f>SUM('Putt Log'!$E55:$V55)</f>
        <v>32</v>
      </c>
      <c r="E55" s="51">
        <v>2</v>
      </c>
      <c r="F55" s="51">
        <v>1</v>
      </c>
      <c r="G55" s="51">
        <v>2</v>
      </c>
      <c r="H55" s="51">
        <v>2</v>
      </c>
      <c r="I55" s="51">
        <v>2</v>
      </c>
      <c r="J55" s="51">
        <v>1</v>
      </c>
      <c r="K55" s="51">
        <v>1</v>
      </c>
      <c r="L55" s="51">
        <v>2</v>
      </c>
      <c r="M55" s="51">
        <v>2</v>
      </c>
      <c r="N55" s="51">
        <v>2</v>
      </c>
      <c r="O55" s="51">
        <v>2</v>
      </c>
      <c r="P55" s="51">
        <v>2</v>
      </c>
      <c r="Q55" s="51">
        <v>2</v>
      </c>
      <c r="R55" s="51">
        <v>1</v>
      </c>
      <c r="S55" s="51">
        <v>2</v>
      </c>
      <c r="T55" s="51">
        <v>2</v>
      </c>
      <c r="U55" s="51">
        <v>2</v>
      </c>
      <c r="V55" s="51">
        <v>2</v>
      </c>
      <c r="W55" s="53">
        <v>32</v>
      </c>
      <c r="X55" s="53">
        <v>5</v>
      </c>
      <c r="Y55" s="53">
        <v>0</v>
      </c>
      <c r="Z55" s="55" cm="1">
        <f t="array" ref="Z55">SUMPRODUCT((_xlfn.XLOOKUP(C55, 'Course Stats'!A:A, 'Course Stats'!G:X)=3)*(E55:V55)) / COUNTIF(_xlfn.XLOOKUP(C55, 'Course Stats'!A:A, 'Course Stats'!G:X), 3)</f>
        <v>1.75</v>
      </c>
      <c r="AA55" s="55" cm="1">
        <f t="array" ref="AA55">SUMPRODUCT((_xlfn.XLOOKUP(C55, 'Course Stats'!A:A, 'Course Stats'!G:X)=4)*(E55:V55)) / COUNTIF(_xlfn.XLOOKUP(C55, 'Course Stats'!A:A, 'Course Stats'!G:X), 4)</f>
        <v>1.7</v>
      </c>
      <c r="AB55" s="55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1" t="s">
        <v>130</v>
      </c>
      <c r="B56" s="58">
        <v>45829</v>
      </c>
      <c r="C56" s="51" t="s">
        <v>6</v>
      </c>
      <c r="D56" s="51">
        <f>SUM('Putt Log'!$E56:$V56)</f>
        <v>34</v>
      </c>
      <c r="E56" s="51">
        <v>2</v>
      </c>
      <c r="F56" s="51">
        <v>1</v>
      </c>
      <c r="G56" s="51">
        <v>2</v>
      </c>
      <c r="H56" s="51">
        <v>2</v>
      </c>
      <c r="I56" s="51">
        <v>2</v>
      </c>
      <c r="J56" s="51">
        <v>2</v>
      </c>
      <c r="K56" s="51">
        <v>2</v>
      </c>
      <c r="L56" s="51">
        <v>2</v>
      </c>
      <c r="M56" s="51">
        <v>2</v>
      </c>
      <c r="N56" s="51">
        <v>2</v>
      </c>
      <c r="O56" s="51">
        <v>2</v>
      </c>
      <c r="P56" s="51">
        <v>2</v>
      </c>
      <c r="Q56" s="51">
        <v>2</v>
      </c>
      <c r="R56" s="51">
        <v>1</v>
      </c>
      <c r="S56" s="51">
        <v>2</v>
      </c>
      <c r="T56" s="51">
        <v>2</v>
      </c>
      <c r="U56" s="51">
        <v>2</v>
      </c>
      <c r="V56" s="51">
        <v>2</v>
      </c>
      <c r="W56" s="53">
        <v>34</v>
      </c>
      <c r="X56" s="53">
        <v>1</v>
      </c>
      <c r="Y56" s="53">
        <v>6</v>
      </c>
      <c r="Z56" s="55" cm="1">
        <f t="array" ref="Z56">SUMPRODUCT((_xlfn.XLOOKUP(C56, 'Course Stats'!A:A, 'Course Stats'!G:X)=3)*(E56:V56)) / COUNTIF(_xlfn.XLOOKUP(C56, 'Course Stats'!A:A, 'Course Stats'!G:X), 3)</f>
        <v>1.6666666666666667</v>
      </c>
      <c r="AA56" s="55" cm="1">
        <f t="array" ref="AA56">SUMPRODUCT((_xlfn.XLOOKUP(C56, 'Course Stats'!A:A, 'Course Stats'!G:X)=4)*(E56:V56)) / COUNTIF(_xlfn.XLOOKUP(C56, 'Course Stats'!A:A, 'Course Stats'!G:X), 4)</f>
        <v>1.9166666666666667</v>
      </c>
      <c r="AB56" s="55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1" t="s">
        <v>130</v>
      </c>
      <c r="B57" s="58">
        <v>45857</v>
      </c>
      <c r="C57" s="51" t="s">
        <v>3</v>
      </c>
      <c r="D57" s="51">
        <f>SUM('Putt Log'!$E57:$V57)</f>
        <v>35</v>
      </c>
      <c r="E57" s="51">
        <v>2</v>
      </c>
      <c r="F57" s="51">
        <v>2</v>
      </c>
      <c r="G57" s="51">
        <v>2</v>
      </c>
      <c r="H57" s="51">
        <v>2</v>
      </c>
      <c r="I57" s="51">
        <v>2</v>
      </c>
      <c r="J57" s="51">
        <v>2</v>
      </c>
      <c r="K57" s="51">
        <v>2</v>
      </c>
      <c r="L57" s="51">
        <v>1</v>
      </c>
      <c r="M57" s="51">
        <v>2</v>
      </c>
      <c r="N57" s="51">
        <v>2</v>
      </c>
      <c r="O57" s="51">
        <v>2</v>
      </c>
      <c r="P57" s="51">
        <v>2</v>
      </c>
      <c r="Q57" s="51">
        <v>2</v>
      </c>
      <c r="R57" s="51">
        <v>2</v>
      </c>
      <c r="S57" s="51">
        <v>2</v>
      </c>
      <c r="T57" s="51">
        <v>1</v>
      </c>
      <c r="U57" s="51">
        <v>3</v>
      </c>
      <c r="V57" s="51">
        <v>2</v>
      </c>
      <c r="W57" s="53">
        <v>35</v>
      </c>
      <c r="X57" s="53">
        <v>6</v>
      </c>
      <c r="Y57" s="53">
        <v>8</v>
      </c>
      <c r="Z57" s="55" cm="1">
        <f t="array" ref="Z57">SUMPRODUCT((_xlfn.XLOOKUP(C57, 'Course Stats'!A:A, 'Course Stats'!G:X)=3)*(E57:V57)) / COUNTIF(_xlfn.XLOOKUP(C57, 'Course Stats'!A:A, 'Course Stats'!G:X), 3)</f>
        <v>2</v>
      </c>
      <c r="AA57" s="55" cm="1">
        <f t="array" ref="AA57">SUMPRODUCT((_xlfn.XLOOKUP(C57, 'Course Stats'!A:A, 'Course Stats'!G:X)=4)*(E57:V57)) / COUNTIF(_xlfn.XLOOKUP(C57, 'Course Stats'!A:A, 'Course Stats'!G:X), 4)</f>
        <v>1.9090909090909092</v>
      </c>
      <c r="AB57" s="55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1" t="s">
        <v>130</v>
      </c>
      <c r="B58" s="58">
        <v>45844</v>
      </c>
      <c r="C58" s="51" t="s">
        <v>3</v>
      </c>
      <c r="D58" s="51">
        <f>SUM('Putt Log'!$E58:$V58)</f>
        <v>31</v>
      </c>
      <c r="E58" s="51">
        <v>2</v>
      </c>
      <c r="F58" s="51">
        <v>2</v>
      </c>
      <c r="G58" s="51">
        <v>2</v>
      </c>
      <c r="H58" s="51">
        <v>2</v>
      </c>
      <c r="I58" s="51">
        <v>2</v>
      </c>
      <c r="J58" s="51">
        <v>1</v>
      </c>
      <c r="K58" s="51">
        <v>1</v>
      </c>
      <c r="L58" s="51">
        <v>1</v>
      </c>
      <c r="M58" s="51">
        <v>2</v>
      </c>
      <c r="N58" s="51">
        <v>1</v>
      </c>
      <c r="O58" s="51">
        <v>2</v>
      </c>
      <c r="P58" s="51">
        <v>2</v>
      </c>
      <c r="Q58" s="51">
        <v>2</v>
      </c>
      <c r="R58" s="51">
        <v>2</v>
      </c>
      <c r="S58" s="51">
        <v>1</v>
      </c>
      <c r="T58" s="51">
        <v>2</v>
      </c>
      <c r="U58" s="51">
        <v>2</v>
      </c>
      <c r="V58" s="51">
        <v>2</v>
      </c>
      <c r="W58" s="53">
        <v>31</v>
      </c>
      <c r="X58" s="53">
        <v>6</v>
      </c>
      <c r="Y58" s="53">
        <v>3</v>
      </c>
      <c r="Z58" s="55" cm="1">
        <f t="array" ref="Z58">SUMPRODUCT((_xlfn.XLOOKUP(C58, 'Course Stats'!A:A, 'Course Stats'!G:X)=3)*(E58:V58)) / COUNTIF(_xlfn.XLOOKUP(C58, 'Course Stats'!A:A, 'Course Stats'!G:X), 3)</f>
        <v>1.5</v>
      </c>
      <c r="AA58" s="55" cm="1">
        <f t="array" ref="AA58">SUMPRODUCT((_xlfn.XLOOKUP(C58, 'Course Stats'!A:A, 'Course Stats'!G:X)=4)*(E58:V58)) / COUNTIF(_xlfn.XLOOKUP(C58, 'Course Stats'!A:A, 'Course Stats'!G:X), 4)</f>
        <v>1.8181818181818181</v>
      </c>
      <c r="AB58" s="55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1" t="s">
        <v>130</v>
      </c>
      <c r="B59" s="58">
        <v>45653</v>
      </c>
      <c r="C59" s="51" t="s">
        <v>2</v>
      </c>
      <c r="D59" s="51">
        <f>SUM('Putt Log'!$E59:$V59)</f>
        <v>36</v>
      </c>
      <c r="E59" s="51">
        <v>2</v>
      </c>
      <c r="F59" s="51">
        <v>2</v>
      </c>
      <c r="G59" s="51">
        <v>2</v>
      </c>
      <c r="H59" s="51">
        <v>2</v>
      </c>
      <c r="I59" s="51">
        <v>2</v>
      </c>
      <c r="J59" s="51">
        <v>2</v>
      </c>
      <c r="K59" s="51">
        <v>2</v>
      </c>
      <c r="L59" s="51">
        <v>2</v>
      </c>
      <c r="M59" s="51">
        <v>2</v>
      </c>
      <c r="N59" s="51">
        <v>2</v>
      </c>
      <c r="O59" s="51">
        <v>2</v>
      </c>
      <c r="P59" s="51">
        <v>2</v>
      </c>
      <c r="Q59" s="51">
        <v>2</v>
      </c>
      <c r="R59" s="51">
        <v>2</v>
      </c>
      <c r="S59" s="51">
        <v>2</v>
      </c>
      <c r="T59" s="51">
        <v>2</v>
      </c>
      <c r="U59" s="51">
        <v>2</v>
      </c>
      <c r="V59" s="51">
        <v>2</v>
      </c>
      <c r="W59" s="53">
        <v>36</v>
      </c>
      <c r="X59" s="53">
        <v>3</v>
      </c>
      <c r="Y59" s="53">
        <v>2</v>
      </c>
      <c r="Z59" s="55" cm="1">
        <f t="array" ref="Z59">SUMPRODUCT((_xlfn.XLOOKUP(C59, 'Course Stats'!A:A, 'Course Stats'!G:X)=3)*(E59:V59)) / COUNTIF(_xlfn.XLOOKUP(C59, 'Course Stats'!A:A, 'Course Stats'!G:X), 3)</f>
        <v>2</v>
      </c>
      <c r="AA59" s="55" cm="1">
        <f t="array" ref="AA59">SUMPRODUCT((_xlfn.XLOOKUP(C59, 'Course Stats'!A:A, 'Course Stats'!G:X)=4)*(E59:V59)) / COUNTIF(_xlfn.XLOOKUP(C59, 'Course Stats'!A:A, 'Course Stats'!G:X), 4)</f>
        <v>2</v>
      </c>
      <c r="AB59" s="55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1" t="s">
        <v>130</v>
      </c>
      <c r="B60" s="58">
        <v>45655</v>
      </c>
      <c r="C60" s="51" t="s">
        <v>4</v>
      </c>
      <c r="D60" s="51">
        <f>SUM('Putt Log'!$E60:$V60)</f>
        <v>36</v>
      </c>
      <c r="E60" s="51">
        <v>2</v>
      </c>
      <c r="F60" s="51">
        <v>3</v>
      </c>
      <c r="G60" s="51">
        <v>1</v>
      </c>
      <c r="H60" s="51">
        <v>1</v>
      </c>
      <c r="I60" s="51">
        <v>2</v>
      </c>
      <c r="J60" s="51">
        <v>2</v>
      </c>
      <c r="K60" s="51">
        <v>2</v>
      </c>
      <c r="L60" s="51">
        <v>2</v>
      </c>
      <c r="M60" s="51">
        <v>1</v>
      </c>
      <c r="N60" s="51">
        <v>3</v>
      </c>
      <c r="O60" s="51">
        <v>3</v>
      </c>
      <c r="P60" s="51">
        <v>2</v>
      </c>
      <c r="Q60" s="51">
        <v>2</v>
      </c>
      <c r="R60" s="51">
        <v>2</v>
      </c>
      <c r="S60" s="51">
        <v>2</v>
      </c>
      <c r="T60" s="51">
        <v>2</v>
      </c>
      <c r="U60" s="51">
        <v>2</v>
      </c>
      <c r="V60" s="51">
        <v>2</v>
      </c>
      <c r="W60" s="53">
        <v>36</v>
      </c>
      <c r="X60" s="53">
        <v>3</v>
      </c>
      <c r="Y60" s="53">
        <v>4</v>
      </c>
      <c r="Z60" s="55" cm="1">
        <f t="array" ref="Z60">SUMPRODUCT((_xlfn.XLOOKUP(C60, 'Course Stats'!A:A, 'Course Stats'!G:X)=3)*(E60:V60)) / COUNTIF(_xlfn.XLOOKUP(C60, 'Course Stats'!A:A, 'Course Stats'!G:X), 3)</f>
        <v>1.75</v>
      </c>
      <c r="AA60" s="55" cm="1">
        <f t="array" ref="AA60">SUMPRODUCT((_xlfn.XLOOKUP(C60, 'Course Stats'!A:A, 'Course Stats'!G:X)=4)*(E60:V60)) / COUNTIF(_xlfn.XLOOKUP(C60, 'Course Stats'!A:A, 'Course Stats'!G:X), 4)</f>
        <v>2</v>
      </c>
      <c r="AB60" s="55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1" t="s">
        <v>130</v>
      </c>
      <c r="B61" s="58">
        <v>45649</v>
      </c>
      <c r="C61" s="51" t="s">
        <v>14</v>
      </c>
      <c r="D61" s="51">
        <f>SUM('Putt Log'!$E61:$V61)</f>
        <v>37</v>
      </c>
      <c r="E61" s="51">
        <v>2</v>
      </c>
      <c r="F61" s="51">
        <v>2</v>
      </c>
      <c r="G61" s="51">
        <v>1</v>
      </c>
      <c r="H61" s="51">
        <v>2</v>
      </c>
      <c r="I61" s="51">
        <v>2</v>
      </c>
      <c r="J61" s="51">
        <v>2</v>
      </c>
      <c r="K61" s="51">
        <v>2</v>
      </c>
      <c r="L61" s="51">
        <v>2</v>
      </c>
      <c r="M61" s="51">
        <v>2</v>
      </c>
      <c r="N61" s="51">
        <v>2</v>
      </c>
      <c r="O61" s="51">
        <v>2</v>
      </c>
      <c r="P61" s="51">
        <v>2</v>
      </c>
      <c r="Q61" s="51">
        <v>3</v>
      </c>
      <c r="R61" s="51">
        <v>3</v>
      </c>
      <c r="S61" s="51">
        <v>2</v>
      </c>
      <c r="T61" s="51">
        <v>2</v>
      </c>
      <c r="U61" s="51">
        <v>2</v>
      </c>
      <c r="V61" s="51">
        <v>2</v>
      </c>
      <c r="W61" s="53">
        <v>37</v>
      </c>
      <c r="X61" s="53">
        <v>3</v>
      </c>
      <c r="Y61" s="53">
        <v>3</v>
      </c>
      <c r="Z61" s="55" cm="1">
        <f t="array" ref="Z61">SUMPRODUCT((_xlfn.XLOOKUP(C61, 'Course Stats'!A:A, 'Course Stats'!G:X)=3)*(E61:V61)) / COUNTIF(_xlfn.XLOOKUP(C61, 'Course Stats'!A:A, 'Course Stats'!G:X), 3)</f>
        <v>2</v>
      </c>
      <c r="AA61" s="55" cm="1">
        <f t="array" ref="AA61">SUMPRODUCT((_xlfn.XLOOKUP(C61, 'Course Stats'!A:A, 'Course Stats'!G:X)=4)*(E61:V61)) / COUNTIF(_xlfn.XLOOKUP(C61, 'Course Stats'!A:A, 'Course Stats'!G:X), 4)</f>
        <v>2.0909090909090908</v>
      </c>
      <c r="AB61" s="55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1" t="s">
        <v>130</v>
      </c>
      <c r="B62" s="58">
        <v>45570</v>
      </c>
      <c r="C62" s="51" t="s">
        <v>3</v>
      </c>
      <c r="D62" s="51">
        <f>SUM('Putt Log'!$E62:$V62)</f>
        <v>38</v>
      </c>
      <c r="E62" s="51">
        <v>2</v>
      </c>
      <c r="F62" s="51">
        <v>2</v>
      </c>
      <c r="G62" s="51">
        <v>3</v>
      </c>
      <c r="H62" s="51">
        <v>2</v>
      </c>
      <c r="I62" s="51">
        <v>2</v>
      </c>
      <c r="J62" s="51">
        <v>2</v>
      </c>
      <c r="K62" s="51">
        <v>3</v>
      </c>
      <c r="L62" s="51">
        <v>2</v>
      </c>
      <c r="M62" s="51">
        <v>3</v>
      </c>
      <c r="N62" s="51">
        <v>1</v>
      </c>
      <c r="O62" s="51">
        <v>2</v>
      </c>
      <c r="P62" s="51">
        <v>3</v>
      </c>
      <c r="Q62" s="51">
        <v>2</v>
      </c>
      <c r="R62" s="51">
        <v>1</v>
      </c>
      <c r="S62" s="51">
        <v>3</v>
      </c>
      <c r="T62" s="51">
        <v>2</v>
      </c>
      <c r="U62" s="51">
        <v>1</v>
      </c>
      <c r="V62" s="51">
        <v>2</v>
      </c>
      <c r="W62" s="53">
        <v>38</v>
      </c>
      <c r="X62" s="53">
        <v>2</v>
      </c>
      <c r="Y62" s="53">
        <v>6</v>
      </c>
      <c r="Z62" s="55" cm="1">
        <f t="array" ref="Z62">SUMPRODUCT((_xlfn.XLOOKUP(C62, 'Course Stats'!A:A, 'Course Stats'!G:X)=3)*(E62:V62)) / COUNTIF(_xlfn.XLOOKUP(C62, 'Course Stats'!A:A, 'Course Stats'!G:X), 3)</f>
        <v>2.5</v>
      </c>
      <c r="AA62" s="55" cm="1">
        <f t="array" ref="AA62">SUMPRODUCT((_xlfn.XLOOKUP(C62, 'Course Stats'!A:A, 'Course Stats'!G:X)=4)*(E62:V62)) / COUNTIF(_xlfn.XLOOKUP(C62, 'Course Stats'!A:A, 'Course Stats'!G:X), 4)</f>
        <v>1.8181818181818181</v>
      </c>
      <c r="AB62" s="55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1" t="s">
        <v>130</v>
      </c>
      <c r="B63" s="58">
        <v>45535</v>
      </c>
      <c r="C63" s="51" t="s">
        <v>9</v>
      </c>
      <c r="D63" s="51">
        <f>SUM('Putt Log'!$E63:$V63)</f>
        <v>36</v>
      </c>
      <c r="E63" s="51">
        <v>2</v>
      </c>
      <c r="F63" s="51">
        <v>2</v>
      </c>
      <c r="G63" s="51">
        <v>2</v>
      </c>
      <c r="H63" s="51">
        <v>2</v>
      </c>
      <c r="I63" s="51">
        <v>2</v>
      </c>
      <c r="J63" s="51">
        <v>2</v>
      </c>
      <c r="K63" s="51">
        <v>2</v>
      </c>
      <c r="L63" s="51">
        <v>2</v>
      </c>
      <c r="M63" s="51">
        <v>2</v>
      </c>
      <c r="N63" s="51">
        <v>2</v>
      </c>
      <c r="O63" s="51">
        <v>2</v>
      </c>
      <c r="P63" s="51">
        <v>2</v>
      </c>
      <c r="Q63" s="51">
        <v>2</v>
      </c>
      <c r="R63" s="51">
        <v>2</v>
      </c>
      <c r="S63" s="51">
        <v>2</v>
      </c>
      <c r="T63" s="51">
        <v>2</v>
      </c>
      <c r="U63" s="51">
        <v>2</v>
      </c>
      <c r="V63" s="51">
        <v>2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2</v>
      </c>
      <c r="AA63" s="55" cm="1">
        <f t="array" ref="AA63">SUMPRODUCT((_xlfn.XLOOKUP(C63, 'Course Stats'!A:A, 'Course Stats'!G:X)=4)*(E63:V63)) / COUNTIF(_xlfn.XLOOKUP(C63, 'Course Stats'!A:A, 'Course Stats'!G:X), 4)</f>
        <v>2</v>
      </c>
      <c r="AB63" s="55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1" t="s">
        <v>130</v>
      </c>
      <c r="B64" s="58">
        <v>45487</v>
      </c>
      <c r="C64" s="51" t="s">
        <v>3</v>
      </c>
      <c r="D64" s="51">
        <f>SUM('Putt Log'!$E64:$V64)</f>
        <v>34</v>
      </c>
      <c r="E64" s="51">
        <v>2</v>
      </c>
      <c r="F64" s="51">
        <v>2</v>
      </c>
      <c r="G64" s="51">
        <v>2</v>
      </c>
      <c r="H64" s="51">
        <v>1</v>
      </c>
      <c r="I64" s="51">
        <v>2</v>
      </c>
      <c r="J64" s="51">
        <v>2</v>
      </c>
      <c r="K64" s="51">
        <v>2</v>
      </c>
      <c r="L64" s="51">
        <v>3</v>
      </c>
      <c r="M64" s="51">
        <v>2</v>
      </c>
      <c r="N64" s="51">
        <v>2</v>
      </c>
      <c r="O64" s="51">
        <v>2</v>
      </c>
      <c r="P64" s="51">
        <v>2</v>
      </c>
      <c r="Q64" s="51">
        <v>2</v>
      </c>
      <c r="R64" s="51">
        <v>1</v>
      </c>
      <c r="S64" s="51">
        <v>1</v>
      </c>
      <c r="T64" s="51">
        <v>2</v>
      </c>
      <c r="U64" s="51">
        <v>2</v>
      </c>
      <c r="V64" s="51">
        <v>2</v>
      </c>
      <c r="W64" s="53">
        <v>34</v>
      </c>
      <c r="X64" s="53">
        <v>2</v>
      </c>
      <c r="Y64" s="53">
        <v>2</v>
      </c>
      <c r="Z64" s="55" cm="1">
        <f t="array" ref="Z64">SUMPRODUCT((_xlfn.XLOOKUP(C64, 'Course Stats'!A:A, 'Course Stats'!G:X)=3)*(E64:V64)) / COUNTIF(_xlfn.XLOOKUP(C64, 'Course Stats'!A:A, 'Course Stats'!G:X), 3)</f>
        <v>1.75</v>
      </c>
      <c r="AA64" s="55" cm="1">
        <f t="array" ref="AA64">SUMPRODUCT((_xlfn.XLOOKUP(C64, 'Course Stats'!A:A, 'Course Stats'!G:X)=4)*(E64:V64)) / COUNTIF(_xlfn.XLOOKUP(C64, 'Course Stats'!A:A, 'Course Stats'!G:X), 4)</f>
        <v>1.9090909090909092</v>
      </c>
      <c r="AB64" s="55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1" t="s">
        <v>130</v>
      </c>
      <c r="B65" s="58">
        <v>45172</v>
      </c>
      <c r="C65" s="51" t="s">
        <v>3</v>
      </c>
      <c r="D65" s="51">
        <f>SUM('Putt Log'!$E65:$V65)</f>
        <v>32</v>
      </c>
      <c r="E65" s="51">
        <v>2</v>
      </c>
      <c r="F65" s="51">
        <v>1</v>
      </c>
      <c r="G65" s="51">
        <v>3</v>
      </c>
      <c r="H65" s="51">
        <v>2</v>
      </c>
      <c r="I65" s="51">
        <v>2</v>
      </c>
      <c r="J65" s="51">
        <v>2</v>
      </c>
      <c r="K65" s="51">
        <v>2</v>
      </c>
      <c r="L65" s="51">
        <v>2</v>
      </c>
      <c r="M65" s="51">
        <v>2</v>
      </c>
      <c r="N65" s="51">
        <v>2</v>
      </c>
      <c r="O65" s="51">
        <v>2</v>
      </c>
      <c r="P65" s="51">
        <v>1</v>
      </c>
      <c r="Q65" s="51">
        <v>1</v>
      </c>
      <c r="R65" s="51">
        <v>2</v>
      </c>
      <c r="S65" s="51">
        <v>1</v>
      </c>
      <c r="T65" s="51">
        <v>1</v>
      </c>
      <c r="U65" s="51">
        <v>2</v>
      </c>
      <c r="V65" s="51">
        <v>2</v>
      </c>
      <c r="W65" s="53">
        <v>32</v>
      </c>
      <c r="X65" s="53">
        <v>5</v>
      </c>
      <c r="Y65" s="53">
        <v>5</v>
      </c>
      <c r="Z65" s="55" cm="1">
        <f t="array" ref="Z65">SUMPRODUCT((_xlfn.XLOOKUP(C65, 'Course Stats'!A:A, 'Course Stats'!G:X)=3)*(E65:V65)) / COUNTIF(_xlfn.XLOOKUP(C65, 'Course Stats'!A:A, 'Course Stats'!G:X), 3)</f>
        <v>2</v>
      </c>
      <c r="AA65" s="55" cm="1">
        <f t="array" ref="AA65">SUMPRODUCT((_xlfn.XLOOKUP(C65, 'Course Stats'!A:A, 'Course Stats'!G:X)=4)*(E65:V65)) / COUNTIF(_xlfn.XLOOKUP(C65, 'Course Stats'!A:A, 'Course Stats'!G:X), 4)</f>
        <v>1.7272727272727273</v>
      </c>
      <c r="AB65" s="55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8" t="s">
        <v>126</v>
      </c>
      <c r="B66" s="75">
        <v>45941</v>
      </c>
      <c r="C66" s="68" t="s">
        <v>12</v>
      </c>
      <c r="D66" s="68">
        <f>SUM('Putt Log'!$E66:$V66)</f>
        <v>30</v>
      </c>
      <c r="E66" s="68">
        <v>2</v>
      </c>
      <c r="F66" s="68">
        <v>2</v>
      </c>
      <c r="G66" s="68">
        <v>2</v>
      </c>
      <c r="H66" s="68">
        <v>2</v>
      </c>
      <c r="I66" s="68">
        <v>1</v>
      </c>
      <c r="J66" s="68">
        <v>1</v>
      </c>
      <c r="K66" s="68">
        <v>1</v>
      </c>
      <c r="L66" s="68">
        <v>1</v>
      </c>
      <c r="M66" s="68">
        <v>2</v>
      </c>
      <c r="N66" s="68">
        <v>1</v>
      </c>
      <c r="O66" s="68">
        <v>1</v>
      </c>
      <c r="P66" s="68">
        <v>2</v>
      </c>
      <c r="Q66" s="68">
        <v>3</v>
      </c>
      <c r="R66" s="68">
        <v>2</v>
      </c>
      <c r="S66" s="68">
        <v>2</v>
      </c>
      <c r="T66" s="68">
        <v>1</v>
      </c>
      <c r="U66" s="68">
        <v>2</v>
      </c>
      <c r="V66" s="68">
        <v>2</v>
      </c>
      <c r="W66" s="70">
        <v>30</v>
      </c>
      <c r="X66" s="70">
        <v>3</v>
      </c>
      <c r="Y66" s="70">
        <v>1</v>
      </c>
      <c r="Z66" s="74" cm="1">
        <f t="array" ref="Z66">SUMPRODUCT((_xlfn.XLOOKUP(C66, 'Course Stats'!A:A, 'Course Stats'!G:X)=3)*(E66:V66)) / COUNTIF(_xlfn.XLOOKUP(C66, 'Course Stats'!A:A, 'Course Stats'!G:X), 3)</f>
        <v>1.5</v>
      </c>
      <c r="AA66" s="74" cm="1">
        <f t="array" ref="AA66">SUMPRODUCT((_xlfn.XLOOKUP(C66, 'Course Stats'!A:A, 'Course Stats'!G:X)=4)*(E66:V66)) / COUNTIF(_xlfn.XLOOKUP(C66, 'Course Stats'!A:A, 'Course Stats'!G:X), 4)</f>
        <v>1.8</v>
      </c>
      <c r="AB66" s="74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8" t="s">
        <v>130</v>
      </c>
      <c r="B67" s="75">
        <v>45941</v>
      </c>
      <c r="C67" s="68" t="s">
        <v>12</v>
      </c>
      <c r="D67" s="68">
        <f>SUM('Putt Log'!$E67:$V67)</f>
        <v>33</v>
      </c>
      <c r="E67" s="68">
        <v>2</v>
      </c>
      <c r="F67" s="68">
        <v>2</v>
      </c>
      <c r="G67" s="68">
        <v>2</v>
      </c>
      <c r="H67" s="68">
        <v>1</v>
      </c>
      <c r="I67" s="68">
        <v>2</v>
      </c>
      <c r="J67" s="68">
        <v>3</v>
      </c>
      <c r="K67" s="68">
        <v>2</v>
      </c>
      <c r="L67" s="68">
        <v>1</v>
      </c>
      <c r="M67" s="68">
        <v>3</v>
      </c>
      <c r="N67" s="68">
        <v>2</v>
      </c>
      <c r="O67" s="68">
        <v>1</v>
      </c>
      <c r="P67" s="68">
        <v>2</v>
      </c>
      <c r="Q67" s="68">
        <v>1</v>
      </c>
      <c r="R67" s="68">
        <v>1</v>
      </c>
      <c r="S67" s="68">
        <v>2</v>
      </c>
      <c r="T67" s="68">
        <v>2</v>
      </c>
      <c r="U67" s="68">
        <v>2</v>
      </c>
      <c r="V67" s="68">
        <v>2</v>
      </c>
      <c r="W67" s="70">
        <v>33</v>
      </c>
      <c r="X67" s="70">
        <v>7</v>
      </c>
      <c r="Y67" s="70">
        <v>1</v>
      </c>
      <c r="Z67" s="74" cm="1">
        <f t="array" ref="Z67">SUMPRODUCT((_xlfn.XLOOKUP(C67, 'Course Stats'!A:A, 'Course Stats'!G:X)=3)*(E67:V67)) / COUNTIF(_xlfn.XLOOKUP(C67, 'Course Stats'!A:A, 'Course Stats'!G:X), 3)</f>
        <v>1.75</v>
      </c>
      <c r="AA67" s="74" cm="1">
        <f t="array" ref="AA67">SUMPRODUCT((_xlfn.XLOOKUP(C67, 'Course Stats'!A:A, 'Course Stats'!G:X)=4)*(E67:V67)) / COUNTIF(_xlfn.XLOOKUP(C67, 'Course Stats'!A:A, 'Course Stats'!G:X), 4)</f>
        <v>1.8</v>
      </c>
      <c r="AB67" s="74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8" t="s">
        <v>130</v>
      </c>
      <c r="B68" s="83">
        <v>45143</v>
      </c>
      <c r="C68" s="78" t="s">
        <v>9</v>
      </c>
      <c r="D68" s="68">
        <f>SUM('Putt Log'!$E68:$V68)</f>
        <v>38</v>
      </c>
      <c r="E68" s="78">
        <v>3</v>
      </c>
      <c r="F68" s="78">
        <v>3</v>
      </c>
      <c r="G68" s="78">
        <v>2</v>
      </c>
      <c r="H68" s="78">
        <v>1</v>
      </c>
      <c r="I68" s="78">
        <v>3</v>
      </c>
      <c r="J68" s="78">
        <v>2</v>
      </c>
      <c r="K68" s="78">
        <v>2</v>
      </c>
      <c r="L68" s="78">
        <v>2</v>
      </c>
      <c r="M68" s="78">
        <v>2</v>
      </c>
      <c r="N68" s="78">
        <v>2</v>
      </c>
      <c r="O68" s="78">
        <v>2</v>
      </c>
      <c r="P68" s="78">
        <v>2</v>
      </c>
      <c r="Q68" s="78">
        <v>2</v>
      </c>
      <c r="R68" s="78">
        <v>2</v>
      </c>
      <c r="S68" s="78">
        <v>2</v>
      </c>
      <c r="T68" s="78">
        <v>2</v>
      </c>
      <c r="U68" s="78">
        <v>2</v>
      </c>
      <c r="V68" s="78">
        <v>2</v>
      </c>
      <c r="W68" s="80">
        <v>38</v>
      </c>
      <c r="X68" s="80">
        <v>8</v>
      </c>
      <c r="Y68" s="80">
        <v>4</v>
      </c>
      <c r="Z68" s="84" cm="1">
        <f t="array" ref="Z68">SUMPRODUCT((_xlfn.XLOOKUP(C68, 'Course Stats'!A:A, 'Course Stats'!G:X)=3)*(E68:V68)) / COUNTIF(_xlfn.XLOOKUP(C68, 'Course Stats'!A:A, 'Course Stats'!G:X), 3)</f>
        <v>1.75</v>
      </c>
      <c r="AA68" s="84" cm="1">
        <f t="array" ref="AA68">SUMPRODUCT((_xlfn.XLOOKUP(C68, 'Course Stats'!A:A, 'Course Stats'!G:X)=4)*(E68:V68)) / COUNTIF(_xlfn.XLOOKUP(C68, 'Course Stats'!A:A, 'Course Stats'!G:X), 4)</f>
        <v>2.2727272727272729</v>
      </c>
      <c r="AB68" s="84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8" t="s">
        <v>130</v>
      </c>
      <c r="B69" s="83">
        <v>45136</v>
      </c>
      <c r="C69" s="78" t="s">
        <v>5</v>
      </c>
      <c r="D69" s="68">
        <f>SUM('Putt Log'!$E69:$V69)</f>
        <v>34</v>
      </c>
      <c r="E69" s="78">
        <v>2</v>
      </c>
      <c r="F69" s="78">
        <v>2</v>
      </c>
      <c r="G69" s="78">
        <v>1</v>
      </c>
      <c r="H69" s="78">
        <v>2</v>
      </c>
      <c r="I69" s="78">
        <v>2</v>
      </c>
      <c r="J69" s="78">
        <v>2</v>
      </c>
      <c r="K69" s="78">
        <v>2</v>
      </c>
      <c r="L69" s="78">
        <v>2</v>
      </c>
      <c r="M69" s="78">
        <v>2</v>
      </c>
      <c r="N69" s="78">
        <v>1</v>
      </c>
      <c r="O69" s="78">
        <v>2</v>
      </c>
      <c r="P69" s="78">
        <v>2</v>
      </c>
      <c r="Q69" s="78">
        <v>2</v>
      </c>
      <c r="R69" s="78">
        <v>2</v>
      </c>
      <c r="S69" s="78">
        <v>2</v>
      </c>
      <c r="T69" s="78">
        <v>2</v>
      </c>
      <c r="U69" s="78">
        <v>2</v>
      </c>
      <c r="V69" s="78">
        <v>2</v>
      </c>
      <c r="W69" s="80">
        <v>34</v>
      </c>
      <c r="X69" s="80">
        <v>4</v>
      </c>
      <c r="Y69" s="80">
        <v>6</v>
      </c>
      <c r="Z69" s="84" cm="1">
        <f t="array" ref="Z69">SUMPRODUCT((_xlfn.XLOOKUP(C69, 'Course Stats'!A:A, 'Course Stats'!G:X)=3)*(E69:V69)) / COUNTIF(_xlfn.XLOOKUP(C69, 'Course Stats'!A:A, 'Course Stats'!G:X), 3)</f>
        <v>1.75</v>
      </c>
      <c r="AA69" s="84" cm="1">
        <f t="array" ref="AA69">SUMPRODUCT((_xlfn.XLOOKUP(C69, 'Course Stats'!A:A, 'Course Stats'!G:X)=4)*(E69:V69)) / COUNTIF(_xlfn.XLOOKUP(C69, 'Course Stats'!A:A, 'Course Stats'!G:X), 4)</f>
        <v>1.9</v>
      </c>
      <c r="AB69" s="84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2" t="s">
        <v>126</v>
      </c>
      <c r="B70" s="105">
        <v>46160</v>
      </c>
      <c r="C70" s="93" t="s">
        <v>5</v>
      </c>
      <c r="D70" s="93">
        <f>SUM('Putt Log'!$E70:$V70)</f>
        <v>34</v>
      </c>
      <c r="E70" s="93">
        <v>1</v>
      </c>
      <c r="F70" s="93">
        <v>2</v>
      </c>
      <c r="G70" s="93">
        <v>2</v>
      </c>
      <c r="H70" s="93">
        <v>3</v>
      </c>
      <c r="I70" s="93">
        <v>2</v>
      </c>
      <c r="J70" s="93">
        <v>2</v>
      </c>
      <c r="K70" s="93">
        <v>2</v>
      </c>
      <c r="L70" s="93">
        <v>2</v>
      </c>
      <c r="M70" s="93">
        <v>2</v>
      </c>
      <c r="N70" s="93">
        <v>2</v>
      </c>
      <c r="O70" s="93">
        <v>1</v>
      </c>
      <c r="P70" s="93">
        <v>2</v>
      </c>
      <c r="Q70" s="93">
        <v>2</v>
      </c>
      <c r="R70" s="93">
        <v>1</v>
      </c>
      <c r="S70" s="93">
        <v>2</v>
      </c>
      <c r="T70" s="93">
        <v>2</v>
      </c>
      <c r="U70" s="93">
        <v>2</v>
      </c>
      <c r="V70" s="93">
        <v>2</v>
      </c>
      <c r="W70" s="95">
        <v>34</v>
      </c>
      <c r="X70" s="95">
        <v>5</v>
      </c>
      <c r="Y70" s="95">
        <v>8</v>
      </c>
      <c r="Z70" s="106" cm="1">
        <f t="array" ref="Z70">SUMPRODUCT((_xlfn.XLOOKUP(C70, 'Course Stats'!A:A, 'Course Stats'!G:X)=3)*(E70:V70)) / COUNTIF(_xlfn.XLOOKUP(C70, 'Course Stats'!A:A, 'Course Stats'!G:X), 3)</f>
        <v>1.75</v>
      </c>
      <c r="AA70" s="106" cm="1">
        <f t="array" ref="AA70">SUMPRODUCT((_xlfn.XLOOKUP(C70, 'Course Stats'!A:A, 'Course Stats'!G:X)=4)*(E70:V70)) / COUNTIF(_xlfn.XLOOKUP(C70, 'Course Stats'!A:A, 'Course Stats'!G:X), 4)</f>
        <v>1.8</v>
      </c>
      <c r="AB70" s="106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78"/>
      <c r="B71" s="83"/>
      <c r="C71" s="78"/>
      <c r="D71" s="6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80"/>
      <c r="X71" s="80"/>
      <c r="Y71" s="80"/>
      <c r="Z71" s="84"/>
      <c r="AA71" s="84"/>
      <c r="AB71" s="84"/>
    </row>
    <row r="72" spans="1:28" x14ac:dyDescent="0.25">
      <c r="A72" s="78"/>
      <c r="B72" s="83"/>
      <c r="C72" s="78"/>
      <c r="D72" s="6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80"/>
      <c r="X72" s="80"/>
      <c r="Y72" s="80"/>
      <c r="Z72" s="84"/>
      <c r="AA72" s="84"/>
      <c r="AB72" s="84"/>
    </row>
    <row r="73" spans="1:28" x14ac:dyDescent="0.25">
      <c r="A73" s="78"/>
      <c r="B73" s="83"/>
      <c r="C73" s="78"/>
      <c r="D73" s="6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80"/>
      <c r="X73" s="80"/>
      <c r="Y73" s="80"/>
      <c r="Z73" s="84"/>
      <c r="AA73" s="84"/>
      <c r="AB73" s="84"/>
    </row>
    <row r="74" spans="1:28" x14ac:dyDescent="0.25">
      <c r="A74" s="35"/>
      <c r="B74" s="40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7"/>
      <c r="X74" s="37"/>
      <c r="Y74" s="37"/>
      <c r="Z74" s="39"/>
      <c r="AA74" s="39"/>
      <c r="AB74" s="39"/>
    </row>
    <row r="75" spans="1:28" x14ac:dyDescent="0.25">
      <c r="A75" s="20" t="s">
        <v>125</v>
      </c>
      <c r="B75" s="26" t="s">
        <v>19</v>
      </c>
      <c r="C75" s="26" t="s">
        <v>24</v>
      </c>
      <c r="D75" s="26" t="s">
        <v>0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8" x14ac:dyDescent="0.25">
      <c r="A76" s="20" t="s">
        <v>126</v>
      </c>
      <c r="B76" s="27">
        <v>45457</v>
      </c>
      <c r="C76" s="20" t="s">
        <v>38</v>
      </c>
      <c r="D76" s="20">
        <f>SUM('Putt Log'!$E76:$M76)</f>
        <v>16</v>
      </c>
      <c r="E76" s="20">
        <v>3</v>
      </c>
      <c r="F76" s="20">
        <v>2</v>
      </c>
      <c r="G76" s="20">
        <v>1</v>
      </c>
      <c r="H76" s="20">
        <v>2</v>
      </c>
      <c r="I76" s="20">
        <v>1</v>
      </c>
      <c r="J76" s="20">
        <v>1</v>
      </c>
      <c r="K76" s="20">
        <v>2</v>
      </c>
      <c r="L76" s="20">
        <v>2</v>
      </c>
      <c r="M76" s="20">
        <v>2</v>
      </c>
    </row>
    <row r="77" spans="1:28" x14ac:dyDescent="0.25">
      <c r="A77" s="20" t="s">
        <v>126</v>
      </c>
      <c r="B77" s="27">
        <v>45454</v>
      </c>
      <c r="C77" s="20" t="s">
        <v>5</v>
      </c>
      <c r="D77" s="20">
        <f>SUM('Putt Log'!$E77:$M77)</f>
        <v>14</v>
      </c>
      <c r="E77" s="20">
        <v>2</v>
      </c>
      <c r="F77" s="20">
        <v>1</v>
      </c>
      <c r="G77" s="20">
        <v>2</v>
      </c>
      <c r="H77" s="20">
        <v>2</v>
      </c>
      <c r="I77" s="20">
        <v>1</v>
      </c>
      <c r="J77" s="20">
        <v>1</v>
      </c>
      <c r="K77" s="20">
        <v>1</v>
      </c>
      <c r="L77" s="20">
        <v>2</v>
      </c>
      <c r="M77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77"/>
  <sheetViews>
    <sheetView topLeftCell="A46" workbookViewId="0">
      <selection activeCell="U70" sqref="U70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31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140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SUM('Fairway Log'!$E2:$V2)</f>
        <v>7</v>
      </c>
      <c r="E2" s="61">
        <v>1</v>
      </c>
      <c r="F2" s="60" t="s">
        <v>135</v>
      </c>
      <c r="G2" s="61"/>
      <c r="H2" s="61">
        <v>1</v>
      </c>
      <c r="I2" s="60" t="s">
        <v>139</v>
      </c>
      <c r="J2" s="61"/>
      <c r="K2" s="60" t="s">
        <v>139</v>
      </c>
      <c r="L2" s="61">
        <v>1</v>
      </c>
      <c r="M2" s="61">
        <v>1</v>
      </c>
      <c r="N2" s="60" t="s">
        <v>135</v>
      </c>
      <c r="O2" s="61"/>
      <c r="P2" s="61">
        <v>1</v>
      </c>
      <c r="Q2" s="61">
        <v>1</v>
      </c>
      <c r="R2" s="60" t="s">
        <v>135</v>
      </c>
      <c r="S2" s="61"/>
      <c r="T2" s="60" t="s">
        <v>135</v>
      </c>
      <c r="U2" s="61">
        <v>1</v>
      </c>
      <c r="V2" s="60" t="s">
        <v>135</v>
      </c>
      <c r="W2" s="67">
        <f>IFERROR(COUNTIF('Fairway Log'!$E2:$V2,1)/COUNTA('Fairway Log'!$E2:$V2),"")</f>
        <v>0.5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SUM('Fairway Log'!$E3:$V3)</f>
        <v>11</v>
      </c>
      <c r="E3" s="61" t="s">
        <v>135</v>
      </c>
      <c r="F3" s="60">
        <v>1</v>
      </c>
      <c r="G3" s="61"/>
      <c r="H3" s="61">
        <v>1</v>
      </c>
      <c r="I3" s="60">
        <v>1</v>
      </c>
      <c r="J3" s="61">
        <v>1</v>
      </c>
      <c r="K3" s="60" t="s">
        <v>135</v>
      </c>
      <c r="L3" s="61"/>
      <c r="M3" s="61">
        <v>1</v>
      </c>
      <c r="N3" s="60">
        <v>1</v>
      </c>
      <c r="O3" s="61">
        <v>1</v>
      </c>
      <c r="P3" s="61">
        <v>1</v>
      </c>
      <c r="Q3" s="61"/>
      <c r="R3" s="60" t="s">
        <v>135</v>
      </c>
      <c r="S3" s="61">
        <v>1</v>
      </c>
      <c r="T3" s="60"/>
      <c r="U3" s="61">
        <v>1</v>
      </c>
      <c r="V3" s="60">
        <v>1</v>
      </c>
      <c r="W3" s="67">
        <f>IFERROR(COUNTIF('Fairway Log'!$E3:$V3,1)/COUNTA('Fairway Log'!$E3:$V3),"")</f>
        <v>0.7857142857142857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SUM('Fairway Log'!$E4:$V4)</f>
        <v>8</v>
      </c>
      <c r="E4" s="61">
        <v>1</v>
      </c>
      <c r="F4" s="60">
        <v>1</v>
      </c>
      <c r="G4" s="61"/>
      <c r="H4" s="61">
        <v>1</v>
      </c>
      <c r="I4" s="60" t="s">
        <v>139</v>
      </c>
      <c r="J4" s="61" t="s">
        <v>135</v>
      </c>
      <c r="K4" s="60">
        <v>1</v>
      </c>
      <c r="L4" s="61"/>
      <c r="M4" s="61">
        <v>1</v>
      </c>
      <c r="N4" s="60">
        <v>1</v>
      </c>
      <c r="O4" s="61"/>
      <c r="P4" s="61" t="s">
        <v>139</v>
      </c>
      <c r="Q4" s="61" t="s">
        <v>135</v>
      </c>
      <c r="R4" s="60" t="s">
        <v>135</v>
      </c>
      <c r="S4" s="61" t="s">
        <v>135</v>
      </c>
      <c r="T4" s="60"/>
      <c r="U4" s="61">
        <v>1</v>
      </c>
      <c r="V4" s="60">
        <v>1</v>
      </c>
      <c r="W4" s="67">
        <f>IFERROR(COUNTIF('Fairway Log'!$E4:$V4,1)/COUNTA('Fairway Log'!$E4:$V4),"")</f>
        <v>0.5714285714285714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SUM('Fairway Log'!$E5:$V5)</f>
        <v>5</v>
      </c>
      <c r="E5" s="61" t="s">
        <v>136</v>
      </c>
      <c r="F5" s="60"/>
      <c r="G5" s="61" t="s">
        <v>135</v>
      </c>
      <c r="H5" s="61" t="s">
        <v>136</v>
      </c>
      <c r="I5" s="60">
        <v>0</v>
      </c>
      <c r="J5" s="61" t="s">
        <v>139</v>
      </c>
      <c r="K5" s="60" t="s">
        <v>135</v>
      </c>
      <c r="L5" s="61"/>
      <c r="M5" s="61" t="s">
        <v>135</v>
      </c>
      <c r="N5" s="60" t="s">
        <v>139</v>
      </c>
      <c r="O5" s="61">
        <v>1</v>
      </c>
      <c r="P5" s="61">
        <v>1</v>
      </c>
      <c r="Q5" s="61">
        <v>1</v>
      </c>
      <c r="R5" s="60">
        <v>1</v>
      </c>
      <c r="S5" s="61"/>
      <c r="T5" s="60" t="s">
        <v>135</v>
      </c>
      <c r="U5" s="61"/>
      <c r="V5" s="60">
        <v>1</v>
      </c>
      <c r="W5" s="67">
        <f>IFERROR(COUNTIF('Fairway Log'!$E5:$V5,1)/COUNTA('Fairway Log'!$E5:$V5),"")</f>
        <v>0.35714285714285715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SUM('Fairway Log'!$E6:$V6)</f>
        <v>6</v>
      </c>
      <c r="E6" s="61" t="s">
        <v>139</v>
      </c>
      <c r="F6" s="60">
        <v>1</v>
      </c>
      <c r="G6" s="61" t="s">
        <v>135</v>
      </c>
      <c r="H6" s="61"/>
      <c r="I6" s="60">
        <v>1</v>
      </c>
      <c r="J6" s="61" t="s">
        <v>135</v>
      </c>
      <c r="K6" s="60" t="s">
        <v>139</v>
      </c>
      <c r="L6" s="61"/>
      <c r="M6" s="61">
        <v>1</v>
      </c>
      <c r="N6" s="60">
        <v>1</v>
      </c>
      <c r="O6" s="61" t="s">
        <v>139</v>
      </c>
      <c r="P6" s="61"/>
      <c r="Q6" s="61" t="s">
        <v>135</v>
      </c>
      <c r="R6" s="60">
        <v>1</v>
      </c>
      <c r="S6" s="61">
        <v>1</v>
      </c>
      <c r="T6" s="60" t="s">
        <v>135</v>
      </c>
      <c r="U6" s="61"/>
      <c r="V6" s="60" t="s">
        <v>135</v>
      </c>
      <c r="W6" s="67">
        <f>IFERROR(COUNTIF('Fairway Log'!$E6:$V6,1)/COUNTA('Fairway Log'!$E6:$V6),"")</f>
        <v>0.42857142857142855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SUM('Fairway Log'!$E7:$V7)</f>
        <v>5</v>
      </c>
      <c r="E7" s="61" t="s">
        <v>139</v>
      </c>
      <c r="F7" s="60" t="s">
        <v>135</v>
      </c>
      <c r="G7" s="61"/>
      <c r="H7" s="61" t="s">
        <v>135</v>
      </c>
      <c r="I7" s="60" t="s">
        <v>138</v>
      </c>
      <c r="J7" s="61"/>
      <c r="K7" s="60">
        <v>1</v>
      </c>
      <c r="L7" s="61">
        <v>1</v>
      </c>
      <c r="M7" s="61">
        <v>1</v>
      </c>
      <c r="N7" s="60" t="s">
        <v>138</v>
      </c>
      <c r="O7" s="61"/>
      <c r="P7" s="61" t="s">
        <v>135</v>
      </c>
      <c r="Q7" s="61" t="s">
        <v>135</v>
      </c>
      <c r="R7" s="60">
        <v>1</v>
      </c>
      <c r="S7" s="61"/>
      <c r="T7" s="60" t="s">
        <v>135</v>
      </c>
      <c r="U7" s="61" t="s">
        <v>135</v>
      </c>
      <c r="V7" s="60">
        <v>1</v>
      </c>
      <c r="W7" s="67">
        <f>IFERROR(COUNTIF('Fairway Log'!$E7:$V7,1)/COUNTA('Fairway Log'!$E7:$V7),"")</f>
        <v>0.35714285714285715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SUM('Fairway Log'!$E8:$V8)</f>
        <v>6</v>
      </c>
      <c r="E8" s="61">
        <v>1</v>
      </c>
      <c r="F8" s="60" t="s">
        <v>135</v>
      </c>
      <c r="G8" s="61" t="s">
        <v>136</v>
      </c>
      <c r="H8" s="61"/>
      <c r="I8" s="60" t="s">
        <v>136</v>
      </c>
      <c r="J8" s="61">
        <v>1</v>
      </c>
      <c r="K8" s="60"/>
      <c r="L8" s="61" t="s">
        <v>135</v>
      </c>
      <c r="M8" s="61" t="s">
        <v>135</v>
      </c>
      <c r="N8" s="60">
        <v>1</v>
      </c>
      <c r="O8" s="61"/>
      <c r="P8" s="61">
        <v>1</v>
      </c>
      <c r="Q8" s="61" t="s">
        <v>135</v>
      </c>
      <c r="R8" s="60"/>
      <c r="S8" s="61" t="s">
        <v>135</v>
      </c>
      <c r="T8" s="60">
        <v>1</v>
      </c>
      <c r="U8" s="61">
        <v>1</v>
      </c>
      <c r="V8" s="60" t="s">
        <v>135</v>
      </c>
      <c r="W8" s="67">
        <f>IFERROR(COUNTIF('Fairway Log'!$E8:$V8,1)/COUNTA('Fairway Log'!$E8:$V8),"")</f>
        <v>0.42857142857142855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SUM('Fairway Log'!$E9:$V9)</f>
        <v>6</v>
      </c>
      <c r="E9" s="61" t="s">
        <v>135</v>
      </c>
      <c r="F9" s="60">
        <v>1</v>
      </c>
      <c r="G9" s="61"/>
      <c r="H9" s="61" t="s">
        <v>136</v>
      </c>
      <c r="I9" s="60"/>
      <c r="J9" s="61" t="s">
        <v>139</v>
      </c>
      <c r="K9" s="60" t="s">
        <v>139</v>
      </c>
      <c r="L9" s="61">
        <v>1</v>
      </c>
      <c r="M9" s="61">
        <v>1</v>
      </c>
      <c r="N9" s="60" t="s">
        <v>135</v>
      </c>
      <c r="O9" s="61" t="s">
        <v>135</v>
      </c>
      <c r="P9" s="61" t="s">
        <v>139</v>
      </c>
      <c r="Q9" s="61" t="s">
        <v>135</v>
      </c>
      <c r="R9" s="60"/>
      <c r="S9" s="61">
        <v>1</v>
      </c>
      <c r="T9" s="60">
        <v>1</v>
      </c>
      <c r="U9" s="61" t="s">
        <v>135</v>
      </c>
      <c r="V9" s="60">
        <v>1</v>
      </c>
      <c r="W9" s="67">
        <f>IFERROR(COUNTIF('Fairway Log'!$E9:$V9,1)/COUNTA('Fairway Log'!$E9:$V9),"")</f>
        <v>0.4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SUM('Fairway Log'!$E10:$V10)</f>
        <v>6</v>
      </c>
      <c r="E10" s="61" t="s">
        <v>139</v>
      </c>
      <c r="F10" s="60" t="s">
        <v>135</v>
      </c>
      <c r="G10" s="61"/>
      <c r="H10" s="61" t="s">
        <v>135</v>
      </c>
      <c r="I10" s="60" t="s">
        <v>135</v>
      </c>
      <c r="J10" s="61"/>
      <c r="K10" s="60">
        <v>1</v>
      </c>
      <c r="L10" s="61">
        <v>1</v>
      </c>
      <c r="M10" s="61" t="s">
        <v>135</v>
      </c>
      <c r="N10" s="60">
        <v>1</v>
      </c>
      <c r="O10" s="61"/>
      <c r="P10" s="61">
        <v>1</v>
      </c>
      <c r="Q10" s="61" t="s">
        <v>135</v>
      </c>
      <c r="R10" s="60" t="s">
        <v>135</v>
      </c>
      <c r="S10" s="61"/>
      <c r="T10" s="60">
        <v>1</v>
      </c>
      <c r="U10" s="61">
        <v>1</v>
      </c>
      <c r="V10" s="60" t="s">
        <v>135</v>
      </c>
      <c r="W10" s="67">
        <f>IFERROR(COUNTIF('Fairway Log'!$E10:$V10,1)/COUNTA('Fairway Log'!$E10:$V10),"")</f>
        <v>0.42857142857142855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SUM('Fairway Log'!$E11:$V11)</f>
        <v>9</v>
      </c>
      <c r="E11" s="61">
        <v>1</v>
      </c>
      <c r="F11" s="60">
        <v>1</v>
      </c>
      <c r="G11" s="61"/>
      <c r="H11" s="61">
        <v>1</v>
      </c>
      <c r="I11" s="60"/>
      <c r="J11" s="61" t="s">
        <v>135</v>
      </c>
      <c r="K11" s="60" t="s">
        <v>135</v>
      </c>
      <c r="L11" s="61" t="s">
        <v>135</v>
      </c>
      <c r="M11" s="61">
        <v>1</v>
      </c>
      <c r="N11" s="60" t="s">
        <v>139</v>
      </c>
      <c r="O11" s="61" t="s">
        <v>139</v>
      </c>
      <c r="P11" s="61">
        <v>1</v>
      </c>
      <c r="Q11" s="61">
        <v>1</v>
      </c>
      <c r="R11" s="60"/>
      <c r="S11" s="61" t="s">
        <v>135</v>
      </c>
      <c r="T11" s="60">
        <v>1</v>
      </c>
      <c r="U11" s="61">
        <v>1</v>
      </c>
      <c r="V11" s="60">
        <v>1</v>
      </c>
      <c r="W11" s="67">
        <f>IFERROR(COUNTIF('Fairway Log'!$E11:$V11,1)/COUNTA('Fairway Log'!$E11:$V11),"")</f>
        <v>0.6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SUM('Fairway Log'!$E12:$V12)</f>
        <v>8</v>
      </c>
      <c r="E12" s="61">
        <v>1</v>
      </c>
      <c r="F12" s="60" t="s">
        <v>135</v>
      </c>
      <c r="G12" s="61"/>
      <c r="H12" s="61">
        <v>1</v>
      </c>
      <c r="I12" s="60"/>
      <c r="J12" s="61" t="s">
        <v>139</v>
      </c>
      <c r="K12" s="60" t="s">
        <v>135</v>
      </c>
      <c r="L12" s="61" t="s">
        <v>135</v>
      </c>
      <c r="M12" s="61">
        <v>1</v>
      </c>
      <c r="N12" s="60">
        <v>1</v>
      </c>
      <c r="O12" s="61">
        <v>1</v>
      </c>
      <c r="P12" s="61">
        <v>1</v>
      </c>
      <c r="Q12" s="61">
        <v>1</v>
      </c>
      <c r="R12" s="60"/>
      <c r="S12" s="61" t="s">
        <v>135</v>
      </c>
      <c r="T12" s="60">
        <v>1</v>
      </c>
      <c r="U12" s="61" t="s">
        <v>135</v>
      </c>
      <c r="V12" s="60" t="s">
        <v>135</v>
      </c>
      <c r="W12" s="67">
        <f>IFERROR(COUNTIF('Fairway Log'!$E12:$V12,1)/COUNTA('Fairway Log'!$E12:$V12),"")</f>
        <v>0.53333333333333333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SUM('Fairway Log'!$E13:$V13)</f>
        <v>3</v>
      </c>
      <c r="E13" s="61">
        <v>1</v>
      </c>
      <c r="F13" s="60" t="s">
        <v>135</v>
      </c>
      <c r="G13" s="61"/>
      <c r="H13" s="61" t="s">
        <v>139</v>
      </c>
      <c r="I13" s="60">
        <v>1</v>
      </c>
      <c r="J13" s="61"/>
      <c r="K13" s="60">
        <v>1</v>
      </c>
      <c r="L13" s="61" t="s">
        <v>139</v>
      </c>
      <c r="M13" s="61" t="s">
        <v>139</v>
      </c>
      <c r="N13" s="60" t="s">
        <v>139</v>
      </c>
      <c r="O13" s="61"/>
      <c r="P13" s="61" t="s">
        <v>138</v>
      </c>
      <c r="Q13" s="61" t="s">
        <v>135</v>
      </c>
      <c r="R13" s="60" t="s">
        <v>135</v>
      </c>
      <c r="S13" s="61"/>
      <c r="T13" s="60" t="s">
        <v>135</v>
      </c>
      <c r="U13" s="61" t="s">
        <v>139</v>
      </c>
      <c r="V13" s="60" t="s">
        <v>135</v>
      </c>
      <c r="W13" s="67">
        <f>IFERROR(COUNTIF('Fairway Log'!$E13:$V13,1)/COUNTA('Fairway Log'!$E13:$V13),"")</f>
        <v>0.21428571428571427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SUM('Fairway Log'!$E14:$V14)</f>
        <v>8</v>
      </c>
      <c r="E14" s="61" t="s">
        <v>139</v>
      </c>
      <c r="F14" s="60">
        <v>1</v>
      </c>
      <c r="G14" s="61">
        <v>1</v>
      </c>
      <c r="H14" s="61"/>
      <c r="I14" s="60">
        <v>1</v>
      </c>
      <c r="J14" s="61">
        <v>1</v>
      </c>
      <c r="K14" s="60"/>
      <c r="L14" s="61">
        <v>1</v>
      </c>
      <c r="M14" s="61" t="s">
        <v>139</v>
      </c>
      <c r="N14" s="60" t="s">
        <v>135</v>
      </c>
      <c r="O14" s="61">
        <v>1</v>
      </c>
      <c r="P14" s="61"/>
      <c r="Q14" s="61" t="s">
        <v>139</v>
      </c>
      <c r="R14" s="60">
        <v>1</v>
      </c>
      <c r="S14" s="61" t="s">
        <v>135</v>
      </c>
      <c r="T14" s="60">
        <v>1</v>
      </c>
      <c r="U14" s="61"/>
      <c r="V14" s="60" t="s">
        <v>135</v>
      </c>
      <c r="W14" s="67">
        <f>IFERROR(COUNTIF('Fairway Log'!$E14:$V14,1)/COUNTA('Fairway Log'!$E14:$V14),"")</f>
        <v>0.5714285714285714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SUM('Fairway Log'!$E15:$V15)</f>
        <v>8</v>
      </c>
      <c r="E15" s="61" t="s">
        <v>135</v>
      </c>
      <c r="F15" s="60" t="s">
        <v>135</v>
      </c>
      <c r="G15" s="61"/>
      <c r="H15" s="61">
        <v>1</v>
      </c>
      <c r="I15" s="60">
        <v>1</v>
      </c>
      <c r="J15" s="61" t="s">
        <v>138</v>
      </c>
      <c r="K15" s="60"/>
      <c r="L15" s="61">
        <v>1</v>
      </c>
      <c r="M15" s="61">
        <v>1</v>
      </c>
      <c r="N15" s="60">
        <v>1</v>
      </c>
      <c r="O15" s="61"/>
      <c r="P15" s="61" t="s">
        <v>135</v>
      </c>
      <c r="Q15" s="61">
        <v>1</v>
      </c>
      <c r="R15" s="60">
        <v>1</v>
      </c>
      <c r="S15" s="61" t="s">
        <v>136</v>
      </c>
      <c r="T15" s="60" t="s">
        <v>135</v>
      </c>
      <c r="U15" s="61"/>
      <c r="V15" s="60">
        <v>1</v>
      </c>
      <c r="W15" s="67">
        <f>IFERROR(COUNTIF('Fairway Log'!$E15:$V15,1)/COUNTA('Fairway Log'!$E15:$V15),"")</f>
        <v>0.5714285714285714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SUM('Fairway Log'!$E16:$V16)</f>
        <v>6</v>
      </c>
      <c r="E16" s="61" t="s">
        <v>139</v>
      </c>
      <c r="F16" s="60" t="s">
        <v>139</v>
      </c>
      <c r="G16" s="61"/>
      <c r="H16" s="61" t="s">
        <v>135</v>
      </c>
      <c r="I16" s="60">
        <v>1</v>
      </c>
      <c r="J16" s="61">
        <v>1</v>
      </c>
      <c r="K16" s="60"/>
      <c r="L16" s="61" t="s">
        <v>139</v>
      </c>
      <c r="M16" s="61">
        <v>1</v>
      </c>
      <c r="N16" s="60" t="s">
        <v>136</v>
      </c>
      <c r="O16" s="61"/>
      <c r="P16" s="61" t="s">
        <v>135</v>
      </c>
      <c r="Q16" s="61">
        <v>1</v>
      </c>
      <c r="R16" s="60">
        <v>1</v>
      </c>
      <c r="S16" s="61" t="s">
        <v>135</v>
      </c>
      <c r="T16" s="60" t="s">
        <v>139</v>
      </c>
      <c r="U16" s="61"/>
      <c r="V16" s="60">
        <v>1</v>
      </c>
      <c r="W16" s="67">
        <f>IFERROR(COUNTIF('Fairway Log'!$E16:$V16,1)/COUNTA('Fairway Log'!$E16:$V16),"")</f>
        <v>0.42857142857142855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SUM('Fairway Log'!$E17:$V17)</f>
        <v>7</v>
      </c>
      <c r="E17" s="61">
        <v>1</v>
      </c>
      <c r="F17" s="60" t="s">
        <v>139</v>
      </c>
      <c r="G17" s="61">
        <v>1</v>
      </c>
      <c r="H17" s="61"/>
      <c r="I17" s="60" t="s">
        <v>139</v>
      </c>
      <c r="J17" s="61">
        <v>1</v>
      </c>
      <c r="K17" s="60"/>
      <c r="L17" s="61">
        <v>1</v>
      </c>
      <c r="M17" s="61">
        <v>1</v>
      </c>
      <c r="N17" s="60">
        <v>1</v>
      </c>
      <c r="O17" s="61" t="s">
        <v>135</v>
      </c>
      <c r="P17" s="61"/>
      <c r="Q17" s="61" t="s">
        <v>139</v>
      </c>
      <c r="R17" s="60" t="s">
        <v>139</v>
      </c>
      <c r="S17" s="61" t="s">
        <v>135</v>
      </c>
      <c r="T17" s="60">
        <v>1</v>
      </c>
      <c r="U17" s="61"/>
      <c r="V17" s="60" t="s">
        <v>135</v>
      </c>
      <c r="W17" s="67">
        <f>IFERROR(COUNTIF('Fairway Log'!$E17:$V17,1)/COUNTA('Fairway Log'!$E17:$V17),"")</f>
        <v>0.5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SUM('Fairway Log'!$E18:$V18)</f>
        <v>3</v>
      </c>
      <c r="E18" s="61" t="s">
        <v>136</v>
      </c>
      <c r="F18" s="60" t="s">
        <v>136</v>
      </c>
      <c r="G18" s="61" t="s">
        <v>135</v>
      </c>
      <c r="H18" s="61" t="s">
        <v>139</v>
      </c>
      <c r="I18" s="60">
        <v>1</v>
      </c>
      <c r="J18" s="61"/>
      <c r="K18" s="60" t="s">
        <v>139</v>
      </c>
      <c r="L18" s="61"/>
      <c r="M18" s="61" t="s">
        <v>139</v>
      </c>
      <c r="N18" s="60" t="s">
        <v>136</v>
      </c>
      <c r="O18" s="61" t="s">
        <v>136</v>
      </c>
      <c r="P18" s="61"/>
      <c r="Q18" s="61">
        <v>1</v>
      </c>
      <c r="R18" s="60"/>
      <c r="S18" s="61">
        <v>1</v>
      </c>
      <c r="T18" s="60" t="s">
        <v>139</v>
      </c>
      <c r="U18" s="61"/>
      <c r="V18" s="60" t="s">
        <v>135</v>
      </c>
      <c r="W18" s="67">
        <f>IFERROR(COUNTIF('Fairway Log'!$E18:$V18,1)/COUNTA('Fairway Log'!$E18:$V18),"")</f>
        <v>0.23076923076923078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SUM('Fairway Log'!$E19:$V19)</f>
        <v>5</v>
      </c>
      <c r="E19" s="61" t="s">
        <v>136</v>
      </c>
      <c r="F19" s="60"/>
      <c r="G19" s="61">
        <v>1</v>
      </c>
      <c r="H19" s="61"/>
      <c r="I19" s="60" t="s">
        <v>139</v>
      </c>
      <c r="J19" s="61" t="s">
        <v>139</v>
      </c>
      <c r="K19" s="60">
        <v>1</v>
      </c>
      <c r="L19" s="61" t="s">
        <v>139</v>
      </c>
      <c r="M19" s="61">
        <v>1</v>
      </c>
      <c r="N19" s="60">
        <v>1</v>
      </c>
      <c r="O19" s="61"/>
      <c r="P19" s="61" t="s">
        <v>135</v>
      </c>
      <c r="Q19" s="61" t="s">
        <v>136</v>
      </c>
      <c r="R19" s="60"/>
      <c r="S19" s="61" t="s">
        <v>135</v>
      </c>
      <c r="T19" s="60"/>
      <c r="U19" s="61">
        <v>1</v>
      </c>
      <c r="V19" s="60" t="s">
        <v>135</v>
      </c>
      <c r="W19" s="67">
        <f>IFERROR(COUNTIF('Fairway Log'!$E19:$V19,1)/COUNTA('Fairway Log'!$E19:$V19),"")</f>
        <v>0.38461538461538464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SUM('Fairway Log'!$E20:$V20)</f>
        <v>4</v>
      </c>
      <c r="E20" s="61">
        <v>1</v>
      </c>
      <c r="F20" s="60" t="s">
        <v>135</v>
      </c>
      <c r="G20" s="61"/>
      <c r="H20" s="61" t="s">
        <v>135</v>
      </c>
      <c r="I20" s="60" t="s">
        <v>138</v>
      </c>
      <c r="J20" s="61"/>
      <c r="K20" s="60" t="s">
        <v>135</v>
      </c>
      <c r="L20" s="61" t="s">
        <v>135</v>
      </c>
      <c r="M20" s="61">
        <v>1</v>
      </c>
      <c r="N20" s="60" t="s">
        <v>135</v>
      </c>
      <c r="O20" s="61"/>
      <c r="P20" s="61" t="s">
        <v>138</v>
      </c>
      <c r="Q20" s="61" t="s">
        <v>135</v>
      </c>
      <c r="R20" s="60" t="s">
        <v>139</v>
      </c>
      <c r="S20" s="61"/>
      <c r="T20" s="60">
        <v>1</v>
      </c>
      <c r="U20" s="61" t="s">
        <v>135</v>
      </c>
      <c r="V20" s="60">
        <v>1</v>
      </c>
      <c r="W20" s="67">
        <f>IFERROR(COUNTIF('Fairway Log'!$E20:$V20,1)/COUNTA('Fairway Log'!$E20:$V20),"")</f>
        <v>0.2857142857142857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SUM('Fairway Log'!$E21:$V21)</f>
        <v>7</v>
      </c>
      <c r="E21" s="61">
        <v>1</v>
      </c>
      <c r="F21" s="60">
        <v>1</v>
      </c>
      <c r="G21" s="61" t="s">
        <v>138</v>
      </c>
      <c r="H21" s="61"/>
      <c r="I21" s="60">
        <v>1</v>
      </c>
      <c r="J21" s="61">
        <v>1</v>
      </c>
      <c r="K21" s="60"/>
      <c r="L21" s="61" t="s">
        <v>136</v>
      </c>
      <c r="M21" s="61" t="s">
        <v>136</v>
      </c>
      <c r="N21" s="60">
        <v>1</v>
      </c>
      <c r="O21" s="61"/>
      <c r="P21" s="61" t="s">
        <v>135</v>
      </c>
      <c r="Q21" s="61" t="s">
        <v>139</v>
      </c>
      <c r="R21" s="60"/>
      <c r="S21" s="61" t="s">
        <v>135</v>
      </c>
      <c r="T21" s="60">
        <v>1</v>
      </c>
      <c r="U21" s="61">
        <v>1</v>
      </c>
      <c r="V21" s="60" t="s">
        <v>135</v>
      </c>
      <c r="W21" s="67">
        <f>IFERROR(COUNTIF('Fairway Log'!$E21:$V21,1)/COUNTA('Fairway Log'!$E21:$V21),"")</f>
        <v>0.5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SUM('Fairway Log'!$E22:$V22)</f>
        <v>3</v>
      </c>
      <c r="E22" s="61" t="s">
        <v>138</v>
      </c>
      <c r="F22" s="60" t="s">
        <v>139</v>
      </c>
      <c r="G22" s="61" t="s">
        <v>139</v>
      </c>
      <c r="H22" s="61"/>
      <c r="I22" s="60" t="s">
        <v>135</v>
      </c>
      <c r="J22" s="61" t="s">
        <v>135</v>
      </c>
      <c r="K22" s="60"/>
      <c r="L22" s="61">
        <v>1</v>
      </c>
      <c r="M22" s="61" t="s">
        <v>138</v>
      </c>
      <c r="N22" s="60">
        <v>1</v>
      </c>
      <c r="O22" s="61"/>
      <c r="P22" s="61" t="s">
        <v>135</v>
      </c>
      <c r="Q22" s="61" t="s">
        <v>139</v>
      </c>
      <c r="R22" s="60"/>
      <c r="S22" s="61" t="s">
        <v>135</v>
      </c>
      <c r="T22" s="60" t="s">
        <v>139</v>
      </c>
      <c r="U22" s="61" t="s">
        <v>139</v>
      </c>
      <c r="V22" s="60">
        <v>1</v>
      </c>
      <c r="W22" s="67">
        <f>IFERROR(COUNTIF('Fairway Log'!$E22:$V22,1)/COUNTA('Fairway Log'!$E22:$V22),"")</f>
        <v>0.21428571428571427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SUM('Fairway Log'!$E23:$V23)</f>
        <v>8</v>
      </c>
      <c r="E23" s="61" t="s">
        <v>139</v>
      </c>
      <c r="F23" s="60">
        <v>1</v>
      </c>
      <c r="G23" s="61"/>
      <c r="H23" s="61" t="s">
        <v>138</v>
      </c>
      <c r="I23" s="60">
        <v>1</v>
      </c>
      <c r="J23" s="61"/>
      <c r="K23" s="60">
        <v>1</v>
      </c>
      <c r="L23" s="61">
        <v>1</v>
      </c>
      <c r="M23" s="61">
        <v>1</v>
      </c>
      <c r="N23" s="60" t="s">
        <v>138</v>
      </c>
      <c r="O23" s="61"/>
      <c r="P23" s="61">
        <v>1</v>
      </c>
      <c r="Q23" s="61">
        <v>1</v>
      </c>
      <c r="R23" s="60" t="s">
        <v>138</v>
      </c>
      <c r="S23" s="61"/>
      <c r="T23" s="60" t="s">
        <v>135</v>
      </c>
      <c r="U23" s="61" t="s">
        <v>135</v>
      </c>
      <c r="V23" s="60">
        <v>1</v>
      </c>
      <c r="W23" s="67">
        <f>IFERROR(COUNTIF('Fairway Log'!$E23:$V23,1)/COUNTA('Fairway Log'!$E23:$V23),"")</f>
        <v>0.5714285714285714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SUM('Fairway Log'!$E24:$V24)</f>
        <v>6</v>
      </c>
      <c r="E24" s="61" t="s">
        <v>135</v>
      </c>
      <c r="F24" s="60">
        <v>1</v>
      </c>
      <c r="G24" s="61" t="s">
        <v>138</v>
      </c>
      <c r="H24" s="61"/>
      <c r="I24" s="60" t="s">
        <v>135</v>
      </c>
      <c r="J24" s="61">
        <v>1</v>
      </c>
      <c r="K24" s="60">
        <v>1</v>
      </c>
      <c r="L24" s="61"/>
      <c r="M24" s="61" t="s">
        <v>135</v>
      </c>
      <c r="N24" s="60" t="s">
        <v>138</v>
      </c>
      <c r="O24" s="61">
        <v>1</v>
      </c>
      <c r="P24" s="61" t="s">
        <v>135</v>
      </c>
      <c r="Q24" s="61"/>
      <c r="R24" s="60" t="s">
        <v>135</v>
      </c>
      <c r="S24" s="61" t="s">
        <v>135</v>
      </c>
      <c r="T24" s="60">
        <v>1</v>
      </c>
      <c r="U24" s="61"/>
      <c r="V24" s="60">
        <v>1</v>
      </c>
      <c r="W24" s="67">
        <f>IFERROR(COUNTIF('Fairway Log'!$E24:$V24,1)/COUNTA('Fairway Log'!$E24:$V24),"")</f>
        <v>0.42857142857142855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SUM('Fairway Log'!$E25:$V25)</f>
        <v>8</v>
      </c>
      <c r="E25" s="61" t="s">
        <v>135</v>
      </c>
      <c r="F25" s="60" t="s">
        <v>139</v>
      </c>
      <c r="G25" s="61"/>
      <c r="H25" s="61">
        <v>1</v>
      </c>
      <c r="I25" s="60" t="s">
        <v>135</v>
      </c>
      <c r="J25" s="61">
        <v>1</v>
      </c>
      <c r="K25" s="60">
        <v>1</v>
      </c>
      <c r="L25" s="61"/>
      <c r="M25" s="61">
        <v>1</v>
      </c>
      <c r="N25" s="60" t="s">
        <v>135</v>
      </c>
      <c r="O25" s="61" t="s">
        <v>135</v>
      </c>
      <c r="P25" s="61">
        <v>1</v>
      </c>
      <c r="Q25" s="61">
        <v>1</v>
      </c>
      <c r="R25" s="60"/>
      <c r="S25" s="61" t="s">
        <v>135</v>
      </c>
      <c r="T25" s="60">
        <v>1</v>
      </c>
      <c r="U25" s="61"/>
      <c r="V25" s="60">
        <v>1</v>
      </c>
      <c r="W25" s="67">
        <f>IFERROR(COUNTIF('Fairway Log'!$E25:$V25,1)/COUNTA('Fairway Log'!$E25:$V25),"")</f>
        <v>0.5714285714285714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SUM('Fairway Log'!$E26:$V26)</f>
        <v>6</v>
      </c>
      <c r="E26" s="61">
        <v>1</v>
      </c>
      <c r="F26" s="60" t="s">
        <v>135</v>
      </c>
      <c r="G26" s="61">
        <v>1</v>
      </c>
      <c r="H26" s="61"/>
      <c r="I26" s="60" t="s">
        <v>139</v>
      </c>
      <c r="J26" s="61">
        <v>1</v>
      </c>
      <c r="K26" s="60"/>
      <c r="L26" s="61" t="s">
        <v>139</v>
      </c>
      <c r="M26" s="61">
        <v>0</v>
      </c>
      <c r="N26" s="60" t="s">
        <v>135</v>
      </c>
      <c r="O26" s="61"/>
      <c r="P26" s="61" t="s">
        <v>135</v>
      </c>
      <c r="Q26" s="61" t="s">
        <v>135</v>
      </c>
      <c r="R26" s="60"/>
      <c r="S26" s="61">
        <v>1</v>
      </c>
      <c r="T26" s="60">
        <v>1</v>
      </c>
      <c r="U26" s="61">
        <v>1</v>
      </c>
      <c r="V26" s="60" t="s">
        <v>135</v>
      </c>
      <c r="W26" s="67">
        <f>IFERROR(COUNTIF('Fairway Log'!$E26:$V26,1)/COUNTA('Fairway Log'!$E26:$V26),"")</f>
        <v>0.42857142857142855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SUM('Fairway Log'!$E27:$V27)</f>
        <v>4</v>
      </c>
      <c r="E27" s="61" t="s">
        <v>138</v>
      </c>
      <c r="F27" s="60">
        <v>1</v>
      </c>
      <c r="G27" s="61" t="s">
        <v>135</v>
      </c>
      <c r="H27" s="61"/>
      <c r="I27" s="60" t="s">
        <v>135</v>
      </c>
      <c r="J27" s="61" t="s">
        <v>135</v>
      </c>
      <c r="K27" s="60"/>
      <c r="L27" s="61" t="s">
        <v>135</v>
      </c>
      <c r="M27" s="61" t="s">
        <v>138</v>
      </c>
      <c r="N27" s="60">
        <v>1</v>
      </c>
      <c r="O27" s="61"/>
      <c r="P27" s="61" t="s">
        <v>139</v>
      </c>
      <c r="Q27" s="61" t="s">
        <v>138</v>
      </c>
      <c r="R27" s="60"/>
      <c r="S27" s="61">
        <v>1</v>
      </c>
      <c r="T27" s="60">
        <v>1</v>
      </c>
      <c r="U27" s="61" t="s">
        <v>135</v>
      </c>
      <c r="V27" s="60" t="s">
        <v>135</v>
      </c>
      <c r="W27" s="67">
        <f>IFERROR(COUNTIF('Fairway Log'!$E27:$V27,1)/COUNTA('Fairway Log'!$E27:$V27),"")</f>
        <v>0.2857142857142857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SUM('Fairway Log'!$E28:$V28)</f>
        <v>7</v>
      </c>
      <c r="E28" s="61" t="s">
        <v>135</v>
      </c>
      <c r="F28" s="60" t="s">
        <v>135</v>
      </c>
      <c r="G28" s="61"/>
      <c r="H28" s="61" t="s">
        <v>135</v>
      </c>
      <c r="I28" s="60">
        <v>1</v>
      </c>
      <c r="J28" s="61">
        <v>1</v>
      </c>
      <c r="K28" s="60"/>
      <c r="L28" s="61" t="s">
        <v>135</v>
      </c>
      <c r="M28" s="61">
        <v>1</v>
      </c>
      <c r="N28" s="60">
        <v>1</v>
      </c>
      <c r="O28" s="61"/>
      <c r="P28" s="61" t="s">
        <v>135</v>
      </c>
      <c r="Q28" s="61">
        <v>1</v>
      </c>
      <c r="R28" s="60" t="s">
        <v>139</v>
      </c>
      <c r="S28" s="61">
        <v>1</v>
      </c>
      <c r="T28" s="60">
        <v>1</v>
      </c>
      <c r="U28" s="61"/>
      <c r="V28" s="60">
        <v>0</v>
      </c>
      <c r="W28" s="67">
        <f>IFERROR(COUNTIF('Fairway Log'!$E28:$V28,1)/COUNTA('Fairway Log'!$E28:$V28),"")</f>
        <v>0.5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SUM('Fairway Log'!$E29:$V29)</f>
        <v>3</v>
      </c>
      <c r="E29" s="61" t="s">
        <v>135</v>
      </c>
      <c r="F29" s="60" t="s">
        <v>139</v>
      </c>
      <c r="G29" s="61"/>
      <c r="H29" s="61">
        <v>1</v>
      </c>
      <c r="I29" s="60" t="s">
        <v>138</v>
      </c>
      <c r="J29" s="61">
        <v>1</v>
      </c>
      <c r="K29" s="60"/>
      <c r="L29" s="61" t="s">
        <v>138</v>
      </c>
      <c r="M29" s="61" t="s">
        <v>135</v>
      </c>
      <c r="N29" s="60" t="s">
        <v>135</v>
      </c>
      <c r="O29" s="61"/>
      <c r="P29" s="61" t="s">
        <v>135</v>
      </c>
      <c r="Q29" s="61" t="s">
        <v>138</v>
      </c>
      <c r="R29" s="60" t="s">
        <v>135</v>
      </c>
      <c r="S29" s="61">
        <v>1</v>
      </c>
      <c r="T29" s="60" t="s">
        <v>139</v>
      </c>
      <c r="U29" s="61"/>
      <c r="V29" s="60" t="s">
        <v>135</v>
      </c>
      <c r="W29" s="67">
        <f>IFERROR(COUNTIF('Fairway Log'!$E29:$V29,1)/COUNTA('Fairway Log'!$E29:$V29),"")</f>
        <v>0.21428571428571427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SUM('Fairway Log'!$E30:$V30)</f>
        <v>6</v>
      </c>
      <c r="E30" s="61" t="s">
        <v>135</v>
      </c>
      <c r="F30" s="60" t="s">
        <v>135</v>
      </c>
      <c r="G30" s="61"/>
      <c r="H30" s="61">
        <v>1</v>
      </c>
      <c r="I30" s="60" t="s">
        <v>135</v>
      </c>
      <c r="J30" s="61" t="s">
        <v>138</v>
      </c>
      <c r="K30" s="60"/>
      <c r="L30" s="61" t="s">
        <v>135</v>
      </c>
      <c r="M30" s="61">
        <v>1</v>
      </c>
      <c r="N30" s="60" t="s">
        <v>135</v>
      </c>
      <c r="O30" s="61"/>
      <c r="P30" s="61">
        <v>1</v>
      </c>
      <c r="Q30" s="61" t="s">
        <v>138</v>
      </c>
      <c r="R30" s="60">
        <v>1</v>
      </c>
      <c r="S30" s="61">
        <v>1</v>
      </c>
      <c r="T30" s="60">
        <v>1</v>
      </c>
      <c r="U30" s="61"/>
      <c r="V30" s="60" t="s">
        <v>135</v>
      </c>
      <c r="W30" s="67">
        <f>IFERROR(COUNTIF('Fairway Log'!$E30:$V30,1)/COUNTA('Fairway Log'!$E30:$V30),"")</f>
        <v>0.42857142857142855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SUM('Fairway Log'!$E31:$V31)</f>
        <v>7</v>
      </c>
      <c r="E31" s="61">
        <v>1</v>
      </c>
      <c r="F31" s="60">
        <v>1</v>
      </c>
      <c r="G31" s="61"/>
      <c r="H31" s="61">
        <v>1</v>
      </c>
      <c r="I31" s="60">
        <v>1</v>
      </c>
      <c r="J31" s="61"/>
      <c r="K31" s="60">
        <v>1</v>
      </c>
      <c r="L31" s="61">
        <v>1</v>
      </c>
      <c r="M31" s="61" t="s">
        <v>135</v>
      </c>
      <c r="N31" s="60">
        <v>0</v>
      </c>
      <c r="O31" s="61"/>
      <c r="P31" s="61" t="s">
        <v>136</v>
      </c>
      <c r="Q31" s="61" t="s">
        <v>135</v>
      </c>
      <c r="R31" s="60" t="s">
        <v>135</v>
      </c>
      <c r="S31" s="61"/>
      <c r="T31" s="60">
        <v>1</v>
      </c>
      <c r="U31" s="61" t="s">
        <v>135</v>
      </c>
      <c r="V31" s="60" t="s">
        <v>135</v>
      </c>
      <c r="W31" s="67">
        <f>IFERROR(COUNTIF('Fairway Log'!$E31:$V31,1)/COUNTA('Fairway Log'!$E31:$V31),"")</f>
        <v>0.5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SUM('Fairway Log'!$E32:$V32)</f>
        <v>6</v>
      </c>
      <c r="E32" s="61">
        <v>1</v>
      </c>
      <c r="F32" s="60">
        <v>1</v>
      </c>
      <c r="G32" s="61" t="s">
        <v>135</v>
      </c>
      <c r="H32" s="61"/>
      <c r="I32" s="60" t="s">
        <v>139</v>
      </c>
      <c r="J32" s="61">
        <v>1</v>
      </c>
      <c r="K32" s="60"/>
      <c r="L32" s="61" t="s">
        <v>135</v>
      </c>
      <c r="M32" s="61" t="s">
        <v>135</v>
      </c>
      <c r="N32" s="60" t="s">
        <v>138</v>
      </c>
      <c r="O32" s="61"/>
      <c r="P32" s="61">
        <v>1</v>
      </c>
      <c r="Q32" s="61">
        <v>1</v>
      </c>
      <c r="R32" s="60"/>
      <c r="S32" s="61">
        <v>1</v>
      </c>
      <c r="T32" s="60">
        <v>0</v>
      </c>
      <c r="U32" s="61">
        <v>0</v>
      </c>
      <c r="V32" s="60">
        <v>0</v>
      </c>
      <c r="W32" s="67">
        <f>IFERROR(COUNTIF('Fairway Log'!$E32:$V32,1)/COUNTA('Fairway Log'!$E32:$V32),"")</f>
        <v>0.42857142857142855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SUM('Fairway Log'!$E33:$V33)</f>
        <v>7</v>
      </c>
      <c r="E33" s="61" t="s">
        <v>136</v>
      </c>
      <c r="F33" s="60" t="s">
        <v>135</v>
      </c>
      <c r="G33" s="61"/>
      <c r="H33" s="61">
        <v>1</v>
      </c>
      <c r="I33" s="60">
        <v>1</v>
      </c>
      <c r="J33" s="61"/>
      <c r="K33" s="60">
        <v>1</v>
      </c>
      <c r="L33" s="61" t="s">
        <v>138</v>
      </c>
      <c r="M33" s="61" t="s">
        <v>135</v>
      </c>
      <c r="N33" s="60">
        <v>1</v>
      </c>
      <c r="O33" s="61"/>
      <c r="P33" s="61" t="s">
        <v>138</v>
      </c>
      <c r="Q33" s="61" t="s">
        <v>135</v>
      </c>
      <c r="R33" s="60">
        <v>1</v>
      </c>
      <c r="S33" s="61"/>
      <c r="T33" s="60">
        <v>1</v>
      </c>
      <c r="U33" s="61">
        <v>1</v>
      </c>
      <c r="V33" s="60" t="s">
        <v>135</v>
      </c>
      <c r="W33" s="67">
        <f>IFERROR(COUNTIF('Fairway Log'!$E33:$V33,1)/COUNTA('Fairway Log'!$E33:$V33),"")</f>
        <v>0.5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SUM('Fairway Log'!$E34:$V34)</f>
        <v>9</v>
      </c>
      <c r="E34" s="61">
        <v>1</v>
      </c>
      <c r="F34" s="60">
        <v>1</v>
      </c>
      <c r="G34" s="61"/>
      <c r="H34" s="61">
        <v>1</v>
      </c>
      <c r="I34" s="60">
        <v>1</v>
      </c>
      <c r="J34" s="61">
        <v>1</v>
      </c>
      <c r="K34" s="60"/>
      <c r="L34" s="61">
        <v>1</v>
      </c>
      <c r="M34" s="61">
        <v>1</v>
      </c>
      <c r="N34" s="60">
        <v>1</v>
      </c>
      <c r="O34" s="61"/>
      <c r="P34" s="61" t="s">
        <v>139</v>
      </c>
      <c r="Q34" s="61" t="s">
        <v>135</v>
      </c>
      <c r="R34" s="60" t="s">
        <v>139</v>
      </c>
      <c r="S34" s="61" t="s">
        <v>139</v>
      </c>
      <c r="T34" s="60">
        <v>1</v>
      </c>
      <c r="U34" s="61"/>
      <c r="V34" s="60" t="s">
        <v>139</v>
      </c>
      <c r="W34" s="67">
        <f>IFERROR(COUNTIF('Fairway Log'!$E34:$V34,1)/COUNTA('Fairway Log'!$E34:$V34),"")</f>
        <v>0.6428571428571429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SUM('Fairway Log'!$E35:$V35)</f>
        <v>9</v>
      </c>
      <c r="E35" s="61">
        <v>1</v>
      </c>
      <c r="F35" s="60" t="s">
        <v>135</v>
      </c>
      <c r="G35" s="61"/>
      <c r="H35" s="61" t="s">
        <v>139</v>
      </c>
      <c r="I35" s="60"/>
      <c r="J35" s="61">
        <v>1</v>
      </c>
      <c r="K35" s="60">
        <v>1</v>
      </c>
      <c r="L35" s="61">
        <v>1</v>
      </c>
      <c r="M35" s="61" t="s">
        <v>136</v>
      </c>
      <c r="N35" s="60">
        <v>1</v>
      </c>
      <c r="O35" s="61">
        <v>1</v>
      </c>
      <c r="P35" s="61" t="s">
        <v>135</v>
      </c>
      <c r="Q35" s="61" t="s">
        <v>135</v>
      </c>
      <c r="R35" s="60"/>
      <c r="S35" s="61" t="s">
        <v>135</v>
      </c>
      <c r="T35" s="60">
        <v>1</v>
      </c>
      <c r="U35" s="61">
        <v>1</v>
      </c>
      <c r="V35" s="60">
        <v>1</v>
      </c>
      <c r="W35" s="67">
        <f>IFERROR(COUNTIF('Fairway Log'!$E35:$V35,1)/COUNTA('Fairway Log'!$E35:$V35),"")</f>
        <v>0.6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SUM('Fairway Log'!$E36:$V36)</f>
        <v>8</v>
      </c>
      <c r="E36" s="61" t="s">
        <v>135</v>
      </c>
      <c r="F36" s="60">
        <v>1</v>
      </c>
      <c r="G36" s="61"/>
      <c r="H36" s="61" t="s">
        <v>135</v>
      </c>
      <c r="I36" s="60" t="s">
        <v>138</v>
      </c>
      <c r="J36" s="61">
        <v>1</v>
      </c>
      <c r="K36" s="60"/>
      <c r="L36" s="61">
        <v>1</v>
      </c>
      <c r="M36" s="61" t="s">
        <v>135</v>
      </c>
      <c r="N36" s="60">
        <v>1</v>
      </c>
      <c r="O36" s="61"/>
      <c r="P36" s="61">
        <v>1</v>
      </c>
      <c r="Q36" s="61">
        <v>1</v>
      </c>
      <c r="R36" s="60" t="s">
        <v>135</v>
      </c>
      <c r="S36" s="61" t="s">
        <v>135</v>
      </c>
      <c r="T36" s="60">
        <v>1</v>
      </c>
      <c r="U36" s="61"/>
      <c r="V36" s="60">
        <v>1</v>
      </c>
      <c r="W36" s="67">
        <f>IFERROR(COUNTIF('Fairway Log'!$E36:$V36,1)/COUNTA('Fairway Log'!$E36:$V36),"")</f>
        <v>0.5714285714285714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SUM('Fairway Log'!$E37:$V37)</f>
        <v>7</v>
      </c>
      <c r="E37" s="61">
        <v>1</v>
      </c>
      <c r="F37" s="60" t="s">
        <v>135</v>
      </c>
      <c r="G37" s="61"/>
      <c r="H37" s="61" t="s">
        <v>135</v>
      </c>
      <c r="I37" s="60">
        <v>1</v>
      </c>
      <c r="J37" s="61"/>
      <c r="K37" s="60" t="s">
        <v>135</v>
      </c>
      <c r="L37" s="61">
        <v>1</v>
      </c>
      <c r="M37" s="61">
        <v>1</v>
      </c>
      <c r="N37" s="60">
        <v>1</v>
      </c>
      <c r="O37" s="61"/>
      <c r="P37" s="61">
        <v>1</v>
      </c>
      <c r="Q37" s="61" t="s">
        <v>135</v>
      </c>
      <c r="R37" s="60" t="s">
        <v>135</v>
      </c>
      <c r="S37" s="61"/>
      <c r="T37" s="60" t="s">
        <v>139</v>
      </c>
      <c r="U37" s="61" t="s">
        <v>135</v>
      </c>
      <c r="V37" s="60">
        <v>1</v>
      </c>
      <c r="W37" s="67">
        <f>IFERROR(COUNTIF('Fairway Log'!$E37:$V37,1)/COUNTA('Fairway Log'!$E37:$V37),"")</f>
        <v>0.5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SUM('Fairway Log'!$E38:$V38)</f>
        <v>9</v>
      </c>
      <c r="E38" s="61">
        <v>1</v>
      </c>
      <c r="F38" s="60">
        <v>1</v>
      </c>
      <c r="G38" s="61"/>
      <c r="H38" s="61" t="s">
        <v>135</v>
      </c>
      <c r="I38" s="60" t="s">
        <v>138</v>
      </c>
      <c r="J38" s="61"/>
      <c r="K38" s="60">
        <v>1</v>
      </c>
      <c r="L38" s="61">
        <v>1</v>
      </c>
      <c r="M38" s="61">
        <v>1</v>
      </c>
      <c r="N38" s="60" t="s">
        <v>135</v>
      </c>
      <c r="O38" s="61"/>
      <c r="P38" s="61">
        <v>1</v>
      </c>
      <c r="Q38" s="61" t="s">
        <v>135</v>
      </c>
      <c r="R38" s="60">
        <v>1</v>
      </c>
      <c r="S38" s="61"/>
      <c r="T38" s="60" t="s">
        <v>135</v>
      </c>
      <c r="U38" s="61">
        <v>1</v>
      </c>
      <c r="V38" s="60">
        <v>1</v>
      </c>
      <c r="W38" s="67">
        <f>IFERROR(COUNTIF('Fairway Log'!$E38:$V38,1)/COUNTA('Fairway Log'!$E38:$V38),"")</f>
        <v>0.6428571428571429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SUM('Fairway Log'!$E39:$V39)</f>
        <v>7</v>
      </c>
      <c r="E39" s="61">
        <v>1</v>
      </c>
      <c r="F39" s="60" t="s">
        <v>135</v>
      </c>
      <c r="G39" s="61">
        <v>1</v>
      </c>
      <c r="H39" s="61"/>
      <c r="I39" s="60">
        <v>1</v>
      </c>
      <c r="J39" s="61" t="s">
        <v>135</v>
      </c>
      <c r="K39" s="60"/>
      <c r="L39" s="61">
        <v>1</v>
      </c>
      <c r="M39" s="61">
        <v>1</v>
      </c>
      <c r="N39" s="60" t="s">
        <v>135</v>
      </c>
      <c r="O39" s="61" t="s">
        <v>135</v>
      </c>
      <c r="P39" s="61"/>
      <c r="Q39" s="61" t="s">
        <v>135</v>
      </c>
      <c r="R39" s="60">
        <v>1</v>
      </c>
      <c r="S39" s="61" t="s">
        <v>135</v>
      </c>
      <c r="T39" s="60">
        <v>1</v>
      </c>
      <c r="U39" s="61"/>
      <c r="V39" s="60" t="s">
        <v>135</v>
      </c>
      <c r="W39" s="67">
        <f>IFERROR(COUNTIF('Fairway Log'!$E39:$V39,1)/COUNTA('Fairway Log'!$E39:$V39),"")</f>
        <v>0.5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SUM('Fairway Log'!$E40:$V40)</f>
        <v>11</v>
      </c>
      <c r="E40" s="61">
        <v>1</v>
      </c>
      <c r="F40" s="60">
        <v>1</v>
      </c>
      <c r="G40" s="61"/>
      <c r="H40" s="61" t="s">
        <v>135</v>
      </c>
      <c r="I40" s="60">
        <v>1</v>
      </c>
      <c r="J40" s="61"/>
      <c r="K40" s="60">
        <v>1</v>
      </c>
      <c r="L40" s="61" t="s">
        <v>135</v>
      </c>
      <c r="M40" s="61">
        <v>1</v>
      </c>
      <c r="N40" s="60">
        <v>1</v>
      </c>
      <c r="O40" s="61" t="s">
        <v>135</v>
      </c>
      <c r="P40" s="61">
        <v>1</v>
      </c>
      <c r="Q40" s="61"/>
      <c r="R40" s="60">
        <v>1</v>
      </c>
      <c r="S40" s="61">
        <v>1</v>
      </c>
      <c r="T40" s="60"/>
      <c r="U40" s="61">
        <v>1</v>
      </c>
      <c r="V40" s="60">
        <v>1</v>
      </c>
      <c r="W40" s="67">
        <f>IFERROR(COUNTIF('Fairway Log'!$E40:$V40,1)/COUNTA('Fairway Log'!$E40:$V40),"")</f>
        <v>0.7857142857142857</v>
      </c>
    </row>
    <row r="41" spans="1:23" x14ac:dyDescent="0.25">
      <c r="A41" s="20" t="s">
        <v>126</v>
      </c>
      <c r="B41" s="27">
        <v>45892</v>
      </c>
      <c r="C41" s="20" t="s">
        <v>41</v>
      </c>
      <c r="D41" s="20">
        <f>SUM('Fairway Log'!$E41:$V41)</f>
        <v>6</v>
      </c>
      <c r="E41" s="61">
        <v>1</v>
      </c>
      <c r="F41" s="60" t="s">
        <v>135</v>
      </c>
      <c r="G41" s="61"/>
      <c r="H41" s="61" t="s">
        <v>135</v>
      </c>
      <c r="I41" s="60">
        <v>1</v>
      </c>
      <c r="J41" s="61"/>
      <c r="K41" s="60" t="s">
        <v>135</v>
      </c>
      <c r="L41" s="61">
        <v>1</v>
      </c>
      <c r="M41" s="61" t="s">
        <v>135</v>
      </c>
      <c r="N41" s="60" t="s">
        <v>135</v>
      </c>
      <c r="O41" s="61">
        <v>1</v>
      </c>
      <c r="P41" s="61" t="s">
        <v>136</v>
      </c>
      <c r="Q41" s="61"/>
      <c r="R41" s="60" t="s">
        <v>136</v>
      </c>
      <c r="S41" s="61">
        <v>1</v>
      </c>
      <c r="T41" s="60"/>
      <c r="U41" s="61" t="s">
        <v>135</v>
      </c>
      <c r="V41" s="60">
        <v>1</v>
      </c>
      <c r="W41" s="67">
        <f>IFERROR(COUNTIF('Fairway Log'!$E41:$V41,1)/COUNTA('Fairway Log'!$E41:$V41),"")</f>
        <v>0.42857142857142855</v>
      </c>
    </row>
    <row r="42" spans="1:23" x14ac:dyDescent="0.25">
      <c r="A42" s="20" t="s">
        <v>126</v>
      </c>
      <c r="B42" s="27">
        <v>45894</v>
      </c>
      <c r="C42" s="20" t="s">
        <v>11</v>
      </c>
      <c r="D42" s="20">
        <f>SUM('Fairway Log'!$E42:$V42)</f>
        <v>6</v>
      </c>
      <c r="E42" s="61">
        <v>1</v>
      </c>
      <c r="F42" s="60"/>
      <c r="G42" s="61" t="s">
        <v>136</v>
      </c>
      <c r="H42" s="61"/>
      <c r="I42" s="60">
        <v>1</v>
      </c>
      <c r="J42" s="61">
        <v>1</v>
      </c>
      <c r="K42" s="60">
        <v>1</v>
      </c>
      <c r="L42" s="61" t="s">
        <v>135</v>
      </c>
      <c r="M42" s="61" t="s">
        <v>136</v>
      </c>
      <c r="N42" s="60" t="s">
        <v>135</v>
      </c>
      <c r="O42" s="61"/>
      <c r="P42" s="61" t="s">
        <v>135</v>
      </c>
      <c r="Q42" s="61">
        <v>1</v>
      </c>
      <c r="R42" s="60"/>
      <c r="S42" s="61" t="s">
        <v>135</v>
      </c>
      <c r="T42" s="60"/>
      <c r="U42" s="61">
        <v>1</v>
      </c>
      <c r="V42" s="60" t="s">
        <v>135</v>
      </c>
      <c r="W42" s="67">
        <f>IFERROR(COUNTIF('Fairway Log'!$E42:$V42,1)/COUNTA('Fairway Log'!$E42:$V42),"")</f>
        <v>0.46153846153846156</v>
      </c>
    </row>
    <row r="43" spans="1:23" x14ac:dyDescent="0.25">
      <c r="A43" s="20" t="s">
        <v>126</v>
      </c>
      <c r="B43" s="27">
        <v>45897</v>
      </c>
      <c r="C43" s="20" t="s">
        <v>41</v>
      </c>
      <c r="D43" s="20">
        <f>SUM('Fairway Log'!$E43:$V43)</f>
        <v>3</v>
      </c>
      <c r="E43" s="61">
        <v>1</v>
      </c>
      <c r="F43" s="60" t="s">
        <v>136</v>
      </c>
      <c r="G43" s="61"/>
      <c r="H43" s="61" t="s">
        <v>135</v>
      </c>
      <c r="I43" s="60" t="s">
        <v>136</v>
      </c>
      <c r="J43" s="61"/>
      <c r="K43" s="60" t="s">
        <v>135</v>
      </c>
      <c r="L43" s="61" t="s">
        <v>135</v>
      </c>
      <c r="M43" s="61" t="s">
        <v>135</v>
      </c>
      <c r="N43" s="60">
        <v>1</v>
      </c>
      <c r="O43" s="61" t="s">
        <v>135</v>
      </c>
      <c r="P43" s="61" t="s">
        <v>135</v>
      </c>
      <c r="Q43" s="61"/>
      <c r="R43" s="60" t="s">
        <v>139</v>
      </c>
      <c r="S43" s="61" t="s">
        <v>135</v>
      </c>
      <c r="T43" s="60"/>
      <c r="U43" s="61" t="s">
        <v>135</v>
      </c>
      <c r="V43" s="60">
        <v>1</v>
      </c>
      <c r="W43" s="67">
        <f>IFERROR(COUNTIF('Fairway Log'!$E43:$V43,1)/COUNTA('Fairway Log'!$E43:$V43),"")</f>
        <v>0.21428571428571427</v>
      </c>
    </row>
    <row r="44" spans="1:23" x14ac:dyDescent="0.25">
      <c r="A44" s="20" t="s">
        <v>127</v>
      </c>
      <c r="B44" s="27">
        <v>45894</v>
      </c>
      <c r="C44" s="20" t="s">
        <v>11</v>
      </c>
      <c r="D44" s="20">
        <f>SUM('Fairway Log'!$E44:$V44)</f>
        <v>3</v>
      </c>
      <c r="E44" s="61">
        <v>1</v>
      </c>
      <c r="F44" s="60"/>
      <c r="G44" s="61" t="s">
        <v>135</v>
      </c>
      <c r="H44" s="61"/>
      <c r="I44" s="60" t="s">
        <v>135</v>
      </c>
      <c r="J44" s="61" t="s">
        <v>135</v>
      </c>
      <c r="K44" s="60">
        <v>1</v>
      </c>
      <c r="L44" s="61" t="s">
        <v>135</v>
      </c>
      <c r="M44" s="61" t="s">
        <v>135</v>
      </c>
      <c r="N44" s="60" t="s">
        <v>135</v>
      </c>
      <c r="O44" s="61"/>
      <c r="P44" s="61" t="s">
        <v>135</v>
      </c>
      <c r="Q44" s="61" t="s">
        <v>135</v>
      </c>
      <c r="R44" s="60"/>
      <c r="S44" s="61" t="s">
        <v>136</v>
      </c>
      <c r="T44" s="60"/>
      <c r="U44" s="61">
        <v>1</v>
      </c>
      <c r="V44" s="60" t="s">
        <v>135</v>
      </c>
      <c r="W44" s="67">
        <f>IFERROR(COUNTIF('Fairway Log'!$E44:$V44,1)/COUNTA('Fairway Log'!$E44:$V44),"")</f>
        <v>0.23076923076923078</v>
      </c>
    </row>
    <row r="45" spans="1:23" x14ac:dyDescent="0.25">
      <c r="A45" s="20" t="s">
        <v>127</v>
      </c>
      <c r="B45" s="27">
        <v>45853</v>
      </c>
      <c r="C45" s="20" t="s">
        <v>128</v>
      </c>
      <c r="D45" s="20">
        <f>SUM('Fairway Log'!$E45:$V45)</f>
        <v>0</v>
      </c>
      <c r="E45" s="61">
        <v>0</v>
      </c>
      <c r="F45" s="60"/>
      <c r="G45" s="61">
        <v>0</v>
      </c>
      <c r="H45" s="61">
        <v>0</v>
      </c>
      <c r="I45" s="60">
        <v>0</v>
      </c>
      <c r="J45" s="61">
        <v>0</v>
      </c>
      <c r="K45" s="60">
        <v>0</v>
      </c>
      <c r="L45" s="61"/>
      <c r="M45" s="61">
        <v>0</v>
      </c>
      <c r="N45" s="60">
        <v>0</v>
      </c>
      <c r="O45" s="61"/>
      <c r="P45" s="61">
        <v>0</v>
      </c>
      <c r="Q45" s="61">
        <v>0</v>
      </c>
      <c r="R45" s="60"/>
      <c r="S45" s="61">
        <v>0</v>
      </c>
      <c r="T45" s="60">
        <v>0</v>
      </c>
      <c r="U45" s="61">
        <v>0</v>
      </c>
      <c r="V45" s="60">
        <v>0</v>
      </c>
      <c r="W45" s="67">
        <f>IFERROR(COUNTIF('Fairway Log'!$E45:$V45,1)/COUNTA('Fairway Log'!$E45:$V45),"")</f>
        <v>0</v>
      </c>
    </row>
    <row r="46" spans="1:23" x14ac:dyDescent="0.25">
      <c r="A46" s="20" t="s">
        <v>127</v>
      </c>
      <c r="B46" s="27">
        <v>45765</v>
      </c>
      <c r="C46" s="20" t="s">
        <v>129</v>
      </c>
      <c r="D46" s="20">
        <f>SUM('Fairway Log'!$E46:$V46)</f>
        <v>5</v>
      </c>
      <c r="E46" s="61" t="s">
        <v>136</v>
      </c>
      <c r="F46" s="60"/>
      <c r="G46" s="61" t="s">
        <v>139</v>
      </c>
      <c r="H46" s="61" t="s">
        <v>139</v>
      </c>
      <c r="I46" s="60" t="s">
        <v>139</v>
      </c>
      <c r="J46" s="61"/>
      <c r="K46" s="60">
        <v>1</v>
      </c>
      <c r="L46" s="61"/>
      <c r="M46" s="61">
        <v>1</v>
      </c>
      <c r="N46" s="60" t="s">
        <v>135</v>
      </c>
      <c r="O46" s="61" t="s">
        <v>135</v>
      </c>
      <c r="P46" s="61">
        <v>1</v>
      </c>
      <c r="Q46" s="61"/>
      <c r="R46" s="60" t="s">
        <v>135</v>
      </c>
      <c r="S46" s="61" t="s">
        <v>139</v>
      </c>
      <c r="T46" s="60">
        <v>1</v>
      </c>
      <c r="U46" s="61"/>
      <c r="V46" s="60">
        <v>1</v>
      </c>
      <c r="W46" s="67">
        <f>IFERROR(COUNTIF('Fairway Log'!$E46:$V46,1)/COUNTA('Fairway Log'!$E46:$V46),"")</f>
        <v>0.38461538461538464</v>
      </c>
    </row>
    <row r="47" spans="1:23" x14ac:dyDescent="0.25">
      <c r="A47" s="20" t="s">
        <v>127</v>
      </c>
      <c r="B47" s="27">
        <v>45520</v>
      </c>
      <c r="C47" s="20" t="s">
        <v>46</v>
      </c>
      <c r="D47" s="20">
        <f>SUM('Fairway Log'!$E47:$V47)</f>
        <v>7</v>
      </c>
      <c r="E47" s="61" t="s">
        <v>139</v>
      </c>
      <c r="F47" s="60" t="s">
        <v>139</v>
      </c>
      <c r="G47" s="61">
        <v>1</v>
      </c>
      <c r="H47" s="61"/>
      <c r="I47" s="60">
        <v>1</v>
      </c>
      <c r="J47" s="61">
        <v>1</v>
      </c>
      <c r="K47" s="60">
        <v>1</v>
      </c>
      <c r="L47" s="61"/>
      <c r="M47" s="61" t="s">
        <v>139</v>
      </c>
      <c r="N47" s="60" t="s">
        <v>139</v>
      </c>
      <c r="O47" s="61" t="s">
        <v>139</v>
      </c>
      <c r="P47" s="61">
        <v>1</v>
      </c>
      <c r="Q47" s="61"/>
      <c r="R47" s="60">
        <v>1</v>
      </c>
      <c r="S47" s="61" t="s">
        <v>139</v>
      </c>
      <c r="T47" s="60" t="s">
        <v>135</v>
      </c>
      <c r="U47" s="61"/>
      <c r="V47" s="60">
        <v>1</v>
      </c>
      <c r="W47" s="67">
        <f>IFERROR(COUNTIF('Fairway Log'!$E47:$V47,1)/COUNTA('Fairway Log'!$E47:$V47),"")</f>
        <v>0.5</v>
      </c>
    </row>
    <row r="48" spans="1:23" x14ac:dyDescent="0.25">
      <c r="A48" s="20" t="s">
        <v>127</v>
      </c>
      <c r="B48" s="27">
        <v>45492</v>
      </c>
      <c r="C48" s="20" t="s">
        <v>6</v>
      </c>
      <c r="D48" s="20">
        <f>SUM('Fairway Log'!$E48:$V48)</f>
        <v>7</v>
      </c>
      <c r="E48" s="61">
        <v>1</v>
      </c>
      <c r="F48" s="60" t="s">
        <v>136</v>
      </c>
      <c r="G48" s="61"/>
      <c r="H48" s="61" t="s">
        <v>135</v>
      </c>
      <c r="I48" s="60"/>
      <c r="J48" s="61">
        <v>1</v>
      </c>
      <c r="K48" s="60" t="s">
        <v>135</v>
      </c>
      <c r="L48" s="61" t="s">
        <v>136</v>
      </c>
      <c r="M48" s="61" t="s">
        <v>136</v>
      </c>
      <c r="N48" s="60" t="s">
        <v>136</v>
      </c>
      <c r="O48" s="61" t="s">
        <v>135</v>
      </c>
      <c r="P48" s="61" t="s">
        <v>135</v>
      </c>
      <c r="Q48" s="61">
        <v>1</v>
      </c>
      <c r="R48" s="60"/>
      <c r="S48" s="61">
        <v>1</v>
      </c>
      <c r="T48" s="60">
        <v>1</v>
      </c>
      <c r="U48" s="61">
        <v>1</v>
      </c>
      <c r="V48" s="60">
        <v>1</v>
      </c>
      <c r="W48" s="67">
        <f>IFERROR(COUNTIF('Fairway Log'!$E48:$V48,1)/COUNTA('Fairway Log'!$E48:$V48),"")</f>
        <v>0.46666666666666667</v>
      </c>
    </row>
    <row r="49" spans="1:23" x14ac:dyDescent="0.25">
      <c r="A49" s="20" t="s">
        <v>127</v>
      </c>
      <c r="B49" s="27">
        <v>45453</v>
      </c>
      <c r="C49" s="20" t="s">
        <v>11</v>
      </c>
      <c r="D49" s="20">
        <f>SUM('Fairway Log'!$E49:$V49)</f>
        <v>0</v>
      </c>
      <c r="E49" s="61">
        <v>0</v>
      </c>
      <c r="F49" s="60"/>
      <c r="G49" s="61">
        <v>0</v>
      </c>
      <c r="H49" s="61"/>
      <c r="I49" s="60">
        <v>0</v>
      </c>
      <c r="J49" s="61">
        <v>0</v>
      </c>
      <c r="K49" s="60">
        <v>0</v>
      </c>
      <c r="L49" s="61">
        <v>0</v>
      </c>
      <c r="M49" s="61">
        <v>0</v>
      </c>
      <c r="N49" s="60">
        <v>0</v>
      </c>
      <c r="O49" s="61"/>
      <c r="P49" s="61">
        <v>0</v>
      </c>
      <c r="Q49" s="61">
        <v>0</v>
      </c>
      <c r="R49" s="60"/>
      <c r="S49" s="61">
        <v>0</v>
      </c>
      <c r="T49" s="60"/>
      <c r="U49" s="61">
        <v>0</v>
      </c>
      <c r="V49" s="60">
        <v>0</v>
      </c>
      <c r="W49" s="67">
        <f>IFERROR(COUNTIF('Fairway Log'!$E49:$V49,1)/COUNTA('Fairway Log'!$E49:$V49),"")</f>
        <v>0</v>
      </c>
    </row>
    <row r="50" spans="1:23" x14ac:dyDescent="0.25">
      <c r="A50" s="20" t="s">
        <v>130</v>
      </c>
      <c r="B50" s="27">
        <v>45156</v>
      </c>
      <c r="C50" s="20" t="s">
        <v>46</v>
      </c>
      <c r="D50" s="20"/>
      <c r="E50" s="61"/>
      <c r="F50" s="60"/>
      <c r="G50" s="61"/>
      <c r="H50" s="61"/>
      <c r="I50" s="60"/>
      <c r="J50" s="61"/>
      <c r="K50" s="60"/>
      <c r="L50" s="61"/>
      <c r="M50" s="61"/>
      <c r="N50" s="60"/>
      <c r="O50" s="61"/>
      <c r="P50" s="61"/>
      <c r="Q50" s="61"/>
      <c r="R50" s="60"/>
      <c r="S50" s="61"/>
      <c r="T50" s="60"/>
      <c r="U50" s="61"/>
      <c r="V50" s="60"/>
      <c r="W50" s="67" t="str">
        <f>IFERROR(COUNTIF('Fairway Log'!$E50:$V50,1)/COUNTA('Fairway Log'!$E50:$V50),"")</f>
        <v/>
      </c>
    </row>
    <row r="51" spans="1:23" x14ac:dyDescent="0.25">
      <c r="A51" s="20" t="s">
        <v>130</v>
      </c>
      <c r="B51" s="27">
        <v>45465</v>
      </c>
      <c r="C51" s="20" t="s">
        <v>12</v>
      </c>
      <c r="D51" s="20">
        <f>SUM('Fairway Log'!$E51:$V51)</f>
        <v>0</v>
      </c>
      <c r="E51" s="61" t="s">
        <v>136</v>
      </c>
      <c r="F51" s="60" t="s">
        <v>139</v>
      </c>
      <c r="G51" s="61" t="s">
        <v>139</v>
      </c>
      <c r="H51" s="61" t="s">
        <v>139</v>
      </c>
      <c r="I51" s="60" t="s">
        <v>139</v>
      </c>
      <c r="J51" s="61"/>
      <c r="K51" s="60" t="s">
        <v>139</v>
      </c>
      <c r="L51" s="61"/>
      <c r="M51" s="61" t="s">
        <v>136</v>
      </c>
      <c r="N51" s="60" t="s">
        <v>136</v>
      </c>
      <c r="O51" s="61" t="s">
        <v>135</v>
      </c>
      <c r="P51" s="61"/>
      <c r="Q51" s="61" t="s">
        <v>139</v>
      </c>
      <c r="R51" s="60"/>
      <c r="S51" s="61" t="s">
        <v>139</v>
      </c>
      <c r="T51" s="60" t="s">
        <v>136</v>
      </c>
      <c r="U51" s="61" t="s">
        <v>139</v>
      </c>
      <c r="V51" s="60" t="s">
        <v>135</v>
      </c>
      <c r="W51" s="67">
        <f>IFERROR(COUNTIF('Fairway Log'!$E51:$V51,1)/COUNTA('Fairway Log'!$E51:$V51),"")</f>
        <v>0</v>
      </c>
    </row>
    <row r="52" spans="1:23" x14ac:dyDescent="0.25">
      <c r="A52" s="20" t="s">
        <v>130</v>
      </c>
      <c r="B52" s="27">
        <v>45514</v>
      </c>
      <c r="C52" s="20" t="s">
        <v>6</v>
      </c>
      <c r="D52" s="20">
        <f>SUM('Fairway Log'!$E52:$V52)</f>
        <v>4</v>
      </c>
      <c r="E52" s="61" t="s">
        <v>139</v>
      </c>
      <c r="F52" s="60" t="s">
        <v>139</v>
      </c>
      <c r="G52" s="61"/>
      <c r="H52" s="61">
        <v>1</v>
      </c>
      <c r="I52" s="60"/>
      <c r="J52" s="61">
        <v>1</v>
      </c>
      <c r="K52" s="60" t="s">
        <v>139</v>
      </c>
      <c r="L52" s="61" t="s">
        <v>139</v>
      </c>
      <c r="M52" s="61" t="s">
        <v>139</v>
      </c>
      <c r="N52" s="60" t="s">
        <v>135</v>
      </c>
      <c r="O52" s="61" t="s">
        <v>139</v>
      </c>
      <c r="P52" s="61">
        <v>1</v>
      </c>
      <c r="Q52" s="61" t="s">
        <v>139</v>
      </c>
      <c r="R52" s="60"/>
      <c r="S52" s="61" t="s">
        <v>135</v>
      </c>
      <c r="T52" s="60" t="s">
        <v>139</v>
      </c>
      <c r="U52" s="61">
        <v>1</v>
      </c>
      <c r="V52" s="60" t="s">
        <v>139</v>
      </c>
      <c r="W52" s="67">
        <f>IFERROR(COUNTIF('Fairway Log'!$E52:$V52,1)/COUNTA('Fairway Log'!$E52:$V52),"")</f>
        <v>0.26666666666666666</v>
      </c>
    </row>
    <row r="53" spans="1:23" x14ac:dyDescent="0.25">
      <c r="A53" s="20" t="s">
        <v>130</v>
      </c>
      <c r="B53" s="27">
        <v>45892</v>
      </c>
      <c r="C53" s="20" t="s">
        <v>41</v>
      </c>
      <c r="D53" s="20">
        <f>SUM('Fairway Log'!$E53:$V53)</f>
        <v>8</v>
      </c>
      <c r="E53" s="61" t="s">
        <v>139</v>
      </c>
      <c r="F53" s="60">
        <v>1</v>
      </c>
      <c r="G53" s="61"/>
      <c r="H53" s="61">
        <v>1</v>
      </c>
      <c r="I53" s="60">
        <v>1</v>
      </c>
      <c r="J53" s="61"/>
      <c r="K53" s="60" t="s">
        <v>135</v>
      </c>
      <c r="L53" s="61">
        <v>1</v>
      </c>
      <c r="M53" s="61">
        <v>1</v>
      </c>
      <c r="N53" s="60" t="s">
        <v>139</v>
      </c>
      <c r="O53" s="61">
        <v>1</v>
      </c>
      <c r="P53" s="61" t="s">
        <v>135</v>
      </c>
      <c r="Q53" s="61"/>
      <c r="R53" s="60" t="s">
        <v>136</v>
      </c>
      <c r="S53" s="61" t="s">
        <v>136</v>
      </c>
      <c r="T53" s="60"/>
      <c r="U53" s="61">
        <v>1</v>
      </c>
      <c r="V53" s="60">
        <v>1</v>
      </c>
      <c r="W53" s="67">
        <f>IFERROR(COUNTIF('Fairway Log'!$E53:$V53,1)/COUNTA('Fairway Log'!$E53:$V53),"")</f>
        <v>0.5714285714285714</v>
      </c>
    </row>
    <row r="54" spans="1:23" x14ac:dyDescent="0.25">
      <c r="A54" s="20" t="s">
        <v>130</v>
      </c>
      <c r="B54" s="27">
        <v>45886</v>
      </c>
      <c r="C54" s="20" t="s">
        <v>41</v>
      </c>
      <c r="D54" s="20">
        <f>SUM('Fairway Log'!$E54:$V54)</f>
        <v>8</v>
      </c>
      <c r="E54" s="61" t="s">
        <v>139</v>
      </c>
      <c r="F54" s="60" t="s">
        <v>136</v>
      </c>
      <c r="G54" s="61"/>
      <c r="H54" s="61">
        <v>1</v>
      </c>
      <c r="I54" s="60" t="s">
        <v>136</v>
      </c>
      <c r="J54" s="61"/>
      <c r="K54" s="60">
        <v>1</v>
      </c>
      <c r="L54" s="61">
        <v>1</v>
      </c>
      <c r="M54" s="61" t="s">
        <v>139</v>
      </c>
      <c r="N54" s="60">
        <v>1</v>
      </c>
      <c r="O54" s="61">
        <v>1</v>
      </c>
      <c r="P54" s="61">
        <v>1</v>
      </c>
      <c r="Q54" s="61"/>
      <c r="R54" s="60">
        <v>1</v>
      </c>
      <c r="S54" s="61" t="s">
        <v>139</v>
      </c>
      <c r="T54" s="60"/>
      <c r="U54" s="61" t="s">
        <v>135</v>
      </c>
      <c r="V54" s="60">
        <v>1</v>
      </c>
      <c r="W54" s="67">
        <f>IFERROR(COUNTIF('Fairway Log'!$E54:$V54,1)/COUNTA('Fairway Log'!$E54:$V54),"")</f>
        <v>0.5714285714285714</v>
      </c>
    </row>
    <row r="55" spans="1:23" x14ac:dyDescent="0.25">
      <c r="A55" s="20" t="s">
        <v>130</v>
      </c>
      <c r="B55" s="27">
        <v>45897</v>
      </c>
      <c r="C55" s="20" t="s">
        <v>41</v>
      </c>
      <c r="D55" s="20">
        <f>SUM('Fairway Log'!$E55:$V55)</f>
        <v>5</v>
      </c>
      <c r="E55" s="61" t="s">
        <v>139</v>
      </c>
      <c r="F55" s="60" t="s">
        <v>139</v>
      </c>
      <c r="G55" s="61"/>
      <c r="H55" s="61">
        <v>1</v>
      </c>
      <c r="I55" s="60" t="s">
        <v>139</v>
      </c>
      <c r="J55" s="61"/>
      <c r="K55" s="60" t="s">
        <v>139</v>
      </c>
      <c r="L55" s="61">
        <v>1</v>
      </c>
      <c r="M55" s="61">
        <v>1</v>
      </c>
      <c r="N55" s="60" t="s">
        <v>139</v>
      </c>
      <c r="O55" s="61" t="s">
        <v>135</v>
      </c>
      <c r="P55" s="61" t="s">
        <v>135</v>
      </c>
      <c r="Q55" s="61"/>
      <c r="R55" s="60" t="s">
        <v>139</v>
      </c>
      <c r="S55" s="61" t="s">
        <v>138</v>
      </c>
      <c r="T55" s="60"/>
      <c r="U55" s="61">
        <v>1</v>
      </c>
      <c r="V55" s="60">
        <v>1</v>
      </c>
      <c r="W55" s="67">
        <f>IFERROR(COUNTIF('Fairway Log'!$E55:$V55,1)/COUNTA('Fairway Log'!$E55:$V55),"")</f>
        <v>0.35714285714285715</v>
      </c>
    </row>
    <row r="56" spans="1:23" x14ac:dyDescent="0.25">
      <c r="A56" s="20" t="s">
        <v>130</v>
      </c>
      <c r="B56" s="27">
        <v>45829</v>
      </c>
      <c r="C56" s="20" t="s">
        <v>6</v>
      </c>
      <c r="D56" s="20">
        <f>SUM('Fairway Log'!$E56:$V56)</f>
        <v>1</v>
      </c>
      <c r="E56" s="61" t="s">
        <v>136</v>
      </c>
      <c r="F56" s="60" t="s">
        <v>139</v>
      </c>
      <c r="G56" s="61"/>
      <c r="H56" s="61" t="s">
        <v>139</v>
      </c>
      <c r="I56" s="60"/>
      <c r="J56" s="61" t="s">
        <v>139</v>
      </c>
      <c r="K56" s="60" t="s">
        <v>139</v>
      </c>
      <c r="L56" s="61" t="s">
        <v>139</v>
      </c>
      <c r="M56" s="61" t="s">
        <v>139</v>
      </c>
      <c r="N56" s="60" t="s">
        <v>139</v>
      </c>
      <c r="O56" s="61" t="s">
        <v>139</v>
      </c>
      <c r="P56" s="61" t="s">
        <v>138</v>
      </c>
      <c r="Q56" s="61" t="s">
        <v>138</v>
      </c>
      <c r="R56" s="60"/>
      <c r="S56" s="61" t="s">
        <v>139</v>
      </c>
      <c r="T56" s="60">
        <v>1</v>
      </c>
      <c r="U56" s="61" t="s">
        <v>139</v>
      </c>
      <c r="V56" s="60" t="s">
        <v>139</v>
      </c>
      <c r="W56" s="67">
        <f>IFERROR(COUNTIF('Fairway Log'!$E56:$V56,1)/COUNTA('Fairway Log'!$E56:$V56),"")</f>
        <v>6.6666666666666666E-2</v>
      </c>
    </row>
    <row r="57" spans="1:23" x14ac:dyDescent="0.25">
      <c r="A57" s="20" t="s">
        <v>130</v>
      </c>
      <c r="B57" s="27">
        <v>45857</v>
      </c>
      <c r="C57" s="20" t="s">
        <v>3</v>
      </c>
      <c r="D57" s="20">
        <f>SUM('Fairway Log'!$E57:$V57)</f>
        <v>6</v>
      </c>
      <c r="E57" s="61">
        <v>1</v>
      </c>
      <c r="F57" s="60" t="s">
        <v>136</v>
      </c>
      <c r="G57" s="61"/>
      <c r="H57" s="61">
        <v>1</v>
      </c>
      <c r="I57" s="60" t="s">
        <v>136</v>
      </c>
      <c r="J57" s="61"/>
      <c r="K57" s="60" t="s">
        <v>135</v>
      </c>
      <c r="L57" s="61" t="s">
        <v>139</v>
      </c>
      <c r="M57" s="61" t="s">
        <v>139</v>
      </c>
      <c r="N57" s="60" t="s">
        <v>139</v>
      </c>
      <c r="O57" s="61"/>
      <c r="P57" s="61">
        <v>1</v>
      </c>
      <c r="Q57" s="61">
        <v>1</v>
      </c>
      <c r="R57" s="60" t="s">
        <v>139</v>
      </c>
      <c r="S57" s="61"/>
      <c r="T57" s="60">
        <v>1</v>
      </c>
      <c r="U57" s="61" t="s">
        <v>136</v>
      </c>
      <c r="V57" s="60">
        <v>1</v>
      </c>
      <c r="W57" s="67">
        <f>IFERROR(COUNTIF('Fairway Log'!$E57:$V57,1)/COUNTA('Fairway Log'!$E57:$V57),"")</f>
        <v>0.42857142857142855</v>
      </c>
    </row>
    <row r="58" spans="1:23" x14ac:dyDescent="0.25">
      <c r="A58" s="20" t="s">
        <v>130</v>
      </c>
      <c r="B58" s="27">
        <v>45844</v>
      </c>
      <c r="C58" s="20" t="s">
        <v>3</v>
      </c>
      <c r="D58" s="20">
        <f>SUM('Fairway Log'!$E58:$V58)</f>
        <v>6</v>
      </c>
      <c r="E58" s="61">
        <v>1</v>
      </c>
      <c r="F58" s="60" t="s">
        <v>139</v>
      </c>
      <c r="G58" s="61"/>
      <c r="H58" s="61" t="s">
        <v>139</v>
      </c>
      <c r="I58" s="60">
        <v>1</v>
      </c>
      <c r="J58" s="61"/>
      <c r="K58" s="60">
        <v>1</v>
      </c>
      <c r="L58" s="61">
        <v>1</v>
      </c>
      <c r="M58" s="61" t="s">
        <v>139</v>
      </c>
      <c r="N58" s="60" t="s">
        <v>135</v>
      </c>
      <c r="O58" s="61"/>
      <c r="P58" s="61">
        <v>1</v>
      </c>
      <c r="Q58" s="61" t="s">
        <v>139</v>
      </c>
      <c r="R58" s="60" t="s">
        <v>139</v>
      </c>
      <c r="S58" s="61"/>
      <c r="T58" s="60" t="s">
        <v>139</v>
      </c>
      <c r="U58" s="61" t="s">
        <v>135</v>
      </c>
      <c r="V58" s="60">
        <v>1</v>
      </c>
      <c r="W58" s="67">
        <f>IFERROR(COUNTIF('Fairway Log'!$E58:$V58,1)/COUNTA('Fairway Log'!$E58:$V58),"")</f>
        <v>0.42857142857142855</v>
      </c>
    </row>
    <row r="59" spans="1:23" x14ac:dyDescent="0.25">
      <c r="A59" s="20" t="s">
        <v>130</v>
      </c>
      <c r="B59" s="27">
        <v>45653</v>
      </c>
      <c r="C59" s="20" t="s">
        <v>2</v>
      </c>
      <c r="D59" s="20">
        <f>SUM('Fairway Log'!$E59:$V59)</f>
        <v>3</v>
      </c>
      <c r="E59" s="61" t="s">
        <v>139</v>
      </c>
      <c r="F59" s="60" t="s">
        <v>139</v>
      </c>
      <c r="G59" s="61"/>
      <c r="H59" s="61">
        <v>1</v>
      </c>
      <c r="I59" s="60" t="s">
        <v>139</v>
      </c>
      <c r="J59" s="61" t="s">
        <v>139</v>
      </c>
      <c r="K59" s="60" t="s">
        <v>136</v>
      </c>
      <c r="L59" s="61"/>
      <c r="M59" s="61">
        <v>1</v>
      </c>
      <c r="N59" s="60">
        <v>1</v>
      </c>
      <c r="O59" s="61"/>
      <c r="P59" s="61" t="s">
        <v>139</v>
      </c>
      <c r="Q59" s="61" t="s">
        <v>139</v>
      </c>
      <c r="R59" s="60" t="s">
        <v>139</v>
      </c>
      <c r="S59" s="61" t="s">
        <v>135</v>
      </c>
      <c r="T59" s="60"/>
      <c r="U59" s="61" t="s">
        <v>139</v>
      </c>
      <c r="V59" s="60" t="s">
        <v>135</v>
      </c>
      <c r="W59" s="67">
        <f>IFERROR(COUNTIF('Fairway Log'!$E59:$V59,1)/COUNTA('Fairway Log'!$E59:$V59),"")</f>
        <v>0.21428571428571427</v>
      </c>
    </row>
    <row r="60" spans="1:23" x14ac:dyDescent="0.25">
      <c r="A60" s="20" t="s">
        <v>130</v>
      </c>
      <c r="B60" s="27">
        <v>45655</v>
      </c>
      <c r="C60" s="20" t="s">
        <v>4</v>
      </c>
      <c r="D60" s="20">
        <f>SUM('Fairway Log'!$E60:$V60)</f>
        <v>3</v>
      </c>
      <c r="E60" s="61">
        <v>1</v>
      </c>
      <c r="F60" s="60" t="s">
        <v>139</v>
      </c>
      <c r="G60" s="61"/>
      <c r="H60" s="61" t="s">
        <v>139</v>
      </c>
      <c r="I60" s="60"/>
      <c r="J60" s="61" t="s">
        <v>135</v>
      </c>
      <c r="K60" s="60" t="s">
        <v>136</v>
      </c>
      <c r="L60" s="61"/>
      <c r="M60" s="61" t="s">
        <v>136</v>
      </c>
      <c r="N60" s="60">
        <v>1</v>
      </c>
      <c r="O60" s="61" t="s">
        <v>135</v>
      </c>
      <c r="P60" s="61" t="s">
        <v>139</v>
      </c>
      <c r="Q60" s="61"/>
      <c r="R60" s="60" t="s">
        <v>139</v>
      </c>
      <c r="S60" s="61">
        <v>1</v>
      </c>
      <c r="T60" s="60"/>
      <c r="U60" s="61" t="s">
        <v>139</v>
      </c>
      <c r="V60" s="60">
        <v>0</v>
      </c>
      <c r="W60" s="67">
        <f>IFERROR(COUNTIF('Fairway Log'!$E60:$V60,1)/COUNTA('Fairway Log'!$E60:$V60),"")</f>
        <v>0.23076923076923078</v>
      </c>
    </row>
    <row r="61" spans="1:23" x14ac:dyDescent="0.25">
      <c r="A61" s="20" t="s">
        <v>130</v>
      </c>
      <c r="B61" s="27">
        <v>45649</v>
      </c>
      <c r="C61" s="20" t="s">
        <v>14</v>
      </c>
      <c r="D61" s="20">
        <f>SUM('Fairway Log'!$E61:$V61)</f>
        <v>3</v>
      </c>
      <c r="E61" s="61" t="s">
        <v>138</v>
      </c>
      <c r="F61" s="60"/>
      <c r="G61" s="61">
        <v>1</v>
      </c>
      <c r="H61" s="61">
        <v>0</v>
      </c>
      <c r="I61" s="60">
        <v>0</v>
      </c>
      <c r="J61" s="61">
        <v>0</v>
      </c>
      <c r="K61" s="60" t="s">
        <v>139</v>
      </c>
      <c r="L61" s="61"/>
      <c r="M61" s="61" t="s">
        <v>139</v>
      </c>
      <c r="N61" s="60" t="s">
        <v>139</v>
      </c>
      <c r="O61" s="61" t="s">
        <v>139</v>
      </c>
      <c r="P61" s="61" t="s">
        <v>139</v>
      </c>
      <c r="Q61" s="61">
        <v>1</v>
      </c>
      <c r="R61" s="60">
        <v>1</v>
      </c>
      <c r="S61" s="61"/>
      <c r="T61" s="60" t="s">
        <v>135</v>
      </c>
      <c r="U61" s="61"/>
      <c r="V61" s="60" t="s">
        <v>139</v>
      </c>
      <c r="W61" s="67">
        <f>IFERROR(COUNTIF('Fairway Log'!$E61:$V61,1)/COUNTA('Fairway Log'!$E61:$V61),"")</f>
        <v>0.21428571428571427</v>
      </c>
    </row>
    <row r="62" spans="1:23" x14ac:dyDescent="0.25">
      <c r="A62" s="20" t="s">
        <v>130</v>
      </c>
      <c r="B62" s="27">
        <v>45570</v>
      </c>
      <c r="C62" s="20" t="s">
        <v>3</v>
      </c>
      <c r="D62" s="20">
        <f>SUM('Fairway Log'!$E62:$V62)</f>
        <v>2</v>
      </c>
      <c r="E62" s="61" t="s">
        <v>139</v>
      </c>
      <c r="F62" s="60">
        <v>1</v>
      </c>
      <c r="G62" s="61"/>
      <c r="H62" s="61">
        <v>1</v>
      </c>
      <c r="I62" s="60" t="s">
        <v>135</v>
      </c>
      <c r="J62" s="61"/>
      <c r="K62" s="60" t="s">
        <v>139</v>
      </c>
      <c r="L62" s="61" t="s">
        <v>136</v>
      </c>
      <c r="M62" s="61" t="s">
        <v>139</v>
      </c>
      <c r="N62" s="60" t="s">
        <v>139</v>
      </c>
      <c r="O62" s="61"/>
      <c r="P62" s="61" t="s">
        <v>138</v>
      </c>
      <c r="Q62" s="61" t="s">
        <v>139</v>
      </c>
      <c r="R62" s="60" t="s">
        <v>139</v>
      </c>
      <c r="S62" s="61"/>
      <c r="T62" s="60" t="s">
        <v>135</v>
      </c>
      <c r="U62" s="61" t="s">
        <v>139</v>
      </c>
      <c r="V62" s="60" t="s">
        <v>135</v>
      </c>
      <c r="W62" s="67">
        <f>IFERROR(COUNTIF('Fairway Log'!$E62:$V62,1)/COUNTA('Fairway Log'!$E62:$V62),"")</f>
        <v>0.14285714285714285</v>
      </c>
    </row>
    <row r="63" spans="1:23" x14ac:dyDescent="0.25">
      <c r="A63" s="20" t="s">
        <v>130</v>
      </c>
      <c r="B63" s="27">
        <v>45535</v>
      </c>
      <c r="C63" s="20" t="s">
        <v>9</v>
      </c>
      <c r="D63" s="20">
        <f>SUM('Fairway Log'!$E63:$V63)</f>
        <v>4</v>
      </c>
      <c r="E63" s="61" t="s">
        <v>139</v>
      </c>
      <c r="F63" s="60">
        <v>1</v>
      </c>
      <c r="G63" s="61" t="s">
        <v>135</v>
      </c>
      <c r="H63" s="61"/>
      <c r="I63" s="60">
        <v>1</v>
      </c>
      <c r="J63" s="61">
        <v>1</v>
      </c>
      <c r="K63" s="60"/>
      <c r="L63" s="61" t="s">
        <v>139</v>
      </c>
      <c r="M63" s="61" t="s">
        <v>139</v>
      </c>
      <c r="N63" s="60" t="s">
        <v>136</v>
      </c>
      <c r="O63" s="61"/>
      <c r="P63" s="61" t="s">
        <v>139</v>
      </c>
      <c r="Q63" s="61" t="s">
        <v>139</v>
      </c>
      <c r="R63" s="60"/>
      <c r="S63" s="61" t="s">
        <v>139</v>
      </c>
      <c r="T63" s="60" t="s">
        <v>139</v>
      </c>
      <c r="U63" s="61">
        <v>1</v>
      </c>
      <c r="V63" s="60" t="s">
        <v>139</v>
      </c>
      <c r="W63" s="67">
        <f>IFERROR(COUNTIF('Fairway Log'!$E63:$V63,1)/COUNTA('Fairway Log'!$E63:$V63),"")</f>
        <v>0.2857142857142857</v>
      </c>
    </row>
    <row r="64" spans="1:23" x14ac:dyDescent="0.25">
      <c r="A64" s="20" t="s">
        <v>130</v>
      </c>
      <c r="B64" s="27">
        <v>45487</v>
      </c>
      <c r="C64" s="20" t="s">
        <v>3</v>
      </c>
      <c r="D64" s="20">
        <f>SUM('Fairway Log'!$E64:$V64)</f>
        <v>2</v>
      </c>
      <c r="E64" s="61" t="s">
        <v>139</v>
      </c>
      <c r="F64" s="60" t="s">
        <v>136</v>
      </c>
      <c r="G64" s="61"/>
      <c r="H64" s="61" t="s">
        <v>139</v>
      </c>
      <c r="I64" s="60" t="s">
        <v>136</v>
      </c>
      <c r="J64" s="61"/>
      <c r="K64" s="60" t="s">
        <v>136</v>
      </c>
      <c r="L64" s="61" t="s">
        <v>139</v>
      </c>
      <c r="M64" s="61">
        <v>1</v>
      </c>
      <c r="N64" s="60" t="s">
        <v>136</v>
      </c>
      <c r="O64" s="61"/>
      <c r="P64" s="61" t="s">
        <v>138</v>
      </c>
      <c r="Q64" s="61" t="s">
        <v>139</v>
      </c>
      <c r="R64" s="60" t="s">
        <v>139</v>
      </c>
      <c r="S64" s="61"/>
      <c r="T64" s="60" t="s">
        <v>136</v>
      </c>
      <c r="U64" s="61">
        <v>1</v>
      </c>
      <c r="V64" s="60" t="s">
        <v>139</v>
      </c>
      <c r="W64" s="67">
        <f>IFERROR(COUNTIF('Fairway Log'!$E64:$V64,1)/COUNTA('Fairway Log'!$E64:$V64),"")</f>
        <v>0.14285714285714285</v>
      </c>
    </row>
    <row r="65" spans="1:23" x14ac:dyDescent="0.25">
      <c r="A65" s="20" t="s">
        <v>130</v>
      </c>
      <c r="B65" s="27">
        <v>45172</v>
      </c>
      <c r="C65" s="20" t="s">
        <v>3</v>
      </c>
      <c r="D65" s="20">
        <f>SUM('Fairway Log'!$E65:$V65)</f>
        <v>5</v>
      </c>
      <c r="E65" s="61" t="s">
        <v>135</v>
      </c>
      <c r="F65" s="60" t="s">
        <v>139</v>
      </c>
      <c r="G65" s="61"/>
      <c r="H65" s="61">
        <v>1</v>
      </c>
      <c r="I65" s="60" t="s">
        <v>136</v>
      </c>
      <c r="J65" s="61"/>
      <c r="K65" s="60">
        <v>1</v>
      </c>
      <c r="L65" s="61">
        <v>1</v>
      </c>
      <c r="M65" s="61">
        <v>1</v>
      </c>
      <c r="N65" s="60" t="s">
        <v>135</v>
      </c>
      <c r="O65" s="61"/>
      <c r="P65" s="61" t="s">
        <v>138</v>
      </c>
      <c r="Q65" s="61" t="s">
        <v>135</v>
      </c>
      <c r="R65" s="60" t="s">
        <v>135</v>
      </c>
      <c r="S65" s="61"/>
      <c r="T65" s="60">
        <v>1</v>
      </c>
      <c r="U65" s="61" t="s">
        <v>138</v>
      </c>
      <c r="V65" s="60" t="s">
        <v>135</v>
      </c>
      <c r="W65" s="67">
        <f>IFERROR(COUNTIF('Fairway Log'!$E65:$V65,1)/COUNTA('Fairway Log'!$E65:$V65),"")</f>
        <v>0.35714285714285715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SUM('Fairway Log'!$E66:$V66)</f>
        <v>3</v>
      </c>
      <c r="E66" s="60" t="s">
        <v>139</v>
      </c>
      <c r="F66" s="61">
        <v>1</v>
      </c>
      <c r="G66" s="61" t="s">
        <v>135</v>
      </c>
      <c r="H66" s="60" t="s">
        <v>139</v>
      </c>
      <c r="I66" s="61" t="s">
        <v>135</v>
      </c>
      <c r="J66" s="76"/>
      <c r="K66" s="61" t="s">
        <v>135</v>
      </c>
      <c r="L66" s="76"/>
      <c r="M66" s="61" t="s">
        <v>135</v>
      </c>
      <c r="N66" s="61" t="s">
        <v>135</v>
      </c>
      <c r="O66" s="61" t="s">
        <v>135</v>
      </c>
      <c r="P66" s="76"/>
      <c r="Q66" s="61">
        <v>1</v>
      </c>
      <c r="R66" s="76"/>
      <c r="S66" s="61" t="s">
        <v>135</v>
      </c>
      <c r="T66" s="61" t="s">
        <v>135</v>
      </c>
      <c r="U66" s="61" t="s">
        <v>135</v>
      </c>
      <c r="V66" s="61">
        <v>1</v>
      </c>
      <c r="W66" s="77">
        <f>IFERROR(COUNTIF('Fairway Log'!$E66:$V66,1)/COUNTA('Fairway Log'!$E66:$V66),"")</f>
        <v>0.21428571428571427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SUM('Fairway Log'!$E67:$V67)</f>
        <v>7</v>
      </c>
      <c r="E67" s="76">
        <v>1</v>
      </c>
      <c r="F67" s="76">
        <v>1</v>
      </c>
      <c r="G67" s="76">
        <v>1</v>
      </c>
      <c r="H67" s="76"/>
      <c r="I67" s="76">
        <v>1</v>
      </c>
      <c r="J67" s="76"/>
      <c r="K67" s="76"/>
      <c r="L67" s="76"/>
      <c r="M67" s="76">
        <v>1</v>
      </c>
      <c r="N67" s="76">
        <v>1</v>
      </c>
      <c r="O67" s="60" t="s">
        <v>139</v>
      </c>
      <c r="P67" s="76"/>
      <c r="Q67" s="60" t="s">
        <v>139</v>
      </c>
      <c r="R67" s="76"/>
      <c r="S67" s="60" t="s">
        <v>139</v>
      </c>
      <c r="T67" s="76">
        <v>1</v>
      </c>
      <c r="U67" s="60" t="s">
        <v>139</v>
      </c>
      <c r="V67" s="60" t="s">
        <v>139</v>
      </c>
      <c r="W67" s="77">
        <f>IFERROR(COUNTIF('Fairway Log'!$E67:$V67,1)/COUNTA('Fairway Log'!$E67:$V67),"")</f>
        <v>0.58333333333333337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SUM('Fairway Log'!$E68:$V68)</f>
        <v>4</v>
      </c>
      <c r="E68" s="61" t="s">
        <v>138</v>
      </c>
      <c r="F68" s="88" t="s">
        <v>136</v>
      </c>
      <c r="G68" s="87" t="s">
        <v>139</v>
      </c>
      <c r="H68" s="85"/>
      <c r="I68" s="87" t="s">
        <v>135</v>
      </c>
      <c r="J68" s="85">
        <v>1</v>
      </c>
      <c r="K68" s="85"/>
      <c r="L68" s="87" t="s">
        <v>135</v>
      </c>
      <c r="M68" s="85">
        <v>1</v>
      </c>
      <c r="N68" s="87" t="s">
        <v>139</v>
      </c>
      <c r="O68" s="85"/>
      <c r="P68" s="87" t="s">
        <v>135</v>
      </c>
      <c r="Q68" s="87" t="s">
        <v>139</v>
      </c>
      <c r="R68" s="85"/>
      <c r="S68" s="87" t="s">
        <v>135</v>
      </c>
      <c r="T68" s="85">
        <v>1</v>
      </c>
      <c r="U68" s="87" t="s">
        <v>135</v>
      </c>
      <c r="V68" s="85">
        <v>1</v>
      </c>
      <c r="W68" s="86">
        <f>IFERROR(COUNTIF('Fairway Log'!$E68:$V68,1)/COUNTA('Fairway Log'!$E68:$V68),"")</f>
        <v>0.2857142857142857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SUM('Fairway Log'!$E69:$V69)</f>
        <v>4</v>
      </c>
      <c r="E69" s="85">
        <v>1</v>
      </c>
      <c r="F69" s="85">
        <v>0</v>
      </c>
      <c r="G69" s="85"/>
      <c r="H69" s="85">
        <v>1</v>
      </c>
      <c r="I69" s="85">
        <v>1</v>
      </c>
      <c r="J69" s="87" t="s">
        <v>135</v>
      </c>
      <c r="K69" s="85"/>
      <c r="L69" s="87" t="s">
        <v>135</v>
      </c>
      <c r="M69" s="87" t="s">
        <v>135</v>
      </c>
      <c r="N69" s="87" t="s">
        <v>135</v>
      </c>
      <c r="O69" s="85"/>
      <c r="P69" s="87" t="s">
        <v>135</v>
      </c>
      <c r="Q69" s="87" t="s">
        <v>139</v>
      </c>
      <c r="R69" s="87" t="s">
        <v>139</v>
      </c>
      <c r="S69" s="87" t="s">
        <v>139</v>
      </c>
      <c r="T69" s="87" t="s">
        <v>139</v>
      </c>
      <c r="U69" s="85"/>
      <c r="V69" s="85">
        <v>1</v>
      </c>
      <c r="W69" s="86">
        <f>IFERROR(COUNTIF('Fairway Log'!$E69:$V69,1)/COUNTA('Fairway Log'!$E69:$V69),"")</f>
        <v>0.2857142857142857</v>
      </c>
    </row>
    <row r="70" spans="1:23" x14ac:dyDescent="0.25">
      <c r="A70" s="93" t="s">
        <v>126</v>
      </c>
      <c r="B70" s="94">
        <v>46160</v>
      </c>
      <c r="C70" s="93" t="s">
        <v>5</v>
      </c>
      <c r="D70" s="93">
        <f>SUM('Fairway Log'!$E70:$V70)</f>
        <v>5</v>
      </c>
      <c r="E70" s="108">
        <v>1</v>
      </c>
      <c r="F70" s="61" t="s">
        <v>135</v>
      </c>
      <c r="G70" s="108"/>
      <c r="H70" s="61" t="s">
        <v>135</v>
      </c>
      <c r="I70" s="108">
        <v>1</v>
      </c>
      <c r="J70" s="87" t="s">
        <v>135</v>
      </c>
      <c r="K70" s="108"/>
      <c r="L70" s="109">
        <v>1</v>
      </c>
      <c r="M70" s="87" t="s">
        <v>135</v>
      </c>
      <c r="N70" s="87" t="s">
        <v>135</v>
      </c>
      <c r="O70" s="108"/>
      <c r="P70" s="87" t="s">
        <v>135</v>
      </c>
      <c r="Q70" s="109">
        <v>1</v>
      </c>
      <c r="R70" s="109">
        <v>1</v>
      </c>
      <c r="S70" s="87" t="s">
        <v>135</v>
      </c>
      <c r="T70" s="87" t="s">
        <v>139</v>
      </c>
      <c r="U70" s="108"/>
      <c r="V70" s="87" t="s">
        <v>135</v>
      </c>
      <c r="W70" s="110">
        <f>IFERROR(COUNTIF('Fairway Log'!$E70:$V70,1)/COUNTA('Fairway Log'!$E70:$V70),"")</f>
        <v>0.35714285714285715</v>
      </c>
    </row>
    <row r="71" spans="1:23" x14ac:dyDescent="0.25">
      <c r="A71" s="78"/>
      <c r="B71" s="79"/>
      <c r="C71" s="78"/>
      <c r="D71" s="78"/>
      <c r="E71" s="85"/>
      <c r="F71" s="85"/>
      <c r="G71" s="85"/>
      <c r="H71" s="85"/>
      <c r="I71" s="85"/>
      <c r="J71" s="107"/>
      <c r="K71" s="85"/>
      <c r="L71" s="107"/>
      <c r="M71" s="107"/>
      <c r="N71" s="107"/>
      <c r="O71" s="85"/>
      <c r="P71" s="107"/>
      <c r="Q71" s="107"/>
      <c r="R71" s="107"/>
      <c r="S71" s="107"/>
      <c r="T71" s="107"/>
      <c r="U71" s="85"/>
      <c r="V71" s="85"/>
      <c r="W71" s="86"/>
    </row>
    <row r="72" spans="1:23" x14ac:dyDescent="0.25">
      <c r="A72" s="78"/>
      <c r="B72" s="79"/>
      <c r="C72" s="78"/>
      <c r="D72" s="78"/>
      <c r="E72" s="85"/>
      <c r="F72" s="85"/>
      <c r="G72" s="85"/>
      <c r="H72" s="85"/>
      <c r="I72" s="85"/>
      <c r="J72" s="107"/>
      <c r="K72" s="85"/>
      <c r="L72" s="107"/>
      <c r="M72" s="107"/>
      <c r="N72" s="107"/>
      <c r="O72" s="85"/>
      <c r="P72" s="107"/>
      <c r="Q72" s="107"/>
      <c r="R72" s="107"/>
      <c r="S72" s="107"/>
      <c r="T72" s="107"/>
      <c r="U72" s="85"/>
      <c r="V72" s="85"/>
      <c r="W72" s="86"/>
    </row>
    <row r="73" spans="1:23" x14ac:dyDescent="0.25">
      <c r="A73" s="78"/>
      <c r="B73" s="79"/>
      <c r="C73" s="78"/>
      <c r="D73" s="78"/>
      <c r="E73" s="85"/>
      <c r="F73" s="85"/>
      <c r="G73" s="85"/>
      <c r="H73" s="85"/>
      <c r="I73" s="85"/>
      <c r="J73" s="107"/>
      <c r="K73" s="85"/>
      <c r="L73" s="107"/>
      <c r="M73" s="107"/>
      <c r="N73" s="107"/>
      <c r="O73" s="85"/>
      <c r="P73" s="107"/>
      <c r="Q73" s="107"/>
      <c r="R73" s="107"/>
      <c r="S73" s="107"/>
      <c r="T73" s="107"/>
      <c r="U73" s="85"/>
      <c r="V73" s="85"/>
      <c r="W73" s="86"/>
    </row>
    <row r="74" spans="1:23" x14ac:dyDescent="0.25">
      <c r="A74" s="35"/>
      <c r="B74" s="36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31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  <c r="O75" s="87" t="s">
        <v>135</v>
      </c>
      <c r="P75" s="87" t="s">
        <v>139</v>
      </c>
      <c r="Q75" s="88" t="s">
        <v>136</v>
      </c>
      <c r="R75" s="87" t="s">
        <v>138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SUM('Fairway Log'!$E76:$M76)</f>
        <v>5</v>
      </c>
      <c r="E76" s="20">
        <v>1</v>
      </c>
      <c r="F76" s="20">
        <v>1</v>
      </c>
      <c r="G76" s="20"/>
      <c r="H76" s="20">
        <v>1</v>
      </c>
      <c r="I76" s="20">
        <v>1</v>
      </c>
      <c r="J76" s="20"/>
      <c r="K76" s="20">
        <v>1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SUM('Fairway Log'!$E77:$M77)</f>
        <v>1</v>
      </c>
      <c r="E77" s="20">
        <v>0</v>
      </c>
      <c r="F77" s="20">
        <v>0</v>
      </c>
      <c r="G77" s="20"/>
      <c r="H77" s="20">
        <v>0</v>
      </c>
      <c r="I77" s="20">
        <v>0</v>
      </c>
      <c r="J77" s="20">
        <v>0</v>
      </c>
      <c r="K77" s="20"/>
      <c r="L77" s="20">
        <v>0</v>
      </c>
      <c r="M77" s="20">
        <v>1</v>
      </c>
    </row>
  </sheetData>
  <phoneticPr fontId="18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77"/>
  <sheetViews>
    <sheetView topLeftCell="A43" workbookViewId="0">
      <selection activeCell="T77" sqref="T77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141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SUM('GIR Log'!$E2:$V2)</f>
        <v>10</v>
      </c>
      <c r="E2" s="60" t="s">
        <v>139</v>
      </c>
      <c r="F2" s="60" t="s">
        <v>136</v>
      </c>
      <c r="G2" s="60" t="s">
        <v>139</v>
      </c>
      <c r="H2" s="61">
        <v>1</v>
      </c>
      <c r="I2" s="60" t="s">
        <v>139</v>
      </c>
      <c r="J2" s="61">
        <v>1</v>
      </c>
      <c r="K2" s="60" t="s">
        <v>136</v>
      </c>
      <c r="L2" s="61">
        <v>1</v>
      </c>
      <c r="M2" s="61">
        <v>1</v>
      </c>
      <c r="N2" s="61">
        <v>1</v>
      </c>
      <c r="O2" s="60" t="s">
        <v>135</v>
      </c>
      <c r="P2" s="61">
        <v>1</v>
      </c>
      <c r="Q2" s="61">
        <v>1</v>
      </c>
      <c r="R2" s="61">
        <v>1</v>
      </c>
      <c r="S2" s="60" t="s">
        <v>136</v>
      </c>
      <c r="T2" s="61">
        <v>1</v>
      </c>
      <c r="U2" s="61">
        <v>1</v>
      </c>
      <c r="V2" s="60" t="s">
        <v>136</v>
      </c>
      <c r="W2" s="67">
        <f>IFERROR('GIR Log'!$D2/COUNTA('GIR Log'!$E2:$V2),0)</f>
        <v>0.55555555555555558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SUM('GIR Log'!$E3:$V3)</f>
        <v>6</v>
      </c>
      <c r="E3" s="61">
        <v>1</v>
      </c>
      <c r="F3" s="60" t="s">
        <v>136</v>
      </c>
      <c r="G3" s="60" t="s">
        <v>135</v>
      </c>
      <c r="H3" s="61">
        <v>1</v>
      </c>
      <c r="I3" s="60" t="s">
        <v>136</v>
      </c>
      <c r="J3" s="60" t="s">
        <v>136</v>
      </c>
      <c r="K3" s="60" t="s">
        <v>136</v>
      </c>
      <c r="L3" s="60" t="s">
        <v>136</v>
      </c>
      <c r="M3" s="61">
        <v>1</v>
      </c>
      <c r="N3" s="61">
        <v>1</v>
      </c>
      <c r="O3" s="60" t="s">
        <v>135</v>
      </c>
      <c r="P3" s="60" t="s">
        <v>135</v>
      </c>
      <c r="Q3" s="60" t="s">
        <v>136</v>
      </c>
      <c r="R3" s="60" t="s">
        <v>136</v>
      </c>
      <c r="S3" s="60" t="s">
        <v>136</v>
      </c>
      <c r="T3" s="60" t="s">
        <v>136</v>
      </c>
      <c r="U3" s="61">
        <v>1</v>
      </c>
      <c r="V3" s="61">
        <v>1</v>
      </c>
      <c r="W3" s="67">
        <f>IFERROR('GIR Log'!$D3/COUNTA('GIR Log'!$E3:$V3),0)</f>
        <v>0.33333333333333331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SUM('GIR Log'!$E4:$V4)</f>
        <v>5</v>
      </c>
      <c r="E4" s="60" t="s">
        <v>136</v>
      </c>
      <c r="F4" s="61">
        <v>1</v>
      </c>
      <c r="G4" s="60" t="s">
        <v>138</v>
      </c>
      <c r="H4" s="61">
        <v>1</v>
      </c>
      <c r="I4" s="60" t="s">
        <v>136</v>
      </c>
      <c r="J4" s="61">
        <v>1</v>
      </c>
      <c r="K4" s="60" t="s">
        <v>135</v>
      </c>
      <c r="L4" s="61">
        <v>1</v>
      </c>
      <c r="M4" s="60" t="s">
        <v>136</v>
      </c>
      <c r="N4" s="60" t="s">
        <v>138</v>
      </c>
      <c r="O4" s="61">
        <v>1</v>
      </c>
      <c r="P4" s="60" t="s">
        <v>136</v>
      </c>
      <c r="Q4" s="60" t="s">
        <v>136</v>
      </c>
      <c r="R4" s="60" t="s">
        <v>136</v>
      </c>
      <c r="S4" s="60" t="s">
        <v>138</v>
      </c>
      <c r="T4" s="60" t="s">
        <v>138</v>
      </c>
      <c r="U4" s="60" t="s">
        <v>138</v>
      </c>
      <c r="V4" s="60" t="s">
        <v>135</v>
      </c>
      <c r="W4" s="67">
        <f>IFERROR('GIR Log'!$D4/COUNTA('GIR Log'!$E4:$V4),0)</f>
        <v>0.27777777777777779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SUM('GIR Log'!$E5:$V5)</f>
        <v>1</v>
      </c>
      <c r="E5" s="60" t="s">
        <v>139</v>
      </c>
      <c r="F5" s="60" t="s">
        <v>136</v>
      </c>
      <c r="G5" s="60" t="s">
        <v>135</v>
      </c>
      <c r="H5" s="60" t="s">
        <v>138</v>
      </c>
      <c r="I5" s="61">
        <v>0</v>
      </c>
      <c r="J5" s="61">
        <v>1</v>
      </c>
      <c r="K5" s="60" t="s">
        <v>136</v>
      </c>
      <c r="L5" s="60" t="s">
        <v>136</v>
      </c>
      <c r="M5" s="60" t="s">
        <v>136</v>
      </c>
      <c r="N5" s="60" t="s">
        <v>136</v>
      </c>
      <c r="O5" s="60" t="s">
        <v>136</v>
      </c>
      <c r="P5" s="60" t="s">
        <v>139</v>
      </c>
      <c r="Q5" s="60" t="s">
        <v>136</v>
      </c>
      <c r="R5" s="60" t="s">
        <v>139</v>
      </c>
      <c r="S5" s="60" t="s">
        <v>139</v>
      </c>
      <c r="T5" s="60" t="s">
        <v>138</v>
      </c>
      <c r="U5" s="60" t="s">
        <v>135</v>
      </c>
      <c r="V5" s="60" t="s">
        <v>136</v>
      </c>
      <c r="W5" s="67">
        <f>IFERROR('GIR Log'!$D5/COUNTA('GIR Log'!$E5:$V5),0)</f>
        <v>5.5555555555555552E-2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SUM('GIR Log'!$E6:$V6)</f>
        <v>5</v>
      </c>
      <c r="E6" s="60" t="s">
        <v>138</v>
      </c>
      <c r="F6" s="60" t="s">
        <v>136</v>
      </c>
      <c r="G6" s="61">
        <v>1</v>
      </c>
      <c r="H6" s="60" t="s">
        <v>135</v>
      </c>
      <c r="I6" s="61">
        <v>1</v>
      </c>
      <c r="J6" s="60" t="s">
        <v>135</v>
      </c>
      <c r="K6" s="61">
        <v>1</v>
      </c>
      <c r="L6" s="60" t="s">
        <v>138</v>
      </c>
      <c r="M6" s="61">
        <v>1</v>
      </c>
      <c r="N6" s="60" t="s">
        <v>136</v>
      </c>
      <c r="O6" s="60" t="s">
        <v>136</v>
      </c>
      <c r="P6" s="60" t="s">
        <v>139</v>
      </c>
      <c r="Q6" s="60" t="s">
        <v>139</v>
      </c>
      <c r="R6" s="60" t="s">
        <v>136</v>
      </c>
      <c r="S6" s="61">
        <v>1</v>
      </c>
      <c r="T6" s="61">
        <v>0</v>
      </c>
      <c r="U6" s="61">
        <v>0</v>
      </c>
      <c r="V6" s="60" t="s">
        <v>139</v>
      </c>
      <c r="W6" s="67">
        <f>IFERROR('GIR Log'!$D6/COUNTA('GIR Log'!$E6:$V6),0)</f>
        <v>0.27777777777777779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SUM('GIR Log'!$E7:$V7)</f>
        <v>4</v>
      </c>
      <c r="E7" s="61">
        <v>1</v>
      </c>
      <c r="F7" s="60" t="s">
        <v>139</v>
      </c>
      <c r="G7" s="60" t="s">
        <v>136</v>
      </c>
      <c r="H7" s="60" t="s">
        <v>136</v>
      </c>
      <c r="I7" s="60" t="s">
        <v>136</v>
      </c>
      <c r="J7" s="60" t="s">
        <v>135</v>
      </c>
      <c r="K7" s="60" t="s">
        <v>135</v>
      </c>
      <c r="L7" s="61">
        <v>1</v>
      </c>
      <c r="M7" s="61">
        <v>1</v>
      </c>
      <c r="N7" s="60" t="s">
        <v>138</v>
      </c>
      <c r="O7" s="61">
        <v>1</v>
      </c>
      <c r="P7" s="60" t="s">
        <v>136</v>
      </c>
      <c r="Q7" s="60" t="s">
        <v>136</v>
      </c>
      <c r="R7" s="60" t="s">
        <v>139</v>
      </c>
      <c r="S7" s="60" t="s">
        <v>139</v>
      </c>
      <c r="T7" s="60" t="s">
        <v>139</v>
      </c>
      <c r="U7" s="60" t="s">
        <v>135</v>
      </c>
      <c r="V7" s="60" t="s">
        <v>139</v>
      </c>
      <c r="W7" s="67">
        <f>IFERROR('GIR Log'!$D7/COUNTA('GIR Log'!$E7:$V7),0)</f>
        <v>0.22222222222222221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SUM('GIR Log'!$E8:$V8)</f>
        <v>3</v>
      </c>
      <c r="E8" s="62" t="s">
        <v>137</v>
      </c>
      <c r="F8" s="62" t="s">
        <v>137</v>
      </c>
      <c r="G8" s="62" t="s">
        <v>137</v>
      </c>
      <c r="H8" s="63" t="s">
        <v>135</v>
      </c>
      <c r="I8" s="62" t="s">
        <v>137</v>
      </c>
      <c r="J8" s="63" t="s">
        <v>135</v>
      </c>
      <c r="K8" s="63" t="s">
        <v>136</v>
      </c>
      <c r="L8" s="63" t="s">
        <v>138</v>
      </c>
      <c r="M8" s="62" t="s">
        <v>137</v>
      </c>
      <c r="N8" s="61">
        <v>1</v>
      </c>
      <c r="O8" s="63" t="s">
        <v>136</v>
      </c>
      <c r="P8" s="61">
        <v>1</v>
      </c>
      <c r="Q8" s="63" t="s">
        <v>139</v>
      </c>
      <c r="R8" s="63" t="s">
        <v>136</v>
      </c>
      <c r="S8" s="63" t="s">
        <v>135</v>
      </c>
      <c r="T8" s="63" t="s">
        <v>136</v>
      </c>
      <c r="U8" s="63" t="s">
        <v>139</v>
      </c>
      <c r="V8" s="61">
        <v>1</v>
      </c>
      <c r="W8" s="67">
        <f>IFERROR('GIR Log'!$D8/COUNTA('GIR Log'!$E8:$V8),0)</f>
        <v>0.16666666666666666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SUM('GIR Log'!$E9:$V9)</f>
        <v>4</v>
      </c>
      <c r="E9" s="64" t="s">
        <v>137</v>
      </c>
      <c r="F9" s="60" t="s">
        <v>136</v>
      </c>
      <c r="G9" s="60" t="s">
        <v>135</v>
      </c>
      <c r="H9" s="60" t="s">
        <v>139</v>
      </c>
      <c r="I9" s="60" t="s">
        <v>136</v>
      </c>
      <c r="J9" s="60" t="s">
        <v>136</v>
      </c>
      <c r="K9" s="60" t="s">
        <v>136</v>
      </c>
      <c r="L9" s="60" t="s">
        <v>138</v>
      </c>
      <c r="M9" s="61">
        <v>1</v>
      </c>
      <c r="N9" s="61">
        <v>1</v>
      </c>
      <c r="O9" s="61">
        <v>1</v>
      </c>
      <c r="P9" s="60" t="s">
        <v>139</v>
      </c>
      <c r="Q9" s="60" t="s">
        <v>139</v>
      </c>
      <c r="R9" s="60" t="s">
        <v>136</v>
      </c>
      <c r="S9" s="60" t="s">
        <v>136</v>
      </c>
      <c r="T9" s="61">
        <v>1</v>
      </c>
      <c r="U9" s="60" t="s">
        <v>135</v>
      </c>
      <c r="V9" s="60" t="s">
        <v>139</v>
      </c>
      <c r="W9" s="67">
        <f>IFERROR('GIR Log'!$D9/COUNTA('GIR Log'!$E9:$V9),0)</f>
        <v>0.22222222222222221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SUM('GIR Log'!$E10:$V10)</f>
        <v>4</v>
      </c>
      <c r="E10" s="61">
        <v>1</v>
      </c>
      <c r="F10" s="61">
        <v>1</v>
      </c>
      <c r="G10" s="60" t="s">
        <v>136</v>
      </c>
      <c r="H10" s="60" t="s">
        <v>135</v>
      </c>
      <c r="I10" s="60" t="s">
        <v>135</v>
      </c>
      <c r="J10" s="60" t="s">
        <v>135</v>
      </c>
      <c r="K10" s="60" t="s">
        <v>135</v>
      </c>
      <c r="L10" s="60" t="s">
        <v>135</v>
      </c>
      <c r="M10" s="61" t="s">
        <v>135</v>
      </c>
      <c r="N10" s="60" t="s">
        <v>135</v>
      </c>
      <c r="O10" s="61">
        <v>0</v>
      </c>
      <c r="P10" s="61">
        <v>1</v>
      </c>
      <c r="Q10" s="61">
        <v>0</v>
      </c>
      <c r="R10" s="61">
        <v>1</v>
      </c>
      <c r="S10" s="61">
        <v>0</v>
      </c>
      <c r="T10" s="61">
        <v>0</v>
      </c>
      <c r="U10" s="61">
        <v>0</v>
      </c>
      <c r="V10" s="61">
        <v>0</v>
      </c>
      <c r="W10" s="67">
        <f>IFERROR('GIR Log'!$D10/COUNTA('GIR Log'!$E10:$V10),0)</f>
        <v>0.22222222222222221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SUM('GIR Log'!$E11:$V11)</f>
        <v>3</v>
      </c>
      <c r="E11" s="61">
        <v>0</v>
      </c>
      <c r="F11" s="61">
        <v>0</v>
      </c>
      <c r="G11" s="61">
        <v>0</v>
      </c>
      <c r="H11" s="61">
        <v>1</v>
      </c>
      <c r="I11" s="61">
        <v>0</v>
      </c>
      <c r="J11" s="61">
        <v>0</v>
      </c>
      <c r="K11" s="61">
        <v>0</v>
      </c>
      <c r="L11" s="61">
        <v>0</v>
      </c>
      <c r="M11" s="61">
        <v>1</v>
      </c>
      <c r="N11" s="61">
        <v>0</v>
      </c>
      <c r="O11" s="61">
        <v>0</v>
      </c>
      <c r="P11" s="61">
        <v>0</v>
      </c>
      <c r="Q11" s="61">
        <v>1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7">
        <f>IFERROR('GIR Log'!$D11/COUNTA('GIR Log'!$E11:$V11),0)</f>
        <v>0.16666666666666666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SUM('GIR Log'!$E12:$V12)</f>
        <v>5</v>
      </c>
      <c r="E12" s="60" t="s">
        <v>136</v>
      </c>
      <c r="F12" s="61">
        <v>1</v>
      </c>
      <c r="G12" s="60" t="s">
        <v>135</v>
      </c>
      <c r="H12" s="61">
        <v>1</v>
      </c>
      <c r="I12" s="60" t="s">
        <v>135</v>
      </c>
      <c r="J12" s="60" t="s">
        <v>136</v>
      </c>
      <c r="K12" s="60" t="s">
        <v>136</v>
      </c>
      <c r="L12" s="60" t="s">
        <v>138</v>
      </c>
      <c r="M12" s="60" t="s">
        <v>139</v>
      </c>
      <c r="N12" s="61">
        <v>1</v>
      </c>
      <c r="O12" s="60" t="s">
        <v>136</v>
      </c>
      <c r="P12" s="60" t="s">
        <v>136</v>
      </c>
      <c r="Q12" s="61">
        <v>1</v>
      </c>
      <c r="R12" s="60" t="s">
        <v>135</v>
      </c>
      <c r="S12" s="60" t="s">
        <v>136</v>
      </c>
      <c r="T12" s="60" t="s">
        <v>138</v>
      </c>
      <c r="U12" s="61">
        <v>1</v>
      </c>
      <c r="V12" s="60" t="s">
        <v>136</v>
      </c>
      <c r="W12" s="67">
        <f>IFERROR('GIR Log'!$D12/COUNTA('GIR Log'!$E12:$V12),0)</f>
        <v>0.27777777777777779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SUM('GIR Log'!$E13:$V13)</f>
        <v>6</v>
      </c>
      <c r="E13" s="60" t="s">
        <v>136</v>
      </c>
      <c r="F13" s="60" t="s">
        <v>136</v>
      </c>
      <c r="G13" s="60" t="s">
        <v>136</v>
      </c>
      <c r="H13" s="61">
        <v>1</v>
      </c>
      <c r="I13" s="60" t="s">
        <v>139</v>
      </c>
      <c r="J13" s="60" t="s">
        <v>135</v>
      </c>
      <c r="K13" s="61">
        <v>1</v>
      </c>
      <c r="L13" s="60" t="s">
        <v>135</v>
      </c>
      <c r="M13" s="61">
        <v>1</v>
      </c>
      <c r="N13" s="64" t="s">
        <v>137</v>
      </c>
      <c r="O13" s="60" t="s">
        <v>136</v>
      </c>
      <c r="P13" s="60" t="s">
        <v>136</v>
      </c>
      <c r="Q13" s="61">
        <v>1</v>
      </c>
      <c r="R13" s="61">
        <v>1</v>
      </c>
      <c r="S13" s="60" t="s">
        <v>135</v>
      </c>
      <c r="T13" s="61">
        <v>1</v>
      </c>
      <c r="U13" s="60" t="s">
        <v>136</v>
      </c>
      <c r="V13" s="60" t="s">
        <v>136</v>
      </c>
      <c r="W13" s="67">
        <f>IFERROR('GIR Log'!$D13/COUNTA('GIR Log'!$E13:$V13),0)</f>
        <v>0.33333333333333331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SUM('GIR Log'!$E14:$V14)</f>
        <v>2</v>
      </c>
      <c r="E14" s="60" t="s">
        <v>135</v>
      </c>
      <c r="F14" s="60" t="s">
        <v>139</v>
      </c>
      <c r="G14" s="60" t="s">
        <v>136</v>
      </c>
      <c r="H14" s="60" t="s">
        <v>139</v>
      </c>
      <c r="I14" s="61">
        <v>1</v>
      </c>
      <c r="J14" s="60" t="s">
        <v>138</v>
      </c>
      <c r="K14" s="60" t="s">
        <v>136</v>
      </c>
      <c r="L14" s="60" t="s">
        <v>139</v>
      </c>
      <c r="M14" s="60" t="s">
        <v>136</v>
      </c>
      <c r="N14" s="60" t="s">
        <v>136</v>
      </c>
      <c r="O14" s="60" t="s">
        <v>136</v>
      </c>
      <c r="P14" s="60" t="s">
        <v>135</v>
      </c>
      <c r="Q14" s="60" t="s">
        <v>139</v>
      </c>
      <c r="R14" s="60" t="s">
        <v>136</v>
      </c>
      <c r="S14" s="60" t="s">
        <v>136</v>
      </c>
      <c r="T14" s="61">
        <v>1</v>
      </c>
      <c r="U14" s="60" t="s">
        <v>135</v>
      </c>
      <c r="V14" s="60" t="s">
        <v>136</v>
      </c>
      <c r="W14" s="67">
        <f>IFERROR('GIR Log'!$D14/COUNTA('GIR Log'!$E14:$V14),0)</f>
        <v>0.1111111111111111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SUM('GIR Log'!$E15:$V15)</f>
        <v>8</v>
      </c>
      <c r="E15" s="64" t="s">
        <v>137</v>
      </c>
      <c r="F15" s="64" t="s">
        <v>137</v>
      </c>
      <c r="G15" s="61">
        <v>1</v>
      </c>
      <c r="H15" s="61">
        <v>1</v>
      </c>
      <c r="I15" s="61">
        <v>1</v>
      </c>
      <c r="J15" s="64" t="s">
        <v>137</v>
      </c>
      <c r="K15" s="60" t="s">
        <v>135</v>
      </c>
      <c r="L15" s="61">
        <v>1</v>
      </c>
      <c r="M15" s="61">
        <v>1</v>
      </c>
      <c r="N15" s="61">
        <v>1</v>
      </c>
      <c r="O15" s="60" t="s">
        <v>135</v>
      </c>
      <c r="P15" s="60" t="s">
        <v>135</v>
      </c>
      <c r="Q15" s="61">
        <v>1</v>
      </c>
      <c r="R15" s="60" t="s">
        <v>136</v>
      </c>
      <c r="S15" s="60" t="s">
        <v>138</v>
      </c>
      <c r="T15" s="61">
        <v>1</v>
      </c>
      <c r="U15" s="60" t="s">
        <v>135</v>
      </c>
      <c r="V15" s="60" t="s">
        <v>138</v>
      </c>
      <c r="W15" s="67">
        <f>IFERROR('GIR Log'!$D15/COUNTA('GIR Log'!$E15:$V15),0)</f>
        <v>0.44444444444444442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SUM('GIR Log'!$E16:$V16)</f>
        <v>9</v>
      </c>
      <c r="E16" s="64" t="s">
        <v>137</v>
      </c>
      <c r="F16" s="64" t="s">
        <v>137</v>
      </c>
      <c r="G16" s="60" t="s">
        <v>136</v>
      </c>
      <c r="H16" s="61">
        <v>1</v>
      </c>
      <c r="I16" s="61">
        <v>1</v>
      </c>
      <c r="J16" s="64" t="s">
        <v>137</v>
      </c>
      <c r="K16" s="60" t="s">
        <v>136</v>
      </c>
      <c r="L16" s="60" t="s">
        <v>136</v>
      </c>
      <c r="M16" s="60" t="s">
        <v>136</v>
      </c>
      <c r="N16" s="60" t="s">
        <v>137</v>
      </c>
      <c r="O16" s="64" t="s">
        <v>137</v>
      </c>
      <c r="P16" s="61">
        <v>1</v>
      </c>
      <c r="Q16" s="61">
        <v>1</v>
      </c>
      <c r="R16" s="61">
        <v>1</v>
      </c>
      <c r="S16" s="61">
        <v>1</v>
      </c>
      <c r="T16" s="61">
        <v>1</v>
      </c>
      <c r="U16" s="61">
        <v>1</v>
      </c>
      <c r="V16" s="61">
        <v>1</v>
      </c>
      <c r="W16" s="67">
        <f>IFERROR('GIR Log'!$D16/COUNTA('GIR Log'!$E16:$V16),0)</f>
        <v>0.5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SUM('GIR Log'!$E17:$V17)</f>
        <v>4</v>
      </c>
      <c r="E17" s="60" t="s">
        <v>136</v>
      </c>
      <c r="F17" s="60" t="s">
        <v>136</v>
      </c>
      <c r="G17" s="61">
        <v>1</v>
      </c>
      <c r="H17" s="60" t="s">
        <v>139</v>
      </c>
      <c r="I17" s="60" t="s">
        <v>138</v>
      </c>
      <c r="J17" s="60" t="s">
        <v>136</v>
      </c>
      <c r="K17" s="60" t="s">
        <v>139</v>
      </c>
      <c r="L17" s="60" t="s">
        <v>138</v>
      </c>
      <c r="M17" s="60" t="s">
        <v>136</v>
      </c>
      <c r="N17" s="60" t="s">
        <v>136</v>
      </c>
      <c r="O17" s="61">
        <v>1</v>
      </c>
      <c r="P17" s="61">
        <v>1</v>
      </c>
      <c r="Q17" s="60" t="s">
        <v>139</v>
      </c>
      <c r="R17" s="60" t="s">
        <v>136</v>
      </c>
      <c r="S17" s="60" t="s">
        <v>136</v>
      </c>
      <c r="T17" s="60" t="s">
        <v>136</v>
      </c>
      <c r="U17" s="61">
        <v>1</v>
      </c>
      <c r="V17" s="60" t="s">
        <v>136</v>
      </c>
      <c r="W17" s="67">
        <f>IFERROR('GIR Log'!$D17/COUNTA('GIR Log'!$E17:$V17),0)</f>
        <v>0.22222222222222221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SUM('GIR Log'!$E18:$V18)</f>
        <v>2</v>
      </c>
      <c r="E18" s="60" t="s">
        <v>136</v>
      </c>
      <c r="F18" s="60" t="s">
        <v>136</v>
      </c>
      <c r="G18" s="60" t="s">
        <v>138</v>
      </c>
      <c r="H18" s="60" t="s">
        <v>136</v>
      </c>
      <c r="I18" s="61">
        <v>1</v>
      </c>
      <c r="J18" s="60" t="s">
        <v>136</v>
      </c>
      <c r="K18" s="60" t="s">
        <v>138</v>
      </c>
      <c r="L18" s="61">
        <v>1</v>
      </c>
      <c r="M18" s="60" t="s">
        <v>138</v>
      </c>
      <c r="N18" s="60" t="s">
        <v>136</v>
      </c>
      <c r="O18" s="60" t="s">
        <v>136</v>
      </c>
      <c r="P18" s="60" t="s">
        <v>138</v>
      </c>
      <c r="Q18" s="60" t="s">
        <v>135</v>
      </c>
      <c r="R18" s="60" t="s">
        <v>138</v>
      </c>
      <c r="S18" s="60" t="s">
        <v>136</v>
      </c>
      <c r="T18" s="60" t="s">
        <v>136</v>
      </c>
      <c r="U18" s="60" t="s">
        <v>136</v>
      </c>
      <c r="V18" s="60" t="s">
        <v>136</v>
      </c>
      <c r="W18" s="67">
        <f>IFERROR('GIR Log'!$D18/COUNTA('GIR Log'!$E18:$V18),0)</f>
        <v>0.1111111111111111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SUM('GIR Log'!$E19:$V19)</f>
        <v>3</v>
      </c>
      <c r="E19" s="60" t="s">
        <v>136</v>
      </c>
      <c r="F19" s="61">
        <v>1</v>
      </c>
      <c r="G19" s="60" t="s">
        <v>138</v>
      </c>
      <c r="H19" s="60" t="s">
        <v>139</v>
      </c>
      <c r="I19" s="60" t="s">
        <v>136</v>
      </c>
      <c r="J19" s="60" t="s">
        <v>136</v>
      </c>
      <c r="K19" s="61">
        <v>0</v>
      </c>
      <c r="L19" s="60" t="s">
        <v>138</v>
      </c>
      <c r="M19" s="60" t="s">
        <v>139</v>
      </c>
      <c r="N19" s="60" t="s">
        <v>138</v>
      </c>
      <c r="O19" s="60" t="s">
        <v>136</v>
      </c>
      <c r="P19" s="61">
        <v>1</v>
      </c>
      <c r="Q19" s="61">
        <v>1</v>
      </c>
      <c r="R19" s="60" t="s">
        <v>136</v>
      </c>
      <c r="S19" s="60" t="s">
        <v>136</v>
      </c>
      <c r="T19" s="60" t="s">
        <v>138</v>
      </c>
      <c r="U19" s="60" t="s">
        <v>138</v>
      </c>
      <c r="V19" s="60" t="s">
        <v>136</v>
      </c>
      <c r="W19" s="67">
        <f>IFERROR('GIR Log'!$D19/COUNTA('GIR Log'!$E19:$V19),0)</f>
        <v>0.16666666666666666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SUM('GIR Log'!$E20:$V20)</f>
        <v>6</v>
      </c>
      <c r="E20" s="63" t="s">
        <v>136</v>
      </c>
      <c r="F20" s="63" t="s">
        <v>138</v>
      </c>
      <c r="G20" s="63" t="s">
        <v>135</v>
      </c>
      <c r="H20" s="61">
        <v>1</v>
      </c>
      <c r="I20" s="63" t="s">
        <v>136</v>
      </c>
      <c r="J20" s="63" t="s">
        <v>136</v>
      </c>
      <c r="K20" s="61">
        <v>1</v>
      </c>
      <c r="L20" s="63" t="s">
        <v>136</v>
      </c>
      <c r="M20" s="63" t="s">
        <v>136</v>
      </c>
      <c r="N20" s="63" t="s">
        <v>136</v>
      </c>
      <c r="O20" s="63" t="s">
        <v>136</v>
      </c>
      <c r="P20" s="61">
        <v>1</v>
      </c>
      <c r="Q20" s="64" t="s">
        <v>137</v>
      </c>
      <c r="R20" s="63" t="s">
        <v>135</v>
      </c>
      <c r="S20" s="61">
        <v>1</v>
      </c>
      <c r="T20" s="61">
        <v>1</v>
      </c>
      <c r="U20" s="64" t="s">
        <v>137</v>
      </c>
      <c r="V20" s="61">
        <v>1</v>
      </c>
      <c r="W20" s="67">
        <f>IFERROR('GIR Log'!$D20/COUNTA('GIR Log'!$E20:$V20),0)</f>
        <v>0.33333333333333331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SUM('GIR Log'!$E21:$V21)</f>
        <v>2</v>
      </c>
      <c r="E21" s="61">
        <v>0</v>
      </c>
      <c r="F21" s="61">
        <v>0</v>
      </c>
      <c r="G21" s="61">
        <v>0</v>
      </c>
      <c r="H21" s="61">
        <v>0</v>
      </c>
      <c r="I21" s="61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1</v>
      </c>
      <c r="V21" s="61">
        <v>1</v>
      </c>
      <c r="W21" s="67">
        <f>IFERROR('GIR Log'!$D21/COUNTA('GIR Log'!$E21:$V21),0)</f>
        <v>0.1111111111111111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SUM('GIR Log'!$E22:$V22)</f>
        <v>6</v>
      </c>
      <c r="E22" s="61">
        <v>0</v>
      </c>
      <c r="F22" s="61">
        <v>0</v>
      </c>
      <c r="G22" s="61">
        <v>0</v>
      </c>
      <c r="H22" s="61">
        <v>1</v>
      </c>
      <c r="I22" s="61">
        <v>0</v>
      </c>
      <c r="J22" s="61">
        <v>0</v>
      </c>
      <c r="K22" s="61">
        <v>0</v>
      </c>
      <c r="L22" s="61">
        <v>1</v>
      </c>
      <c r="M22" s="61">
        <v>0</v>
      </c>
      <c r="N22" s="61">
        <v>0</v>
      </c>
      <c r="O22" s="61">
        <v>1</v>
      </c>
      <c r="P22" s="61">
        <v>1</v>
      </c>
      <c r="Q22" s="61">
        <v>0</v>
      </c>
      <c r="R22" s="61">
        <v>1</v>
      </c>
      <c r="S22" s="61">
        <v>1</v>
      </c>
      <c r="T22" s="61">
        <v>0</v>
      </c>
      <c r="U22" s="61">
        <v>0</v>
      </c>
      <c r="V22" s="61">
        <v>0</v>
      </c>
      <c r="W22" s="67">
        <f>IFERROR('GIR Log'!$D22/COUNTA('GIR Log'!$E22:$V22),0)</f>
        <v>0.33333333333333331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SUM('GIR Log'!$E23:$V23)</f>
        <v>6</v>
      </c>
      <c r="E23" s="61">
        <v>0</v>
      </c>
      <c r="F23" s="61">
        <v>0</v>
      </c>
      <c r="G23" s="61">
        <v>0</v>
      </c>
      <c r="H23" s="61">
        <v>0</v>
      </c>
      <c r="I23" s="61">
        <v>0</v>
      </c>
      <c r="J23" s="61">
        <v>0</v>
      </c>
      <c r="K23" s="61">
        <v>1</v>
      </c>
      <c r="L23" s="61">
        <v>0</v>
      </c>
      <c r="M23" s="61">
        <v>0</v>
      </c>
      <c r="N23" s="61">
        <v>1</v>
      </c>
      <c r="O23" s="61">
        <v>1</v>
      </c>
      <c r="P23" s="61">
        <v>1</v>
      </c>
      <c r="Q23" s="61">
        <v>1</v>
      </c>
      <c r="R23" s="61">
        <v>1</v>
      </c>
      <c r="S23" s="61">
        <v>0</v>
      </c>
      <c r="T23" s="61">
        <v>0</v>
      </c>
      <c r="U23" s="61">
        <v>0</v>
      </c>
      <c r="V23" s="61">
        <v>0</v>
      </c>
      <c r="W23" s="67">
        <f>IFERROR('GIR Log'!$D23/COUNTA('GIR Log'!$E23:$V23),0)</f>
        <v>0.33333333333333331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SUM('GIR Log'!$E24:$V24)</f>
        <v>4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1</v>
      </c>
      <c r="L24" s="61">
        <v>1</v>
      </c>
      <c r="M24" s="61">
        <v>0</v>
      </c>
      <c r="N24" s="61">
        <v>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1</v>
      </c>
      <c r="U24" s="61">
        <v>0</v>
      </c>
      <c r="V24" s="61">
        <v>1</v>
      </c>
      <c r="W24" s="67">
        <f>IFERROR('GIR Log'!$D24/COUNTA('GIR Log'!$E24:$V24),0)</f>
        <v>0.22222222222222221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SUM('GIR Log'!$E25:$V25)</f>
        <v>1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1">
        <v>0</v>
      </c>
      <c r="M25" s="61">
        <v>0</v>
      </c>
      <c r="N25" s="61"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1</v>
      </c>
      <c r="V25" s="61">
        <v>0</v>
      </c>
      <c r="W25" s="67">
        <f>IFERROR('GIR Log'!$D25/COUNTA('GIR Log'!$E25:$V25),0)</f>
        <v>5.5555555555555552E-2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SUM('GIR Log'!$E26:$V26)</f>
        <v>5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1</v>
      </c>
      <c r="K26" s="61">
        <v>1</v>
      </c>
      <c r="L26" s="61">
        <v>0</v>
      </c>
      <c r="M26" s="61">
        <v>0</v>
      </c>
      <c r="N26" s="61">
        <v>0</v>
      </c>
      <c r="O26" s="61">
        <v>0</v>
      </c>
      <c r="P26" s="61">
        <v>0</v>
      </c>
      <c r="Q26" s="61">
        <v>0</v>
      </c>
      <c r="R26" s="61">
        <v>1</v>
      </c>
      <c r="S26" s="61">
        <v>0</v>
      </c>
      <c r="T26" s="61">
        <v>1</v>
      </c>
      <c r="U26" s="61">
        <v>0</v>
      </c>
      <c r="V26" s="61">
        <v>1</v>
      </c>
      <c r="W26" s="67">
        <f>IFERROR('GIR Log'!$D26/COUNTA('GIR Log'!$E26:$V26),0)</f>
        <v>0.27777777777777779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SUM('GIR Log'!$E27:$V27)</f>
        <v>4</v>
      </c>
      <c r="E27" s="61">
        <v>0</v>
      </c>
      <c r="F27" s="61">
        <v>0</v>
      </c>
      <c r="G27" s="61">
        <v>0</v>
      </c>
      <c r="H27" s="61">
        <v>1</v>
      </c>
      <c r="I27" s="61">
        <v>0</v>
      </c>
      <c r="J27" s="61">
        <v>1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1</v>
      </c>
      <c r="U27" s="61">
        <v>1</v>
      </c>
      <c r="V27" s="61">
        <v>0</v>
      </c>
      <c r="W27" s="67">
        <f>IFERROR('GIR Log'!$D27/COUNTA('GIR Log'!$E27:$V27),0)</f>
        <v>0.22222222222222221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SUM('GIR Log'!$E28:$V28)</f>
        <v>3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1">
        <v>0</v>
      </c>
      <c r="M28" s="61">
        <v>1</v>
      </c>
      <c r="N28" s="61">
        <v>0</v>
      </c>
      <c r="O28" s="61">
        <v>0</v>
      </c>
      <c r="P28" s="61">
        <v>1</v>
      </c>
      <c r="Q28" s="61">
        <v>0</v>
      </c>
      <c r="R28" s="61">
        <v>0</v>
      </c>
      <c r="S28" s="61">
        <v>0</v>
      </c>
      <c r="T28" s="61">
        <v>1</v>
      </c>
      <c r="U28" s="61">
        <v>0</v>
      </c>
      <c r="V28" s="61">
        <v>0</v>
      </c>
      <c r="W28" s="67">
        <f>IFERROR('GIR Log'!$D28/COUNTA('GIR Log'!$E28:$V28),0)</f>
        <v>0.16666666666666666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SUM('GIR Log'!$E29:$V29)</f>
        <v>5</v>
      </c>
      <c r="E29" s="61">
        <v>0</v>
      </c>
      <c r="F29" s="61">
        <v>0</v>
      </c>
      <c r="G29" s="61">
        <v>1</v>
      </c>
      <c r="H29" s="61">
        <v>1</v>
      </c>
      <c r="I29" s="61">
        <v>1</v>
      </c>
      <c r="J29" s="61">
        <v>0</v>
      </c>
      <c r="K29" s="61">
        <v>0</v>
      </c>
      <c r="L29" s="61">
        <v>1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1</v>
      </c>
      <c r="V29" s="61">
        <v>0</v>
      </c>
      <c r="W29" s="67">
        <f>IFERROR('GIR Log'!$D29/COUNTA('GIR Log'!$E29:$V29),0)</f>
        <v>0.27777777777777779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SUM('GIR Log'!$E30:$V30)</f>
        <v>2</v>
      </c>
      <c r="E30" s="61">
        <v>0</v>
      </c>
      <c r="F30" s="61">
        <v>0</v>
      </c>
      <c r="G30" s="61">
        <v>0</v>
      </c>
      <c r="H30" s="61">
        <v>0</v>
      </c>
      <c r="I30" s="61">
        <v>0</v>
      </c>
      <c r="J30" s="61">
        <v>0</v>
      </c>
      <c r="K30" s="61">
        <v>0</v>
      </c>
      <c r="L30" s="61">
        <v>0</v>
      </c>
      <c r="M30" s="61">
        <v>0</v>
      </c>
      <c r="N30" s="61">
        <v>1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1</v>
      </c>
      <c r="U30" s="61">
        <v>0</v>
      </c>
      <c r="V30" s="61">
        <v>0</v>
      </c>
      <c r="W30" s="67">
        <f>IFERROR('GIR Log'!$D30/COUNTA('GIR Log'!$E30:$V30),0)</f>
        <v>0.1111111111111111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SUM('GIR Log'!$E31:$V31)</f>
        <v>4</v>
      </c>
      <c r="E31" s="61">
        <v>1</v>
      </c>
      <c r="F31" s="61">
        <v>0</v>
      </c>
      <c r="G31" s="61">
        <v>1</v>
      </c>
      <c r="H31" s="61">
        <v>1</v>
      </c>
      <c r="I31" s="61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  <c r="P31" s="61">
        <v>0</v>
      </c>
      <c r="Q31" s="61">
        <v>0</v>
      </c>
      <c r="R31" s="61">
        <v>1</v>
      </c>
      <c r="S31" s="61">
        <v>0</v>
      </c>
      <c r="T31" s="61">
        <v>0</v>
      </c>
      <c r="U31" s="61">
        <v>0</v>
      </c>
      <c r="V31" s="61">
        <v>0</v>
      </c>
      <c r="W31" s="67">
        <f>IFERROR('GIR Log'!$D31/COUNTA('GIR Log'!$E31:$V31),0)</f>
        <v>0.22222222222222221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SUM('GIR Log'!$E32:$V32)</f>
        <v>2</v>
      </c>
      <c r="E32" s="61">
        <v>0</v>
      </c>
      <c r="F32" s="61">
        <v>0</v>
      </c>
      <c r="G32" s="61">
        <v>0</v>
      </c>
      <c r="H32" s="61">
        <v>0</v>
      </c>
      <c r="I32" s="61">
        <v>0</v>
      </c>
      <c r="J32" s="61">
        <v>1</v>
      </c>
      <c r="K32" s="61">
        <v>1</v>
      </c>
      <c r="L32" s="61">
        <v>0</v>
      </c>
      <c r="M32" s="61">
        <v>0</v>
      </c>
      <c r="N32" s="61"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0</v>
      </c>
      <c r="U32" s="61">
        <v>0</v>
      </c>
      <c r="V32" s="61">
        <v>0</v>
      </c>
      <c r="W32" s="67">
        <f>IFERROR('GIR Log'!$D32/COUNTA('GIR Log'!$E32:$V32),0)</f>
        <v>0.1111111111111111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SUM('GIR Log'!$E33:$V33)</f>
        <v>4</v>
      </c>
      <c r="E33" s="61">
        <v>0</v>
      </c>
      <c r="F33" s="61">
        <v>0</v>
      </c>
      <c r="G33" s="61">
        <v>1</v>
      </c>
      <c r="H33" s="61">
        <v>0</v>
      </c>
      <c r="I33" s="61">
        <v>0</v>
      </c>
      <c r="J33" s="61">
        <v>0</v>
      </c>
      <c r="K33" s="61">
        <v>0</v>
      </c>
      <c r="L33" s="61">
        <v>0</v>
      </c>
      <c r="M33" s="61">
        <v>0</v>
      </c>
      <c r="N33" s="61">
        <v>1</v>
      </c>
      <c r="O33" s="61">
        <v>1</v>
      </c>
      <c r="P33" s="61">
        <v>1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7">
        <f>IFERROR('GIR Log'!$D33/COUNTA('GIR Log'!$E33:$V33),0)</f>
        <v>0.22222222222222221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SUM('GIR Log'!$E34:$V34)</f>
        <v>3</v>
      </c>
      <c r="E34" s="61">
        <v>0</v>
      </c>
      <c r="F34" s="61">
        <v>0</v>
      </c>
      <c r="G34" s="61">
        <v>1</v>
      </c>
      <c r="H34" s="61">
        <v>1</v>
      </c>
      <c r="I34" s="61">
        <v>0</v>
      </c>
      <c r="J34" s="61">
        <v>0</v>
      </c>
      <c r="K34" s="61">
        <v>0</v>
      </c>
      <c r="L34" s="61">
        <v>0</v>
      </c>
      <c r="M34" s="61">
        <v>1</v>
      </c>
      <c r="N34" s="61">
        <v>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0</v>
      </c>
      <c r="U34" s="61">
        <v>0</v>
      </c>
      <c r="V34" s="61">
        <v>0</v>
      </c>
      <c r="W34" s="67">
        <f>IFERROR('GIR Log'!$D34/COUNTA('GIR Log'!$E34:$V34),0)</f>
        <v>0.16666666666666666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SUM('GIR Log'!$E35:$V35)</f>
        <v>7</v>
      </c>
      <c r="E35" s="60" t="s">
        <v>136</v>
      </c>
      <c r="F35" s="61">
        <v>1</v>
      </c>
      <c r="G35" s="60" t="s">
        <v>136</v>
      </c>
      <c r="H35" s="60" t="s">
        <v>136</v>
      </c>
      <c r="I35" s="60" t="s">
        <v>139</v>
      </c>
      <c r="J35" s="60" t="s">
        <v>136</v>
      </c>
      <c r="K35" s="61">
        <v>1</v>
      </c>
      <c r="L35" s="60" t="s">
        <v>136</v>
      </c>
      <c r="M35" s="61">
        <v>1</v>
      </c>
      <c r="N35" s="61">
        <v>1</v>
      </c>
      <c r="O35" s="61">
        <v>1</v>
      </c>
      <c r="P35" s="60" t="s">
        <v>135</v>
      </c>
      <c r="Q35" s="60" t="s">
        <v>136</v>
      </c>
      <c r="R35" s="60" t="s">
        <v>136</v>
      </c>
      <c r="S35" s="60" t="s">
        <v>139</v>
      </c>
      <c r="T35" s="61">
        <v>1</v>
      </c>
      <c r="U35" s="61">
        <v>1</v>
      </c>
      <c r="V35" s="60" t="s">
        <v>135</v>
      </c>
      <c r="W35" s="67">
        <f>IFERROR('GIR Log'!$D35/COUNTA('GIR Log'!$E35:$V35),0)</f>
        <v>0.3888888888888889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SUM('GIR Log'!$E36:$V36)</f>
        <v>9</v>
      </c>
      <c r="E36" s="60" t="s">
        <v>136</v>
      </c>
      <c r="F36" s="60" t="s">
        <v>135</v>
      </c>
      <c r="G36" s="60" t="s">
        <v>136</v>
      </c>
      <c r="H36" s="61">
        <v>1</v>
      </c>
      <c r="I36" s="60" t="s">
        <v>136</v>
      </c>
      <c r="J36" s="61">
        <v>1</v>
      </c>
      <c r="K36" s="60" t="s">
        <v>135</v>
      </c>
      <c r="L36" s="61">
        <v>1</v>
      </c>
      <c r="M36" s="61">
        <v>1</v>
      </c>
      <c r="N36" s="60" t="s">
        <v>136</v>
      </c>
      <c r="O36" s="60" t="s">
        <v>135</v>
      </c>
      <c r="P36" s="61">
        <v>1</v>
      </c>
      <c r="Q36" s="61">
        <v>1</v>
      </c>
      <c r="R36" s="61">
        <v>1</v>
      </c>
      <c r="S36" s="60" t="s">
        <v>136</v>
      </c>
      <c r="T36" s="60" t="s">
        <v>136</v>
      </c>
      <c r="U36" s="61">
        <v>1</v>
      </c>
      <c r="V36" s="61">
        <v>1</v>
      </c>
      <c r="W36" s="67">
        <f>IFERROR('GIR Log'!$D36/COUNTA('GIR Log'!$E36:$V36),0)</f>
        <v>0.5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SUM('GIR Log'!$E37:$V37)</f>
        <v>8</v>
      </c>
      <c r="E37" s="61">
        <v>1</v>
      </c>
      <c r="F37" s="60" t="s">
        <v>136</v>
      </c>
      <c r="G37" s="61">
        <v>1</v>
      </c>
      <c r="H37" s="60" t="s">
        <v>136</v>
      </c>
      <c r="I37" s="60" t="s">
        <v>138</v>
      </c>
      <c r="J37" s="61">
        <v>1</v>
      </c>
      <c r="K37" s="61">
        <v>1</v>
      </c>
      <c r="L37" s="61">
        <v>1</v>
      </c>
      <c r="M37" s="60" t="s">
        <v>136</v>
      </c>
      <c r="N37" s="60" t="s">
        <v>136</v>
      </c>
      <c r="O37" s="60" t="s">
        <v>135</v>
      </c>
      <c r="P37" s="61">
        <v>1</v>
      </c>
      <c r="Q37" s="60" t="s">
        <v>136</v>
      </c>
      <c r="R37" s="60" t="s">
        <v>138</v>
      </c>
      <c r="S37" s="60" t="s">
        <v>139</v>
      </c>
      <c r="T37" s="60" t="s">
        <v>136</v>
      </c>
      <c r="U37" s="61">
        <v>1</v>
      </c>
      <c r="V37" s="61">
        <v>1</v>
      </c>
      <c r="W37" s="67">
        <f>IFERROR('GIR Log'!$D37/COUNTA('GIR Log'!$E37:$V37),0)</f>
        <v>0.44444444444444442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SUM('GIR Log'!$E38:$V38)</f>
        <v>11</v>
      </c>
      <c r="E38" s="61">
        <v>1</v>
      </c>
      <c r="F38" s="61">
        <v>1</v>
      </c>
      <c r="G38" s="60" t="s">
        <v>138</v>
      </c>
      <c r="H38" s="61">
        <v>1</v>
      </c>
      <c r="I38" s="60" t="s">
        <v>136</v>
      </c>
      <c r="J38" s="61">
        <v>1</v>
      </c>
      <c r="K38" s="61">
        <v>1</v>
      </c>
      <c r="L38" s="61">
        <v>1</v>
      </c>
      <c r="M38" s="61">
        <v>1</v>
      </c>
      <c r="N38" s="61">
        <v>1</v>
      </c>
      <c r="O38" s="61">
        <v>1</v>
      </c>
      <c r="P38" s="61">
        <v>1</v>
      </c>
      <c r="Q38" s="60" t="s">
        <v>136</v>
      </c>
      <c r="R38" s="60" t="s">
        <v>136</v>
      </c>
      <c r="S38" s="60" t="s">
        <v>135</v>
      </c>
      <c r="T38" s="60" t="s">
        <v>135</v>
      </c>
      <c r="U38" s="60" t="s">
        <v>135</v>
      </c>
      <c r="V38" s="60">
        <v>1</v>
      </c>
      <c r="W38" s="67">
        <f>IFERROR('GIR Log'!$D38/COUNTA('GIR Log'!$E38:$V38),0)</f>
        <v>0.61111111111111116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SUM('GIR Log'!$E39:$V39)</f>
        <v>4</v>
      </c>
      <c r="E39" s="61">
        <v>1</v>
      </c>
      <c r="F39" s="60" t="s">
        <v>136</v>
      </c>
      <c r="G39" s="60" t="s">
        <v>136</v>
      </c>
      <c r="H39" s="60" t="s">
        <v>135</v>
      </c>
      <c r="I39" s="61">
        <v>1</v>
      </c>
      <c r="J39" s="60" t="s">
        <v>135</v>
      </c>
      <c r="K39" s="60" t="s">
        <v>135</v>
      </c>
      <c r="L39" s="60" t="s">
        <v>135</v>
      </c>
      <c r="M39" s="60" t="s">
        <v>136</v>
      </c>
      <c r="N39" s="60" t="s">
        <v>136</v>
      </c>
      <c r="O39" s="60" t="s">
        <v>138</v>
      </c>
      <c r="P39" s="60" t="s">
        <v>136</v>
      </c>
      <c r="Q39" s="60" t="s">
        <v>136</v>
      </c>
      <c r="R39" s="60" t="s">
        <v>136</v>
      </c>
      <c r="S39" s="60" t="s">
        <v>136</v>
      </c>
      <c r="T39" s="61">
        <v>1</v>
      </c>
      <c r="U39" s="61">
        <v>1</v>
      </c>
      <c r="V39" s="60" t="s">
        <v>136</v>
      </c>
      <c r="W39" s="67">
        <f>IFERROR('GIR Log'!$D39/COUNTA('GIR Log'!$E39:$V39),0)</f>
        <v>0.22222222222222221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SUM('GIR Log'!$E40:$V40)</f>
        <v>4</v>
      </c>
      <c r="E40" s="60" t="s">
        <v>135</v>
      </c>
      <c r="F40" s="60" t="s">
        <v>138</v>
      </c>
      <c r="G40" s="61">
        <v>1</v>
      </c>
      <c r="H40" s="60" t="s">
        <v>135</v>
      </c>
      <c r="I40" s="60" t="s">
        <v>138</v>
      </c>
      <c r="J40" s="61">
        <v>1</v>
      </c>
      <c r="K40" s="60" t="s">
        <v>138</v>
      </c>
      <c r="L40" s="60" t="s">
        <v>136</v>
      </c>
      <c r="M40" s="61">
        <v>1</v>
      </c>
      <c r="N40" s="61">
        <v>1</v>
      </c>
      <c r="O40" s="60" t="s">
        <v>139</v>
      </c>
      <c r="P40" s="60" t="s">
        <v>138</v>
      </c>
      <c r="Q40" s="60" t="s">
        <v>138</v>
      </c>
      <c r="R40" s="60" t="s">
        <v>138</v>
      </c>
      <c r="S40" s="60" t="s">
        <v>136</v>
      </c>
      <c r="T40" s="60" t="s">
        <v>136</v>
      </c>
      <c r="U40" s="60" t="s">
        <v>136</v>
      </c>
      <c r="V40" s="60" t="s">
        <v>138</v>
      </c>
      <c r="W40" s="67">
        <f>IFERROR('GIR Log'!$D40/COUNTA('GIR Log'!$E40:$V40),0)</f>
        <v>0.22222222222222221</v>
      </c>
    </row>
    <row r="41" spans="1:23" x14ac:dyDescent="0.25">
      <c r="A41" s="20" t="s">
        <v>126</v>
      </c>
      <c r="B41" s="18">
        <v>45892</v>
      </c>
      <c r="C41" s="20" t="s">
        <v>41</v>
      </c>
      <c r="D41" s="20">
        <f>SUM('GIR Log'!$E41:$V41)</f>
        <v>5</v>
      </c>
      <c r="E41" s="61">
        <v>0</v>
      </c>
      <c r="F41" s="61">
        <v>0</v>
      </c>
      <c r="G41" s="61">
        <v>0</v>
      </c>
      <c r="H41" s="61">
        <v>0</v>
      </c>
      <c r="I41" s="61">
        <v>0</v>
      </c>
      <c r="J41" s="61">
        <v>0</v>
      </c>
      <c r="K41" s="61">
        <v>0</v>
      </c>
      <c r="L41" s="61">
        <v>0</v>
      </c>
      <c r="M41" s="61">
        <v>0</v>
      </c>
      <c r="N41" s="61">
        <v>1</v>
      </c>
      <c r="O41" s="61">
        <v>1</v>
      </c>
      <c r="P41" s="61">
        <v>0</v>
      </c>
      <c r="Q41" s="61">
        <v>1</v>
      </c>
      <c r="R41" s="61">
        <v>0</v>
      </c>
      <c r="S41" s="61">
        <v>1</v>
      </c>
      <c r="T41" s="61">
        <v>0</v>
      </c>
      <c r="U41" s="61">
        <v>0</v>
      </c>
      <c r="V41" s="61">
        <v>1</v>
      </c>
      <c r="W41" s="67">
        <f>IFERROR('GIR Log'!$D41/COUNTA('GIR Log'!$E41:$V41),0)</f>
        <v>0.27777777777777779</v>
      </c>
    </row>
    <row r="42" spans="1:23" x14ac:dyDescent="0.25">
      <c r="A42" s="20" t="s">
        <v>126</v>
      </c>
      <c r="B42" s="18">
        <v>45894</v>
      </c>
      <c r="C42" s="20" t="s">
        <v>11</v>
      </c>
      <c r="D42" s="20">
        <f>SUM('GIR Log'!$E42:$V42)</f>
        <v>1</v>
      </c>
      <c r="E42" s="60" t="s">
        <v>139</v>
      </c>
      <c r="F42" s="60" t="s">
        <v>139</v>
      </c>
      <c r="G42" s="60" t="s">
        <v>136</v>
      </c>
      <c r="H42" s="60" t="s">
        <v>136</v>
      </c>
      <c r="I42" s="60" t="s">
        <v>136</v>
      </c>
      <c r="J42" s="60" t="s">
        <v>136</v>
      </c>
      <c r="K42" s="61">
        <v>1</v>
      </c>
      <c r="L42" s="60" t="s">
        <v>136</v>
      </c>
      <c r="M42" s="60" t="s">
        <v>136</v>
      </c>
      <c r="N42" s="60" t="s">
        <v>136</v>
      </c>
      <c r="O42" s="60" t="s">
        <v>136</v>
      </c>
      <c r="P42" s="60" t="s">
        <v>136</v>
      </c>
      <c r="Q42" s="60" t="s">
        <v>136</v>
      </c>
      <c r="R42" s="60" t="s">
        <v>136</v>
      </c>
      <c r="S42" s="60" t="s">
        <v>136</v>
      </c>
      <c r="T42" s="60" t="s">
        <v>138</v>
      </c>
      <c r="U42" s="60" t="s">
        <v>136</v>
      </c>
      <c r="V42" s="60" t="s">
        <v>136</v>
      </c>
      <c r="W42" s="67">
        <f>IFERROR('GIR Log'!$D42/COUNTA('GIR Log'!$E42:$V42),0)</f>
        <v>5.5555555555555552E-2</v>
      </c>
    </row>
    <row r="43" spans="1:23" x14ac:dyDescent="0.25">
      <c r="A43" s="20" t="s">
        <v>126</v>
      </c>
      <c r="B43" s="18">
        <v>45897</v>
      </c>
      <c r="C43" s="20" t="s">
        <v>41</v>
      </c>
      <c r="D43" s="20">
        <f>SUM('GIR Log'!$E43:$V43)</f>
        <v>4</v>
      </c>
      <c r="E43" s="64" t="s">
        <v>137</v>
      </c>
      <c r="F43" s="64" t="s">
        <v>137</v>
      </c>
      <c r="G43" s="60" t="s">
        <v>135</v>
      </c>
      <c r="H43" s="60" t="s">
        <v>136</v>
      </c>
      <c r="I43" s="64" t="s">
        <v>137</v>
      </c>
      <c r="J43" s="64"/>
      <c r="K43" s="61">
        <v>1</v>
      </c>
      <c r="L43" s="64" t="s">
        <v>137</v>
      </c>
      <c r="M43" s="61">
        <v>1</v>
      </c>
      <c r="N43" s="60" t="s">
        <v>136</v>
      </c>
      <c r="O43" s="64" t="s">
        <v>137</v>
      </c>
      <c r="P43" s="64" t="s">
        <v>137</v>
      </c>
      <c r="Q43" s="60" t="s">
        <v>136</v>
      </c>
      <c r="R43" s="64" t="s">
        <v>137</v>
      </c>
      <c r="S43" s="61">
        <v>1</v>
      </c>
      <c r="T43" s="60" t="s">
        <v>136</v>
      </c>
      <c r="U43" s="64" t="s">
        <v>137</v>
      </c>
      <c r="V43" s="61">
        <v>1</v>
      </c>
      <c r="W43" s="67">
        <f>IFERROR('GIR Log'!$D43/COUNTA('GIR Log'!$E43:$V43),0)</f>
        <v>0.23529411764705882</v>
      </c>
    </row>
    <row r="44" spans="1:23" x14ac:dyDescent="0.25">
      <c r="A44" s="20" t="s">
        <v>127</v>
      </c>
      <c r="B44" s="18">
        <v>45894</v>
      </c>
      <c r="C44" s="20" t="s">
        <v>11</v>
      </c>
      <c r="D44" s="20">
        <f>SUM('GIR Log'!$E44:$V44)</f>
        <v>3</v>
      </c>
      <c r="E44" s="60" t="s">
        <v>136</v>
      </c>
      <c r="F44" s="60" t="s">
        <v>139</v>
      </c>
      <c r="G44" s="60" t="s">
        <v>136</v>
      </c>
      <c r="H44" s="60" t="s">
        <v>136</v>
      </c>
      <c r="I44" s="61">
        <v>1</v>
      </c>
      <c r="J44" s="60" t="s">
        <v>136</v>
      </c>
      <c r="K44" s="60" t="s">
        <v>136</v>
      </c>
      <c r="L44" s="60" t="s">
        <v>136</v>
      </c>
      <c r="M44" s="60" t="s">
        <v>136</v>
      </c>
      <c r="N44" s="60" t="s">
        <v>136</v>
      </c>
      <c r="O44" s="60" t="s">
        <v>136</v>
      </c>
      <c r="P44" s="60" t="s">
        <v>136</v>
      </c>
      <c r="Q44" s="60" t="s">
        <v>136</v>
      </c>
      <c r="R44" s="61">
        <v>1</v>
      </c>
      <c r="S44" s="60" t="s">
        <v>136</v>
      </c>
      <c r="T44" s="60" t="s">
        <v>136</v>
      </c>
      <c r="U44" s="61">
        <v>1</v>
      </c>
      <c r="V44" s="60" t="s">
        <v>136</v>
      </c>
      <c r="W44" s="67">
        <f>IFERROR('GIR Log'!$D44/COUNTA('GIR Log'!$E44:$V44),0)</f>
        <v>0.16666666666666666</v>
      </c>
    </row>
    <row r="45" spans="1:23" x14ac:dyDescent="0.25">
      <c r="A45" s="35" t="s">
        <v>127</v>
      </c>
      <c r="B45" s="36">
        <v>45853</v>
      </c>
      <c r="C45" s="35" t="s">
        <v>128</v>
      </c>
      <c r="D45" s="35">
        <f>SUM('GIR Log'!$E45:$V45)</f>
        <v>2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1</v>
      </c>
      <c r="P45" s="65">
        <v>0</v>
      </c>
      <c r="Q45" s="65">
        <v>0</v>
      </c>
      <c r="R45" s="65">
        <v>1</v>
      </c>
      <c r="S45" s="65">
        <v>0</v>
      </c>
      <c r="T45" s="65">
        <v>0</v>
      </c>
      <c r="U45" s="65">
        <v>0</v>
      </c>
      <c r="V45" s="65">
        <v>0</v>
      </c>
      <c r="W45" s="67">
        <f>IFERROR('GIR Log'!$D45/COUNTA('GIR Log'!$E45:$V45),0)</f>
        <v>0.1111111111111111</v>
      </c>
    </row>
    <row r="46" spans="1:23" x14ac:dyDescent="0.25">
      <c r="A46" s="35" t="s">
        <v>127</v>
      </c>
      <c r="B46" s="36">
        <v>45765</v>
      </c>
      <c r="C46" s="35" t="s">
        <v>129</v>
      </c>
      <c r="D46" s="35">
        <f>SUM('GIR Log'!$E46:$V46)</f>
        <v>2</v>
      </c>
      <c r="E46" s="60" t="s">
        <v>136</v>
      </c>
      <c r="F46" s="64"/>
      <c r="G46" s="60" t="s">
        <v>136</v>
      </c>
      <c r="H46" s="60" t="s">
        <v>136</v>
      </c>
      <c r="I46" s="64" t="s">
        <v>137</v>
      </c>
      <c r="J46" s="60" t="s">
        <v>136</v>
      </c>
      <c r="K46" s="60" t="s">
        <v>139</v>
      </c>
      <c r="L46" s="60" t="s">
        <v>139</v>
      </c>
      <c r="M46" s="65">
        <v>1</v>
      </c>
      <c r="N46" s="60" t="s">
        <v>139</v>
      </c>
      <c r="O46" s="60" t="s">
        <v>139</v>
      </c>
      <c r="P46" s="60" t="s">
        <v>139</v>
      </c>
      <c r="Q46" s="60" t="s">
        <v>135</v>
      </c>
      <c r="R46" s="64" t="s">
        <v>137</v>
      </c>
      <c r="S46" s="60" t="s">
        <v>139</v>
      </c>
      <c r="T46" s="65">
        <v>1</v>
      </c>
      <c r="U46" s="60" t="s">
        <v>135</v>
      </c>
      <c r="V46" s="60" t="s">
        <v>135</v>
      </c>
      <c r="W46" s="67">
        <f>IFERROR('GIR Log'!$D46/COUNTA('GIR Log'!$E46:$V46),0)</f>
        <v>0.11764705882352941</v>
      </c>
    </row>
    <row r="47" spans="1:23" x14ac:dyDescent="0.25">
      <c r="A47" s="43" t="s">
        <v>127</v>
      </c>
      <c r="B47" s="44">
        <v>45520</v>
      </c>
      <c r="C47" s="43" t="s">
        <v>46</v>
      </c>
      <c r="D47" s="43">
        <f>SUM('GIR Log'!$E47:$V47)</f>
        <v>4</v>
      </c>
      <c r="E47" s="60" t="s">
        <v>136</v>
      </c>
      <c r="F47" s="60" t="s">
        <v>136</v>
      </c>
      <c r="G47" s="66">
        <v>1</v>
      </c>
      <c r="H47" s="60" t="s">
        <v>136</v>
      </c>
      <c r="I47" s="60" t="s">
        <v>138</v>
      </c>
      <c r="J47" s="60" t="s">
        <v>139</v>
      </c>
      <c r="K47" s="66">
        <v>1</v>
      </c>
      <c r="L47" s="60" t="s">
        <v>135</v>
      </c>
      <c r="M47" s="60" t="s">
        <v>136</v>
      </c>
      <c r="N47" s="60" t="s">
        <v>136</v>
      </c>
      <c r="O47" s="66">
        <v>1</v>
      </c>
      <c r="P47" s="60" t="s">
        <v>136</v>
      </c>
      <c r="Q47" s="66">
        <v>1</v>
      </c>
      <c r="R47" s="60" t="s">
        <v>136</v>
      </c>
      <c r="S47" s="60" t="s">
        <v>136</v>
      </c>
      <c r="T47" s="60" t="s">
        <v>136</v>
      </c>
      <c r="U47" s="60" t="s">
        <v>136</v>
      </c>
      <c r="V47" s="60" t="s">
        <v>136</v>
      </c>
      <c r="W47" s="67">
        <f>IFERROR('GIR Log'!$D47/COUNTA('GIR Log'!$E47:$V47),0)</f>
        <v>0.22222222222222221</v>
      </c>
    </row>
    <row r="48" spans="1:23" x14ac:dyDescent="0.25">
      <c r="A48" s="43" t="s">
        <v>127</v>
      </c>
      <c r="B48" s="44">
        <v>45492</v>
      </c>
      <c r="C48" s="43" t="s">
        <v>6</v>
      </c>
      <c r="D48" s="43">
        <f>SUM('GIR Log'!$E48:$V48)</f>
        <v>1</v>
      </c>
      <c r="E48" s="60" t="s">
        <v>138</v>
      </c>
      <c r="F48" s="60" t="s">
        <v>135</v>
      </c>
      <c r="G48" s="60" t="s">
        <v>135</v>
      </c>
      <c r="H48" s="60" t="s">
        <v>136</v>
      </c>
      <c r="I48" s="60" t="s">
        <v>135</v>
      </c>
      <c r="J48" s="60" t="s">
        <v>136</v>
      </c>
      <c r="K48" s="60" t="s">
        <v>136</v>
      </c>
      <c r="L48" s="60" t="s">
        <v>136</v>
      </c>
      <c r="M48" s="60" t="s">
        <v>136</v>
      </c>
      <c r="N48" s="60" t="s">
        <v>136</v>
      </c>
      <c r="O48" s="60" t="s">
        <v>136</v>
      </c>
      <c r="P48" s="60" t="s">
        <v>136</v>
      </c>
      <c r="Q48" s="60" t="s">
        <v>136</v>
      </c>
      <c r="R48" s="60" t="s">
        <v>136</v>
      </c>
      <c r="S48" s="60" t="s">
        <v>139</v>
      </c>
      <c r="T48" s="66">
        <v>1</v>
      </c>
      <c r="U48" s="60" t="s">
        <v>139</v>
      </c>
      <c r="V48" s="60" t="s">
        <v>139</v>
      </c>
      <c r="W48" s="67">
        <f>IFERROR('GIR Log'!$D48/COUNTA('GIR Log'!$E48:$V48),0)</f>
        <v>5.5555555555555552E-2</v>
      </c>
    </row>
    <row r="49" spans="1:23" x14ac:dyDescent="0.25">
      <c r="A49" s="43" t="s">
        <v>127</v>
      </c>
      <c r="B49" s="44">
        <v>45453</v>
      </c>
      <c r="C49" s="43" t="s">
        <v>11</v>
      </c>
      <c r="D49" s="43">
        <f>SUM('GIR Log'!$E49:$V49)</f>
        <v>1</v>
      </c>
      <c r="E49" s="66">
        <v>0</v>
      </c>
      <c r="F49" s="66">
        <v>0</v>
      </c>
      <c r="G49" s="66">
        <v>0</v>
      </c>
      <c r="H49" s="66">
        <v>0</v>
      </c>
      <c r="I49" s="66">
        <v>0</v>
      </c>
      <c r="J49" s="66">
        <v>0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0</v>
      </c>
      <c r="Q49" s="66">
        <v>1</v>
      </c>
      <c r="R49" s="66">
        <v>0</v>
      </c>
      <c r="S49" s="66">
        <v>0</v>
      </c>
      <c r="T49" s="66">
        <v>0</v>
      </c>
      <c r="U49" s="66">
        <v>0</v>
      </c>
      <c r="V49" s="66">
        <v>0</v>
      </c>
      <c r="W49" s="67">
        <f>IFERROR('GIR Log'!$D49/COUNTA('GIR Log'!$E49:$V49),0)</f>
        <v>5.5555555555555552E-2</v>
      </c>
    </row>
    <row r="50" spans="1:23" x14ac:dyDescent="0.25">
      <c r="A50" s="51" t="s">
        <v>130</v>
      </c>
      <c r="B50" s="52">
        <v>45156</v>
      </c>
      <c r="C50" s="51" t="s">
        <v>46</v>
      </c>
      <c r="D50" s="51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7">
        <f>IFERROR('GIR Log'!$D50/COUNTA('GIR Log'!$E50:$V50),0)</f>
        <v>0</v>
      </c>
    </row>
    <row r="51" spans="1:23" x14ac:dyDescent="0.25">
      <c r="A51" s="51" t="s">
        <v>130</v>
      </c>
      <c r="B51" s="52">
        <v>45465</v>
      </c>
      <c r="C51" s="51" t="s">
        <v>12</v>
      </c>
      <c r="D51" s="51">
        <f>SUM('GIR Log'!$E51:$V51)</f>
        <v>1</v>
      </c>
      <c r="E51" s="60" t="s">
        <v>136</v>
      </c>
      <c r="F51" s="60" t="s">
        <v>136</v>
      </c>
      <c r="G51" s="60" t="s">
        <v>138</v>
      </c>
      <c r="H51" s="60" t="s">
        <v>136</v>
      </c>
      <c r="I51" s="60" t="s">
        <v>135</v>
      </c>
      <c r="J51" s="60" t="s">
        <v>136</v>
      </c>
      <c r="K51" s="60" t="s">
        <v>136</v>
      </c>
      <c r="L51" s="60" t="s">
        <v>139</v>
      </c>
      <c r="M51" s="60" t="s">
        <v>136</v>
      </c>
      <c r="N51" s="60" t="s">
        <v>136</v>
      </c>
      <c r="O51" s="60" t="s">
        <v>136</v>
      </c>
      <c r="P51" s="60" t="s">
        <v>136</v>
      </c>
      <c r="Q51" s="60" t="s">
        <v>136</v>
      </c>
      <c r="R51" s="60" t="s">
        <v>136</v>
      </c>
      <c r="S51" s="60" t="s">
        <v>136</v>
      </c>
      <c r="T51" s="62">
        <v>1</v>
      </c>
      <c r="U51" s="60" t="s">
        <v>136</v>
      </c>
      <c r="V51" s="60" t="s">
        <v>136</v>
      </c>
      <c r="W51" s="67">
        <f>IFERROR('GIR Log'!$D51/COUNTA('GIR Log'!$E51:$V51),0)</f>
        <v>5.5555555555555552E-2</v>
      </c>
    </row>
    <row r="52" spans="1:23" x14ac:dyDescent="0.25">
      <c r="A52" s="51" t="s">
        <v>130</v>
      </c>
      <c r="B52" s="52">
        <v>45514</v>
      </c>
      <c r="C52" s="51" t="s">
        <v>6</v>
      </c>
      <c r="D52" s="51">
        <f>SUM('GIR Log'!$E52:$V52)</f>
        <v>1</v>
      </c>
      <c r="E52" s="64" t="s">
        <v>137</v>
      </c>
      <c r="F52" s="60" t="s">
        <v>136</v>
      </c>
      <c r="G52" s="60" t="s">
        <v>139</v>
      </c>
      <c r="H52" s="60" t="s">
        <v>136</v>
      </c>
      <c r="I52" s="60" t="s">
        <v>135</v>
      </c>
      <c r="J52" s="60" t="s">
        <v>138</v>
      </c>
      <c r="K52" s="62">
        <v>1</v>
      </c>
      <c r="L52" s="60" t="s">
        <v>138</v>
      </c>
      <c r="M52" s="60" t="s">
        <v>136</v>
      </c>
      <c r="N52" s="60" t="s">
        <v>136</v>
      </c>
      <c r="O52" s="60" t="s">
        <v>135</v>
      </c>
      <c r="P52" s="60" t="s">
        <v>135</v>
      </c>
      <c r="Q52" s="60" t="s">
        <v>139</v>
      </c>
      <c r="R52" s="60" t="s">
        <v>136</v>
      </c>
      <c r="S52" s="60" t="s">
        <v>136</v>
      </c>
      <c r="T52" s="60" t="s">
        <v>136</v>
      </c>
      <c r="U52" s="60" t="s">
        <v>138</v>
      </c>
      <c r="V52" s="60" t="s">
        <v>135</v>
      </c>
      <c r="W52" s="67">
        <f>IFERROR('GIR Log'!$D52/COUNTA('GIR Log'!$E52:$V52),0)</f>
        <v>5.5555555555555552E-2</v>
      </c>
    </row>
    <row r="53" spans="1:23" x14ac:dyDescent="0.25">
      <c r="A53" s="51" t="s">
        <v>130</v>
      </c>
      <c r="B53" s="52">
        <v>45892</v>
      </c>
      <c r="C53" s="51" t="s">
        <v>41</v>
      </c>
      <c r="D53" s="51">
        <f>SUM('GIR Log'!$E53:$V53)</f>
        <v>6</v>
      </c>
      <c r="E53" s="62">
        <v>0</v>
      </c>
      <c r="F53" s="62">
        <v>1</v>
      </c>
      <c r="G53" s="62">
        <v>0</v>
      </c>
      <c r="H53" s="62">
        <v>0</v>
      </c>
      <c r="I53" s="62">
        <v>0</v>
      </c>
      <c r="J53" s="62">
        <v>1</v>
      </c>
      <c r="K53" s="62">
        <v>0</v>
      </c>
      <c r="L53" s="62">
        <v>1</v>
      </c>
      <c r="M53" s="62">
        <v>1</v>
      </c>
      <c r="N53" s="62">
        <v>0</v>
      </c>
      <c r="O53" s="62">
        <v>0</v>
      </c>
      <c r="P53" s="62">
        <v>0</v>
      </c>
      <c r="Q53" s="62">
        <v>1</v>
      </c>
      <c r="R53" s="62">
        <v>0</v>
      </c>
      <c r="S53" s="62">
        <v>0</v>
      </c>
      <c r="T53" s="62">
        <v>0</v>
      </c>
      <c r="U53" s="62">
        <v>1</v>
      </c>
      <c r="V53" s="62">
        <v>0</v>
      </c>
      <c r="W53" s="67">
        <f>IFERROR('GIR Log'!$D53/COUNTA('GIR Log'!$E53:$V53),0)</f>
        <v>0.33333333333333331</v>
      </c>
    </row>
    <row r="54" spans="1:23" x14ac:dyDescent="0.25">
      <c r="A54" s="51" t="s">
        <v>130</v>
      </c>
      <c r="B54" s="52">
        <v>45886</v>
      </c>
      <c r="C54" s="51" t="s">
        <v>41</v>
      </c>
      <c r="D54" s="51">
        <f>SUM('GIR Log'!$E54:$V54)</f>
        <v>8</v>
      </c>
      <c r="E54" s="60" t="s">
        <v>136</v>
      </c>
      <c r="F54" s="60" t="s">
        <v>136</v>
      </c>
      <c r="G54" s="60" t="s">
        <v>135</v>
      </c>
      <c r="H54" s="62">
        <v>1</v>
      </c>
      <c r="I54" s="60" t="s">
        <v>136</v>
      </c>
      <c r="J54" s="62">
        <v>1</v>
      </c>
      <c r="K54" s="62">
        <v>1</v>
      </c>
      <c r="L54" s="62">
        <v>1</v>
      </c>
      <c r="M54" s="60" t="s">
        <v>136</v>
      </c>
      <c r="N54" s="62">
        <v>1</v>
      </c>
      <c r="O54" s="62">
        <v>1</v>
      </c>
      <c r="P54" s="60" t="s">
        <v>138</v>
      </c>
      <c r="Q54" s="60" t="s">
        <v>136</v>
      </c>
      <c r="R54" s="62">
        <v>1</v>
      </c>
      <c r="S54" s="60" t="s">
        <v>136</v>
      </c>
      <c r="T54" s="62">
        <v>1</v>
      </c>
      <c r="U54" s="60" t="s">
        <v>136</v>
      </c>
      <c r="V54" s="60" t="s">
        <v>136</v>
      </c>
      <c r="W54" s="67">
        <f>IFERROR('GIR Log'!$D54/COUNTA('GIR Log'!$E54:$V54),0)</f>
        <v>0.44444444444444442</v>
      </c>
    </row>
    <row r="55" spans="1:23" x14ac:dyDescent="0.25">
      <c r="A55" s="51" t="s">
        <v>130</v>
      </c>
      <c r="B55" s="52">
        <v>45897</v>
      </c>
      <c r="C55" s="51" t="s">
        <v>41</v>
      </c>
      <c r="D55" s="51">
        <f>SUM('GIR Log'!$E55:$V55)</f>
        <v>0</v>
      </c>
      <c r="E55" s="60" t="s">
        <v>139</v>
      </c>
      <c r="F55" s="60" t="s">
        <v>136</v>
      </c>
      <c r="G55" s="60" t="s">
        <v>139</v>
      </c>
      <c r="H55" s="60" t="s">
        <v>136</v>
      </c>
      <c r="I55" s="60" t="s">
        <v>139</v>
      </c>
      <c r="J55" s="60" t="s">
        <v>139</v>
      </c>
      <c r="K55" s="60" t="s">
        <v>138</v>
      </c>
      <c r="L55" s="60" t="s">
        <v>135</v>
      </c>
      <c r="M55" s="60" t="s">
        <v>136</v>
      </c>
      <c r="N55" s="60" t="s">
        <v>136</v>
      </c>
      <c r="O55" s="60" t="s">
        <v>136</v>
      </c>
      <c r="P55" s="60" t="s">
        <v>136</v>
      </c>
      <c r="Q55" s="60" t="s">
        <v>135</v>
      </c>
      <c r="R55" s="60" t="s">
        <v>136</v>
      </c>
      <c r="S55" s="60" t="s">
        <v>136</v>
      </c>
      <c r="T55" s="60" t="s">
        <v>139</v>
      </c>
      <c r="U55" s="60" t="s">
        <v>139</v>
      </c>
      <c r="V55" s="60" t="s">
        <v>136</v>
      </c>
      <c r="W55" s="67">
        <f>IFERROR('GIR Log'!$D55/COUNTA('GIR Log'!$E55:$V55),0)</f>
        <v>0</v>
      </c>
    </row>
    <row r="56" spans="1:23" x14ac:dyDescent="0.25">
      <c r="A56" s="51" t="s">
        <v>130</v>
      </c>
      <c r="B56" s="52">
        <v>45829</v>
      </c>
      <c r="C56" s="51" t="s">
        <v>6</v>
      </c>
      <c r="D56" s="51">
        <f>SUM('GIR Log'!$E56:$V56)</f>
        <v>6</v>
      </c>
      <c r="E56" s="60" t="s">
        <v>139</v>
      </c>
      <c r="F56" s="60" t="s">
        <v>136</v>
      </c>
      <c r="G56" s="60" t="s">
        <v>139</v>
      </c>
      <c r="H56" s="60" t="s">
        <v>136</v>
      </c>
      <c r="I56" s="60" t="s">
        <v>139</v>
      </c>
      <c r="J56" s="60" t="s">
        <v>136</v>
      </c>
      <c r="K56" s="60" t="s">
        <v>136</v>
      </c>
      <c r="L56" s="60" t="s">
        <v>139</v>
      </c>
      <c r="M56" s="62">
        <v>1</v>
      </c>
      <c r="N56" s="60" t="s">
        <v>136</v>
      </c>
      <c r="O56" s="60" t="s">
        <v>138</v>
      </c>
      <c r="P56" s="62">
        <v>1</v>
      </c>
      <c r="Q56" s="62">
        <v>1</v>
      </c>
      <c r="R56" s="60" t="s">
        <v>139</v>
      </c>
      <c r="S56" s="62">
        <v>1</v>
      </c>
      <c r="T56" s="62">
        <v>1</v>
      </c>
      <c r="U56" s="62">
        <v>1</v>
      </c>
      <c r="V56" s="60" t="s">
        <v>136</v>
      </c>
      <c r="W56" s="67">
        <f>IFERROR('GIR Log'!$D56/COUNTA('GIR Log'!$E56:$V56),0)</f>
        <v>0.33333333333333331</v>
      </c>
    </row>
    <row r="57" spans="1:23" x14ac:dyDescent="0.25">
      <c r="A57" s="51" t="s">
        <v>130</v>
      </c>
      <c r="B57" s="52">
        <v>45857</v>
      </c>
      <c r="C57" s="51" t="s">
        <v>3</v>
      </c>
      <c r="D57" s="51">
        <f>SUM('GIR Log'!$E57:$V57)</f>
        <v>8</v>
      </c>
      <c r="E57" s="62">
        <v>1</v>
      </c>
      <c r="F57" s="60" t="s">
        <v>136</v>
      </c>
      <c r="G57" s="60" t="s">
        <v>138</v>
      </c>
      <c r="H57" s="60" t="s">
        <v>138</v>
      </c>
      <c r="I57" s="60" t="s">
        <v>136</v>
      </c>
      <c r="J57" s="60" t="s">
        <v>139</v>
      </c>
      <c r="K57" s="62">
        <v>1</v>
      </c>
      <c r="L57" s="62">
        <v>1</v>
      </c>
      <c r="M57" s="60" t="s">
        <v>136</v>
      </c>
      <c r="N57" s="60" t="s">
        <v>136</v>
      </c>
      <c r="O57" s="62">
        <v>1</v>
      </c>
      <c r="P57" s="62">
        <v>1</v>
      </c>
      <c r="Q57" s="62">
        <v>1</v>
      </c>
      <c r="R57" s="62">
        <v>1</v>
      </c>
      <c r="S57" s="60" t="s">
        <v>139</v>
      </c>
      <c r="T57" s="60" t="s">
        <v>136</v>
      </c>
      <c r="U57" s="60" t="s">
        <v>136</v>
      </c>
      <c r="V57" s="62">
        <v>1</v>
      </c>
      <c r="W57" s="67">
        <f>IFERROR('GIR Log'!$D57/COUNTA('GIR Log'!$E57:$V57),0)</f>
        <v>0.44444444444444442</v>
      </c>
    </row>
    <row r="58" spans="1:23" x14ac:dyDescent="0.25">
      <c r="A58" s="51" t="s">
        <v>130</v>
      </c>
      <c r="B58" s="52">
        <v>45844</v>
      </c>
      <c r="C58" s="51" t="s">
        <v>3</v>
      </c>
      <c r="D58" s="51">
        <f>SUM('GIR Log'!$E58:$V58)</f>
        <v>3</v>
      </c>
      <c r="E58" s="62">
        <v>1</v>
      </c>
      <c r="F58" s="60" t="s">
        <v>139</v>
      </c>
      <c r="G58" s="60" t="s">
        <v>135</v>
      </c>
      <c r="H58" s="60" t="s">
        <v>136</v>
      </c>
      <c r="I58" s="62">
        <v>1</v>
      </c>
      <c r="J58" s="60" t="s">
        <v>135</v>
      </c>
      <c r="K58" s="60" t="s">
        <v>136</v>
      </c>
      <c r="L58" s="60" t="s">
        <v>138</v>
      </c>
      <c r="M58" s="60" t="s">
        <v>136</v>
      </c>
      <c r="N58" s="60" t="s">
        <v>136</v>
      </c>
      <c r="O58" s="60" t="s">
        <v>139</v>
      </c>
      <c r="P58" s="60" t="s">
        <v>136</v>
      </c>
      <c r="Q58" s="60" t="s">
        <v>136</v>
      </c>
      <c r="R58" s="60" t="s">
        <v>136</v>
      </c>
      <c r="S58" s="60" t="s">
        <v>136</v>
      </c>
      <c r="T58" s="60" t="s">
        <v>136</v>
      </c>
      <c r="U58" s="60" t="s">
        <v>136</v>
      </c>
      <c r="V58" s="62">
        <v>1</v>
      </c>
      <c r="W58" s="67">
        <f>IFERROR('GIR Log'!$D58/COUNTA('GIR Log'!$E58:$V58),0)</f>
        <v>0.16666666666666666</v>
      </c>
    </row>
    <row r="59" spans="1:23" x14ac:dyDescent="0.25">
      <c r="A59" s="51" t="s">
        <v>130</v>
      </c>
      <c r="B59" s="52">
        <v>45653</v>
      </c>
      <c r="C59" s="51" t="s">
        <v>2</v>
      </c>
      <c r="D59" s="51">
        <f>SUM('GIR Log'!$E59:$V59)</f>
        <v>2</v>
      </c>
      <c r="E59" s="60" t="s">
        <v>138</v>
      </c>
      <c r="F59" s="60" t="s">
        <v>138</v>
      </c>
      <c r="G59" s="60" t="s">
        <v>139</v>
      </c>
      <c r="H59" s="60" t="s">
        <v>136</v>
      </c>
      <c r="I59" s="60" t="s">
        <v>136</v>
      </c>
      <c r="J59" s="62">
        <v>1</v>
      </c>
      <c r="K59" s="60" t="s">
        <v>136</v>
      </c>
      <c r="L59" s="60" t="s">
        <v>139</v>
      </c>
      <c r="M59" s="60" t="s">
        <v>138</v>
      </c>
      <c r="N59" s="60" t="s">
        <v>136</v>
      </c>
      <c r="O59" s="60" t="s">
        <v>138</v>
      </c>
      <c r="P59" s="62">
        <v>1</v>
      </c>
      <c r="Q59" s="60" t="s">
        <v>136</v>
      </c>
      <c r="R59" s="60" t="s">
        <v>136</v>
      </c>
      <c r="S59" s="60" t="s">
        <v>136</v>
      </c>
      <c r="T59" s="60" t="s">
        <v>139</v>
      </c>
      <c r="U59" s="60" t="s">
        <v>136</v>
      </c>
      <c r="V59" s="60" t="s">
        <v>136</v>
      </c>
      <c r="W59" s="67">
        <f>IFERROR('GIR Log'!$D59/COUNTA('GIR Log'!$E59:$V59),0)</f>
        <v>0.1111111111111111</v>
      </c>
    </row>
    <row r="60" spans="1:23" x14ac:dyDescent="0.25">
      <c r="A60" s="51" t="s">
        <v>130</v>
      </c>
      <c r="B60" s="52">
        <v>45655</v>
      </c>
      <c r="C60" s="51" t="s">
        <v>4</v>
      </c>
      <c r="D60" s="51">
        <f>SUM('GIR Log'!$E60:$V60)</f>
        <v>4</v>
      </c>
      <c r="E60" s="62">
        <v>1</v>
      </c>
      <c r="F60" s="62">
        <v>1</v>
      </c>
      <c r="G60" s="60" t="s">
        <v>139</v>
      </c>
      <c r="H60" s="62">
        <v>1</v>
      </c>
      <c r="I60" s="60" t="s">
        <v>136</v>
      </c>
      <c r="J60" s="62">
        <v>1</v>
      </c>
      <c r="K60" s="60" t="s">
        <v>136</v>
      </c>
      <c r="L60" s="60" t="s">
        <v>138</v>
      </c>
      <c r="M60" s="60" t="s">
        <v>136</v>
      </c>
      <c r="N60" s="60" t="s">
        <v>136</v>
      </c>
      <c r="O60" s="60" t="s">
        <v>136</v>
      </c>
      <c r="P60" s="60" t="s">
        <v>139</v>
      </c>
      <c r="Q60" s="60" t="s">
        <v>138</v>
      </c>
      <c r="R60" s="60" t="s">
        <v>136</v>
      </c>
      <c r="S60" s="60" t="s">
        <v>136</v>
      </c>
      <c r="T60" s="60" t="s">
        <v>138</v>
      </c>
      <c r="U60" s="60" t="s">
        <v>136</v>
      </c>
      <c r="V60" s="62">
        <v>0</v>
      </c>
      <c r="W60" s="67">
        <f>IFERROR('GIR Log'!$D60/COUNTA('GIR Log'!$E60:$V60),0)</f>
        <v>0.22222222222222221</v>
      </c>
    </row>
    <row r="61" spans="1:23" x14ac:dyDescent="0.25">
      <c r="A61" s="51" t="s">
        <v>130</v>
      </c>
      <c r="B61" s="52">
        <v>45649</v>
      </c>
      <c r="C61" s="51" t="s">
        <v>14</v>
      </c>
      <c r="D61" s="51">
        <f>SUM('GIR Log'!$E61:$V61)</f>
        <v>3</v>
      </c>
      <c r="E61" s="62">
        <v>0</v>
      </c>
      <c r="F61" s="60" t="s">
        <v>136</v>
      </c>
      <c r="G61" s="60" t="s">
        <v>139</v>
      </c>
      <c r="H61" s="62">
        <v>0</v>
      </c>
      <c r="I61" s="62">
        <v>0</v>
      </c>
      <c r="J61" s="62">
        <v>0</v>
      </c>
      <c r="K61" s="60" t="s">
        <v>136</v>
      </c>
      <c r="L61" s="60" t="s">
        <v>136</v>
      </c>
      <c r="M61" s="60" t="s">
        <v>136</v>
      </c>
      <c r="N61" s="60" t="s">
        <v>136</v>
      </c>
      <c r="O61" s="62">
        <v>1</v>
      </c>
      <c r="P61" s="60" t="s">
        <v>139</v>
      </c>
      <c r="Q61" s="62">
        <v>1</v>
      </c>
      <c r="R61" s="60" t="s">
        <v>139</v>
      </c>
      <c r="S61" s="60" t="s">
        <v>139</v>
      </c>
      <c r="T61" s="60" t="s">
        <v>136</v>
      </c>
      <c r="U61" s="62">
        <v>1</v>
      </c>
      <c r="V61" s="60" t="s">
        <v>136</v>
      </c>
      <c r="W61" s="67">
        <f>IFERROR('GIR Log'!$D61/COUNTA('GIR Log'!$E61:$V61),0)</f>
        <v>0.16666666666666666</v>
      </c>
    </row>
    <row r="62" spans="1:23" x14ac:dyDescent="0.25">
      <c r="A62" s="51" t="s">
        <v>130</v>
      </c>
      <c r="B62" s="52">
        <v>45570</v>
      </c>
      <c r="C62" s="51" t="s">
        <v>3</v>
      </c>
      <c r="D62" s="51">
        <f>SUM('GIR Log'!$E62:$V62)</f>
        <v>6</v>
      </c>
      <c r="E62" s="60" t="s">
        <v>135</v>
      </c>
      <c r="F62" s="62">
        <v>1</v>
      </c>
      <c r="G62" s="62">
        <v>1</v>
      </c>
      <c r="H62" s="62">
        <v>1</v>
      </c>
      <c r="I62" s="60" t="s">
        <v>139</v>
      </c>
      <c r="J62" s="60" t="s">
        <v>135</v>
      </c>
      <c r="K62" s="60" t="s">
        <v>136</v>
      </c>
      <c r="L62" s="60" t="s">
        <v>138</v>
      </c>
      <c r="M62" s="60" t="s">
        <v>136</v>
      </c>
      <c r="N62" s="60" t="s">
        <v>136</v>
      </c>
      <c r="O62" s="60" t="s">
        <v>136</v>
      </c>
      <c r="P62" s="62">
        <v>1</v>
      </c>
      <c r="Q62" s="60" t="s">
        <v>136</v>
      </c>
      <c r="R62" s="60" t="s">
        <v>135</v>
      </c>
      <c r="S62" s="62">
        <v>1</v>
      </c>
      <c r="T62" s="62">
        <v>1</v>
      </c>
      <c r="U62" s="60" t="s">
        <v>136</v>
      </c>
      <c r="V62" s="60" t="s">
        <v>136</v>
      </c>
      <c r="W62" s="67">
        <f>IFERROR('GIR Log'!$D62/COUNTA('GIR Log'!$E62:$V62),0)</f>
        <v>0.33333333333333331</v>
      </c>
    </row>
    <row r="63" spans="1:23" x14ac:dyDescent="0.25">
      <c r="A63" s="51" t="s">
        <v>130</v>
      </c>
      <c r="B63" s="52">
        <v>45535</v>
      </c>
      <c r="C63" s="51" t="s">
        <v>9</v>
      </c>
      <c r="D63" s="51">
        <f>SUM('GIR Log'!$E63:$V63)</f>
        <v>3</v>
      </c>
      <c r="E63" s="64" t="s">
        <v>137</v>
      </c>
      <c r="F63" s="64" t="s">
        <v>137</v>
      </c>
      <c r="G63" s="64" t="s">
        <v>137</v>
      </c>
      <c r="H63" s="63" t="s">
        <v>136</v>
      </c>
      <c r="I63" s="62">
        <v>0</v>
      </c>
      <c r="J63" s="62">
        <v>1</v>
      </c>
      <c r="K63" s="63" t="s">
        <v>136</v>
      </c>
      <c r="L63" s="63" t="s">
        <v>136</v>
      </c>
      <c r="M63" s="63" t="s">
        <v>138</v>
      </c>
      <c r="N63" s="63" t="s">
        <v>138</v>
      </c>
      <c r="O63" s="62">
        <v>1</v>
      </c>
      <c r="P63" s="63" t="s">
        <v>138</v>
      </c>
      <c r="Q63" s="60" t="s">
        <v>135</v>
      </c>
      <c r="R63" s="60" t="s">
        <v>139</v>
      </c>
      <c r="S63" s="63" t="s">
        <v>136</v>
      </c>
      <c r="T63" s="63" t="s">
        <v>139</v>
      </c>
      <c r="U63" s="62">
        <v>1</v>
      </c>
      <c r="V63" s="63" t="s">
        <v>139</v>
      </c>
      <c r="W63" s="67">
        <f>IFERROR('GIR Log'!$D63/COUNTA('GIR Log'!$E63:$V63),0)</f>
        <v>0.16666666666666666</v>
      </c>
    </row>
    <row r="64" spans="1:23" x14ac:dyDescent="0.25">
      <c r="A64" s="51" t="s">
        <v>130</v>
      </c>
      <c r="B64" s="52">
        <v>45487</v>
      </c>
      <c r="C64" s="51" t="s">
        <v>3</v>
      </c>
      <c r="D64" s="51">
        <f>SUM('GIR Log'!$E64:$V64)</f>
        <v>2</v>
      </c>
      <c r="E64" s="64" t="s">
        <v>137</v>
      </c>
      <c r="F64" s="64" t="s">
        <v>137</v>
      </c>
      <c r="G64" s="62">
        <v>1</v>
      </c>
      <c r="H64" s="60" t="s">
        <v>136</v>
      </c>
      <c r="I64" s="64" t="s">
        <v>137</v>
      </c>
      <c r="J64" s="60" t="s">
        <v>139</v>
      </c>
      <c r="K64" s="60" t="s">
        <v>136</v>
      </c>
      <c r="L64" s="62">
        <v>1</v>
      </c>
      <c r="M64" s="60" t="s">
        <v>135</v>
      </c>
      <c r="N64" s="64" t="s">
        <v>137</v>
      </c>
      <c r="O64" s="60" t="s">
        <v>138</v>
      </c>
      <c r="P64" s="60" t="s">
        <v>138</v>
      </c>
      <c r="Q64" s="60" t="s">
        <v>138</v>
      </c>
      <c r="R64" s="60" t="s">
        <v>138</v>
      </c>
      <c r="S64" s="60" t="s">
        <v>139</v>
      </c>
      <c r="T64" s="60" t="s">
        <v>136</v>
      </c>
      <c r="U64" s="60" t="s">
        <v>135</v>
      </c>
      <c r="V64" s="60" t="s">
        <v>138</v>
      </c>
      <c r="W64" s="67">
        <f>IFERROR('GIR Log'!$D64/COUNTA('GIR Log'!$E64:$V64),0)</f>
        <v>0.1111111111111111</v>
      </c>
    </row>
    <row r="65" spans="1:23" x14ac:dyDescent="0.25">
      <c r="A65" s="51" t="s">
        <v>130</v>
      </c>
      <c r="B65" s="52">
        <v>45172</v>
      </c>
      <c r="C65" s="51" t="s">
        <v>3</v>
      </c>
      <c r="D65" s="51">
        <f>SUM('GIR Log'!$E65:$V65)</f>
        <v>5</v>
      </c>
      <c r="E65" s="62">
        <v>1</v>
      </c>
      <c r="F65" s="62">
        <v>0</v>
      </c>
      <c r="G65" s="62">
        <v>0</v>
      </c>
      <c r="H65" s="62">
        <v>0</v>
      </c>
      <c r="I65" s="62">
        <v>0</v>
      </c>
      <c r="J65" s="62">
        <v>0</v>
      </c>
      <c r="K65" s="62">
        <v>1</v>
      </c>
      <c r="L65" s="62">
        <v>1</v>
      </c>
      <c r="M65" s="62">
        <v>0</v>
      </c>
      <c r="N65" s="62">
        <v>1</v>
      </c>
      <c r="O65" s="62">
        <v>0</v>
      </c>
      <c r="P65" s="62">
        <v>1</v>
      </c>
      <c r="Q65" s="62">
        <v>0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7">
        <f>IFERROR('GIR Log'!$D65/COUNTA('GIR Log'!$E65:$V65),0)</f>
        <v>0.27777777777777779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SUM('GIR Log'!$E66:$V66)</f>
        <v>1</v>
      </c>
      <c r="E66" s="60" t="s">
        <v>136</v>
      </c>
      <c r="F66" s="60" t="s">
        <v>138</v>
      </c>
      <c r="G66" s="60" t="s">
        <v>136</v>
      </c>
      <c r="H66" s="60" t="s">
        <v>136</v>
      </c>
      <c r="I66" s="60" t="s">
        <v>136</v>
      </c>
      <c r="J66" s="60" t="s">
        <v>136</v>
      </c>
      <c r="K66" s="60" t="s">
        <v>136</v>
      </c>
      <c r="L66" s="60" t="s">
        <v>139</v>
      </c>
      <c r="M66" s="60" t="s">
        <v>136</v>
      </c>
      <c r="N66" s="60" t="s">
        <v>138</v>
      </c>
      <c r="O66" s="60" t="s">
        <v>136</v>
      </c>
      <c r="P66" s="60" t="s">
        <v>136</v>
      </c>
      <c r="Q66" s="60">
        <v>1</v>
      </c>
      <c r="R66" s="60" t="s">
        <v>135</v>
      </c>
      <c r="S66" s="60" t="s">
        <v>136</v>
      </c>
      <c r="T66" s="60" t="s">
        <v>136</v>
      </c>
      <c r="U66" s="60" t="s">
        <v>136</v>
      </c>
      <c r="V66" s="60" t="s">
        <v>136</v>
      </c>
      <c r="W66" s="77">
        <f>IFERROR('GIR Log'!$D66/COUNTA('GIR Log'!$E66:$V66),0)</f>
        <v>5.5555555555555552E-2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SUM('GIR Log'!$E67:$V67)</f>
        <v>1</v>
      </c>
      <c r="E67" s="60" t="s">
        <v>139</v>
      </c>
      <c r="F67" s="60" t="s">
        <v>138</v>
      </c>
      <c r="G67" s="60" t="s">
        <v>138</v>
      </c>
      <c r="H67" s="60" t="s">
        <v>136</v>
      </c>
      <c r="I67" s="76">
        <v>1</v>
      </c>
      <c r="J67" s="60" t="s">
        <v>136</v>
      </c>
      <c r="K67" s="60" t="s">
        <v>136</v>
      </c>
      <c r="L67" s="60" t="s">
        <v>136</v>
      </c>
      <c r="M67" s="60" t="s">
        <v>136</v>
      </c>
      <c r="N67" s="60" t="s">
        <v>138</v>
      </c>
      <c r="O67" s="60" t="s">
        <v>138</v>
      </c>
      <c r="P67" s="60" t="s">
        <v>138</v>
      </c>
      <c r="Q67" s="60" t="s">
        <v>135</v>
      </c>
      <c r="R67" s="60" t="s">
        <v>139</v>
      </c>
      <c r="S67" s="60" t="s">
        <v>136</v>
      </c>
      <c r="T67" s="60" t="s">
        <v>136</v>
      </c>
      <c r="U67" s="60" t="s">
        <v>136</v>
      </c>
      <c r="V67" s="60" t="s">
        <v>136</v>
      </c>
      <c r="W67" s="77">
        <f>IFERROR('GIR Log'!$D67/COUNTA('GIR Log'!$E67:$V67),0)</f>
        <v>5.5555555555555552E-2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SUM('GIR Log'!$E68:$V68)</f>
        <v>8</v>
      </c>
      <c r="E68" s="85">
        <v>1</v>
      </c>
      <c r="F68" s="85">
        <v>0</v>
      </c>
      <c r="G68" s="85">
        <v>1</v>
      </c>
      <c r="H68" s="85">
        <v>0</v>
      </c>
      <c r="I68" s="85">
        <v>1</v>
      </c>
      <c r="J68" s="85">
        <v>1</v>
      </c>
      <c r="K68" s="85">
        <v>1</v>
      </c>
      <c r="L68" s="85">
        <v>1</v>
      </c>
      <c r="M68" s="85">
        <v>0</v>
      </c>
      <c r="N68" s="85">
        <v>0</v>
      </c>
      <c r="O68" s="85">
        <v>0</v>
      </c>
      <c r="P68" s="85">
        <v>0</v>
      </c>
      <c r="Q68" s="85">
        <v>0</v>
      </c>
      <c r="R68" s="85">
        <v>0</v>
      </c>
      <c r="S68" s="85">
        <v>1</v>
      </c>
      <c r="T68" s="85">
        <v>1</v>
      </c>
      <c r="U68" s="85">
        <v>0</v>
      </c>
      <c r="V68" s="85">
        <v>0</v>
      </c>
      <c r="W68" s="86">
        <f>IFERROR('GIR Log'!$D68/COUNTA('GIR Log'!$E68:$V68),0)</f>
        <v>0.44444444444444442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SUM('GIR Log'!$E69:$V69)</f>
        <v>6</v>
      </c>
      <c r="E69" s="85">
        <v>1</v>
      </c>
      <c r="F69" s="85">
        <v>1</v>
      </c>
      <c r="G69" s="85">
        <v>0</v>
      </c>
      <c r="H69" s="85">
        <v>1</v>
      </c>
      <c r="I69" s="85">
        <v>1</v>
      </c>
      <c r="J69" s="85">
        <v>0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1</v>
      </c>
      <c r="R69" s="85">
        <v>0</v>
      </c>
      <c r="S69" s="85">
        <v>0</v>
      </c>
      <c r="T69" s="85">
        <v>0</v>
      </c>
      <c r="U69" s="85">
        <v>0</v>
      </c>
      <c r="V69" s="85">
        <v>1</v>
      </c>
      <c r="W69" s="86">
        <f>IFERROR('GIR Log'!$D69/COUNTA('GIR Log'!$E69:$V69),0)</f>
        <v>0.33333333333333331</v>
      </c>
    </row>
    <row r="70" spans="1:23" x14ac:dyDescent="0.25">
      <c r="A70" s="93" t="s">
        <v>126</v>
      </c>
      <c r="B70" s="94">
        <v>46160</v>
      </c>
      <c r="C70" s="93" t="s">
        <v>5</v>
      </c>
      <c r="D70" s="93">
        <f>SUM('GIR Log'!$E70:$V70)</f>
        <v>8</v>
      </c>
      <c r="E70" s="60" t="s">
        <v>139</v>
      </c>
      <c r="F70" s="108">
        <v>1</v>
      </c>
      <c r="G70" s="108" t="s">
        <v>144</v>
      </c>
      <c r="H70" s="108">
        <v>1</v>
      </c>
      <c r="I70" s="108">
        <v>1</v>
      </c>
      <c r="J70" s="108" t="s">
        <v>137</v>
      </c>
      <c r="K70" s="108">
        <v>1</v>
      </c>
      <c r="L70" s="108">
        <v>1</v>
      </c>
      <c r="M70" s="60" t="s">
        <v>138</v>
      </c>
      <c r="N70" s="108">
        <v>1</v>
      </c>
      <c r="O70" s="108">
        <v>1</v>
      </c>
      <c r="P70" s="60" t="s">
        <v>139</v>
      </c>
      <c r="Q70" s="108">
        <v>1</v>
      </c>
      <c r="R70" s="60" t="s">
        <v>136</v>
      </c>
      <c r="S70" s="60" t="s">
        <v>136</v>
      </c>
      <c r="T70" s="60" t="s">
        <v>136</v>
      </c>
      <c r="U70" s="60" t="s">
        <v>136</v>
      </c>
      <c r="V70" s="60" t="s">
        <v>136</v>
      </c>
      <c r="W70" s="110">
        <f>IFERROR('GIR Log'!$D70/COUNTA('GIR Log'!$E70:$V70),0)</f>
        <v>0.44444444444444442</v>
      </c>
    </row>
    <row r="71" spans="1:23" x14ac:dyDescent="0.25">
      <c r="A71" s="78"/>
      <c r="B71" s="79"/>
      <c r="C71" s="78"/>
      <c r="D71" s="78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6"/>
    </row>
    <row r="72" spans="1:23" x14ac:dyDescent="0.25">
      <c r="A72" s="78"/>
      <c r="B72" s="79"/>
      <c r="C72" s="78"/>
      <c r="D72" s="78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6"/>
    </row>
    <row r="73" spans="1:23" x14ac:dyDescent="0.25">
      <c r="A73" s="78"/>
      <c r="B73" s="79"/>
      <c r="C73" s="78"/>
      <c r="D73" s="78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6"/>
    </row>
    <row r="74" spans="1:23" x14ac:dyDescent="0.25">
      <c r="A74" s="51"/>
      <c r="B74" s="52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</row>
    <row r="75" spans="1:23" x14ac:dyDescent="0.25">
      <c r="A75" s="20" t="s">
        <v>125</v>
      </c>
      <c r="B75" s="26" t="s">
        <v>19</v>
      </c>
      <c r="C75" s="26" t="s">
        <v>24</v>
      </c>
      <c r="D75" s="26" t="s">
        <v>1</v>
      </c>
      <c r="E75" s="26" t="s">
        <v>47</v>
      </c>
      <c r="F75" s="26" t="s">
        <v>48</v>
      </c>
      <c r="G75" s="26" t="s">
        <v>49</v>
      </c>
      <c r="H75" s="26" t="s">
        <v>50</v>
      </c>
      <c r="I75" s="26" t="s">
        <v>51</v>
      </c>
      <c r="J75" s="26" t="s">
        <v>52</v>
      </c>
      <c r="K75" s="26" t="s">
        <v>53</v>
      </c>
      <c r="L75" s="26" t="s">
        <v>54</v>
      </c>
      <c r="M75" s="26" t="s">
        <v>55</v>
      </c>
    </row>
    <row r="76" spans="1:23" x14ac:dyDescent="0.25">
      <c r="A76" s="20" t="s">
        <v>126</v>
      </c>
      <c r="B76" s="27">
        <v>45457</v>
      </c>
      <c r="C76" s="20" t="s">
        <v>38</v>
      </c>
      <c r="D76" s="20">
        <f>SUM('GIR Log'!$E76:$M76)</f>
        <v>1</v>
      </c>
      <c r="E76" s="20">
        <v>1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</row>
    <row r="77" spans="1:23" x14ac:dyDescent="0.25">
      <c r="A77" s="20" t="s">
        <v>126</v>
      </c>
      <c r="B77" s="27">
        <v>45454</v>
      </c>
      <c r="C77" s="20" t="s">
        <v>5</v>
      </c>
      <c r="D77" s="20">
        <f>SUM('GIR Log'!$E77:$M77)</f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24"/>
  <sheetViews>
    <sheetView workbookViewId="0">
      <selection activeCell="X24" sqref="X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42</v>
      </c>
      <c r="E1" s="12" t="s">
        <v>43</v>
      </c>
      <c r="F1" s="12" t="s">
        <v>23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38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46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97.2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41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5" t="s">
        <v>128</v>
      </c>
      <c r="B22" s="35" t="s">
        <v>36</v>
      </c>
      <c r="C22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 s="12">
        <v>4</v>
      </c>
      <c r="V22">
        <v>4</v>
      </c>
      <c r="W22">
        <v>4</v>
      </c>
      <c r="X22">
        <v>4</v>
      </c>
    </row>
    <row r="23" spans="1:24" x14ac:dyDescent="0.25">
      <c r="A23" s="35" t="s">
        <v>129</v>
      </c>
      <c r="B23" s="35" t="s">
        <v>36</v>
      </c>
      <c r="C2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8" t="s">
        <v>12</v>
      </c>
      <c r="B24" s="68" t="s">
        <v>36</v>
      </c>
      <c r="C24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4"/>
  <sheetViews>
    <sheetView topLeftCell="A1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38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46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41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5" t="s">
        <v>128</v>
      </c>
      <c r="B22" s="35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5" t="s">
        <v>129</v>
      </c>
      <c r="B23" s="35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8" t="s">
        <v>12</v>
      </c>
      <c r="B24" s="68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4"/>
  <sheetViews>
    <sheetView topLeftCell="A2" workbookViewId="0">
      <selection activeCell="A24" sqref="A24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38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46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41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5" t="s">
        <v>128</v>
      </c>
      <c r="B22" s="35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5" t="s">
        <v>129</v>
      </c>
      <c r="B23" s="35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8" t="s">
        <v>12</v>
      </c>
      <c r="B24" s="68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088"/>
  <sheetViews>
    <sheetView topLeftCell="A1057" zoomScale="90" zoomScaleNormal="90" workbookViewId="0">
      <selection activeCell="A1088" sqref="A1088"/>
    </sheetView>
  </sheetViews>
  <sheetFormatPr defaultColWidth="8.7109375" defaultRowHeight="15" x14ac:dyDescent="0.25"/>
  <cols>
    <col min="1" max="1" width="6.5703125" style="6" bestFit="1" customWidth="1"/>
    <col min="2" max="2" width="10.42578125" style="6" bestFit="1" customWidth="1"/>
    <col min="3" max="3" width="9.7109375" style="6" bestFit="1" customWidth="1"/>
    <col min="4" max="4" width="11.5703125" style="6" bestFit="1" customWidth="1"/>
    <col min="5" max="5" width="16.7109375" style="6" bestFit="1" customWidth="1"/>
    <col min="6" max="6" width="14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6" style="6" bestFit="1" customWidth="1"/>
    <col min="11" max="11" width="6.7109375" style="6" bestFit="1" customWidth="1"/>
    <col min="12" max="12" width="10" style="6" bestFit="1" customWidth="1"/>
    <col min="13" max="13" width="11" style="6" bestFit="1" customWidth="1"/>
    <col min="14" max="14" width="12.85546875" style="6" bestFit="1" customWidth="1"/>
    <col min="15" max="15" width="13.85546875" style="6" bestFit="1" customWidth="1"/>
    <col min="16" max="16" width="12.140625" style="6" bestFit="1" customWidth="1"/>
    <col min="17" max="17" width="9.5703125" style="6" bestFit="1" customWidth="1"/>
    <col min="18" max="18" width="17.42578125" style="6" bestFit="1" customWidth="1"/>
    <col min="19" max="19" width="9.28515625" style="6" bestFit="1" customWidth="1"/>
    <col min="20" max="20" width="9" style="6" bestFit="1" customWidth="1"/>
    <col min="21" max="16384" width="8.7109375" style="6"/>
  </cols>
  <sheetData>
    <row r="1" spans="1:20" x14ac:dyDescent="0.25">
      <c r="A1" s="34" t="s">
        <v>125</v>
      </c>
      <c r="B1" s="11" t="s">
        <v>19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14">
        <v>45745</v>
      </c>
      <c r="C2" s="6" t="s">
        <v>97</v>
      </c>
      <c r="D2" s="6" t="s">
        <v>98</v>
      </c>
      <c r="E2" s="6" t="s">
        <v>99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20" x14ac:dyDescent="0.25">
      <c r="A3" s="34" t="s">
        <v>126</v>
      </c>
      <c r="B3" s="14">
        <v>45745</v>
      </c>
      <c r="C3" s="6" t="s">
        <v>97</v>
      </c>
      <c r="D3" s="6" t="s">
        <v>98</v>
      </c>
      <c r="E3" s="6" t="s">
        <v>99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20" x14ac:dyDescent="0.25">
      <c r="A4" s="34" t="s">
        <v>126</v>
      </c>
      <c r="B4" s="14">
        <v>45745</v>
      </c>
      <c r="C4" s="6" t="s">
        <v>97</v>
      </c>
      <c r="D4" s="6" t="s">
        <v>98</v>
      </c>
      <c r="E4" s="6" t="s">
        <v>99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20" x14ac:dyDescent="0.25">
      <c r="A5" s="34" t="s">
        <v>126</v>
      </c>
      <c r="B5" s="14">
        <v>45745</v>
      </c>
      <c r="C5" s="6" t="s">
        <v>97</v>
      </c>
      <c r="D5" s="6" t="s">
        <v>98</v>
      </c>
      <c r="E5" s="6" t="s">
        <v>99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20" x14ac:dyDescent="0.25">
      <c r="A6" s="34" t="s">
        <v>126</v>
      </c>
      <c r="B6" s="14">
        <v>45745</v>
      </c>
      <c r="C6" s="6" t="s">
        <v>97</v>
      </c>
      <c r="D6" s="6" t="s">
        <v>98</v>
      </c>
      <c r="E6" s="6" t="s">
        <v>99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20" x14ac:dyDescent="0.25">
      <c r="A7" s="34" t="s">
        <v>126</v>
      </c>
      <c r="B7" s="14">
        <v>45745</v>
      </c>
      <c r="C7" s="6" t="s">
        <v>100</v>
      </c>
      <c r="D7" s="6" t="s">
        <v>98</v>
      </c>
      <c r="E7" s="6" t="s">
        <v>99</v>
      </c>
      <c r="F7" s="6">
        <v>72.2</v>
      </c>
      <c r="G7" s="6">
        <v>76.599999999999994</v>
      </c>
      <c r="H7" s="6">
        <v>66.400000000000006</v>
      </c>
      <c r="I7" s="6">
        <v>43.1</v>
      </c>
      <c r="J7" s="6">
        <v>-2.8</v>
      </c>
      <c r="K7" s="6">
        <v>71.8</v>
      </c>
      <c r="L7" s="6">
        <v>-7.9</v>
      </c>
      <c r="M7" s="6">
        <v>77.599999999999994</v>
      </c>
      <c r="N7" s="6">
        <v>0.86</v>
      </c>
      <c r="O7" s="6">
        <v>55.5</v>
      </c>
    </row>
    <row r="8" spans="1:20" x14ac:dyDescent="0.25">
      <c r="A8" s="34" t="s">
        <v>126</v>
      </c>
      <c r="B8" s="14">
        <v>45745</v>
      </c>
      <c r="C8" s="6" t="s">
        <v>100</v>
      </c>
      <c r="D8" s="6" t="s">
        <v>98</v>
      </c>
      <c r="E8" s="6" t="s">
        <v>99</v>
      </c>
      <c r="F8" s="6">
        <v>120.3</v>
      </c>
      <c r="G8" s="6">
        <v>126.9</v>
      </c>
      <c r="H8" s="6">
        <v>92.2</v>
      </c>
      <c r="I8" s="6">
        <v>21.1</v>
      </c>
      <c r="J8" s="6">
        <v>0.3</v>
      </c>
      <c r="K8" s="6">
        <v>61.7</v>
      </c>
      <c r="L8" s="6">
        <v>10.7</v>
      </c>
      <c r="M8" s="6">
        <v>80.7</v>
      </c>
      <c r="N8" s="6">
        <v>1.1399999999999999</v>
      </c>
      <c r="O8" s="6">
        <v>41.9</v>
      </c>
    </row>
    <row r="9" spans="1:20" x14ac:dyDescent="0.25">
      <c r="A9" s="34" t="s">
        <v>126</v>
      </c>
      <c r="B9" s="14">
        <v>45745</v>
      </c>
      <c r="C9" s="6" t="s">
        <v>100</v>
      </c>
      <c r="D9" s="6" t="s">
        <v>98</v>
      </c>
      <c r="E9" s="6" t="s">
        <v>99</v>
      </c>
      <c r="F9" s="6">
        <v>85.3</v>
      </c>
      <c r="G9" s="6">
        <v>87.5</v>
      </c>
      <c r="H9" s="6">
        <v>74.599999999999994</v>
      </c>
      <c r="I9" s="6">
        <v>44</v>
      </c>
      <c r="J9" s="6">
        <v>-2</v>
      </c>
      <c r="K9" s="6">
        <v>92.2</v>
      </c>
      <c r="L9" s="6">
        <v>-3.7</v>
      </c>
      <c r="M9" s="6">
        <v>82.9</v>
      </c>
      <c r="N9" s="6">
        <v>0.9</v>
      </c>
      <c r="O9" s="6">
        <v>59.2</v>
      </c>
    </row>
    <row r="10" spans="1:20" x14ac:dyDescent="0.25">
      <c r="A10" s="34" t="s">
        <v>126</v>
      </c>
      <c r="B10" s="14">
        <v>45745</v>
      </c>
      <c r="C10" s="6" t="s">
        <v>100</v>
      </c>
      <c r="D10" s="6" t="s">
        <v>98</v>
      </c>
      <c r="E10" s="6" t="s">
        <v>99</v>
      </c>
      <c r="F10" s="6">
        <v>90.8</v>
      </c>
      <c r="G10" s="6">
        <v>94.1</v>
      </c>
      <c r="H10" s="6">
        <v>80.3</v>
      </c>
      <c r="I10" s="6">
        <v>45.3</v>
      </c>
      <c r="J10" s="6">
        <v>-5.6</v>
      </c>
      <c r="K10" s="6">
        <v>109.7</v>
      </c>
      <c r="L10" s="6">
        <v>-12.6</v>
      </c>
      <c r="M10" s="6">
        <v>81.8</v>
      </c>
      <c r="N10" s="6">
        <v>0.98</v>
      </c>
      <c r="O10" s="6">
        <v>62.8</v>
      </c>
    </row>
    <row r="11" spans="1:20" x14ac:dyDescent="0.25">
      <c r="A11" s="34" t="s">
        <v>126</v>
      </c>
      <c r="B11" s="14">
        <v>45745</v>
      </c>
      <c r="C11" s="6" t="s">
        <v>100</v>
      </c>
      <c r="D11" s="6" t="s">
        <v>98</v>
      </c>
      <c r="E11" s="6" t="s">
        <v>99</v>
      </c>
      <c r="F11" s="6">
        <v>81</v>
      </c>
      <c r="G11" s="6">
        <v>85.3</v>
      </c>
      <c r="H11" s="6">
        <v>71.8</v>
      </c>
      <c r="I11" s="6">
        <v>42.7</v>
      </c>
      <c r="J11" s="6">
        <v>-2.5</v>
      </c>
      <c r="K11" s="6">
        <v>82.7</v>
      </c>
      <c r="L11" s="6">
        <v>-4</v>
      </c>
      <c r="M11" s="6">
        <v>83.5</v>
      </c>
      <c r="N11" s="6">
        <v>0.86</v>
      </c>
      <c r="O11" s="6">
        <v>57</v>
      </c>
    </row>
    <row r="12" spans="1:20" x14ac:dyDescent="0.25">
      <c r="A12" s="34" t="s">
        <v>126</v>
      </c>
      <c r="B12" s="14">
        <v>45745</v>
      </c>
      <c r="C12" s="6" t="s">
        <v>100</v>
      </c>
      <c r="D12" s="6" t="s">
        <v>98</v>
      </c>
      <c r="E12" s="6" t="s">
        <v>99</v>
      </c>
      <c r="F12" s="6">
        <v>75.5</v>
      </c>
      <c r="G12" s="6">
        <v>78.8</v>
      </c>
      <c r="H12" s="6">
        <v>72.599999999999994</v>
      </c>
      <c r="I12" s="6">
        <v>50</v>
      </c>
      <c r="J12" s="6">
        <v>1</v>
      </c>
      <c r="K12" s="6">
        <v>99.9</v>
      </c>
      <c r="L12" s="6">
        <v>4.3</v>
      </c>
      <c r="M12" s="6">
        <v>83.5</v>
      </c>
      <c r="N12" s="6">
        <v>0.87</v>
      </c>
      <c r="O12" s="6">
        <v>65</v>
      </c>
    </row>
    <row r="13" spans="1:20" x14ac:dyDescent="0.25">
      <c r="A13" s="34" t="s">
        <v>126</v>
      </c>
      <c r="B13" s="14">
        <v>45745</v>
      </c>
      <c r="C13" s="6" t="s">
        <v>100</v>
      </c>
      <c r="D13" s="6" t="s">
        <v>98</v>
      </c>
      <c r="E13" s="6" t="s">
        <v>99</v>
      </c>
      <c r="F13" s="6">
        <v>83.1</v>
      </c>
      <c r="G13" s="6">
        <v>86.4</v>
      </c>
      <c r="H13" s="6">
        <v>73</v>
      </c>
      <c r="I13" s="6">
        <v>43.9</v>
      </c>
      <c r="J13" s="6">
        <v>0.3</v>
      </c>
      <c r="K13" s="6">
        <v>88.3</v>
      </c>
      <c r="L13" s="6">
        <v>1.7</v>
      </c>
      <c r="M13" s="6">
        <v>82.9</v>
      </c>
      <c r="N13" s="6">
        <v>0.88</v>
      </c>
      <c r="O13" s="6">
        <v>58.5</v>
      </c>
    </row>
    <row r="14" spans="1:20" x14ac:dyDescent="0.25">
      <c r="A14" s="34" t="s">
        <v>126</v>
      </c>
      <c r="B14" s="14">
        <v>45745</v>
      </c>
      <c r="C14" s="6" t="s">
        <v>101</v>
      </c>
      <c r="D14" s="6" t="s">
        <v>102</v>
      </c>
      <c r="E14" s="6" t="s">
        <v>103</v>
      </c>
      <c r="F14" s="6">
        <v>138.9</v>
      </c>
      <c r="G14" s="6">
        <v>148.80000000000001</v>
      </c>
      <c r="H14" s="6">
        <v>103.4</v>
      </c>
      <c r="I14" s="6">
        <v>18.2</v>
      </c>
      <c r="J14" s="6">
        <v>-6.3</v>
      </c>
      <c r="K14" s="6">
        <v>69.400000000000006</v>
      </c>
      <c r="L14" s="6">
        <v>-18.600000000000001</v>
      </c>
      <c r="M14" s="6">
        <v>84.6</v>
      </c>
      <c r="N14" s="6">
        <v>1.22</v>
      </c>
      <c r="O14" s="6">
        <v>42.1</v>
      </c>
    </row>
    <row r="15" spans="1:20" x14ac:dyDescent="0.25">
      <c r="A15" s="34" t="s">
        <v>126</v>
      </c>
      <c r="B15" s="14">
        <v>45745</v>
      </c>
      <c r="C15" s="6" t="s">
        <v>101</v>
      </c>
      <c r="D15" s="6" t="s">
        <v>102</v>
      </c>
      <c r="E15" s="6" t="s">
        <v>103</v>
      </c>
      <c r="F15" s="6">
        <v>117.1</v>
      </c>
      <c r="G15" s="6">
        <v>121.4</v>
      </c>
      <c r="H15" s="6">
        <v>90.2</v>
      </c>
      <c r="I15" s="6">
        <v>30.6</v>
      </c>
      <c r="J15" s="6">
        <v>-4.4000000000000004</v>
      </c>
      <c r="K15" s="6">
        <v>90.7</v>
      </c>
      <c r="L15" s="6">
        <v>-16.7</v>
      </c>
      <c r="M15" s="6">
        <v>79.599999999999994</v>
      </c>
      <c r="N15" s="6">
        <v>1.1299999999999999</v>
      </c>
      <c r="O15" s="6">
        <v>51.7</v>
      </c>
    </row>
    <row r="16" spans="1:20" x14ac:dyDescent="0.25">
      <c r="A16" s="34" t="s">
        <v>126</v>
      </c>
      <c r="B16" s="14">
        <v>45745</v>
      </c>
      <c r="C16" s="6" t="s">
        <v>101</v>
      </c>
      <c r="D16" s="6" t="s">
        <v>102</v>
      </c>
      <c r="E16" s="6" t="s">
        <v>103</v>
      </c>
      <c r="F16" s="6">
        <v>111.6</v>
      </c>
      <c r="G16" s="6">
        <v>114.9</v>
      </c>
      <c r="H16" s="6">
        <v>88.9</v>
      </c>
      <c r="I16" s="6">
        <v>38.6</v>
      </c>
      <c r="J16" s="6">
        <v>-5.0999999999999996</v>
      </c>
      <c r="K16" s="6">
        <v>113</v>
      </c>
      <c r="L16" s="6">
        <v>-16.2</v>
      </c>
      <c r="M16" s="6">
        <v>79.5</v>
      </c>
      <c r="N16" s="6">
        <v>1.1200000000000001</v>
      </c>
      <c r="O16" s="6">
        <v>58.6</v>
      </c>
    </row>
    <row r="17" spans="1:15" x14ac:dyDescent="0.25">
      <c r="A17" s="34" t="s">
        <v>126</v>
      </c>
      <c r="B17" s="14">
        <v>45745</v>
      </c>
      <c r="C17" s="6" t="s">
        <v>101</v>
      </c>
      <c r="D17" s="6" t="s">
        <v>102</v>
      </c>
      <c r="E17" s="6" t="s">
        <v>103</v>
      </c>
      <c r="F17" s="6">
        <v>152.1</v>
      </c>
      <c r="G17" s="6">
        <v>163</v>
      </c>
      <c r="H17" s="6">
        <v>110</v>
      </c>
      <c r="I17" s="6">
        <v>14.1</v>
      </c>
      <c r="J17" s="6">
        <v>-1.9</v>
      </c>
      <c r="K17" s="6">
        <v>60.8</v>
      </c>
      <c r="L17" s="6">
        <v>-12.4</v>
      </c>
      <c r="M17" s="6">
        <v>84.6</v>
      </c>
      <c r="N17" s="6">
        <v>1.3</v>
      </c>
      <c r="O17" s="6">
        <v>37.6</v>
      </c>
    </row>
    <row r="18" spans="1:15" x14ac:dyDescent="0.25">
      <c r="A18" s="34" t="s">
        <v>126</v>
      </c>
      <c r="B18" s="14">
        <v>45745</v>
      </c>
      <c r="C18" s="6" t="s">
        <v>101</v>
      </c>
      <c r="D18" s="6" t="s">
        <v>102</v>
      </c>
      <c r="E18" s="6" t="s">
        <v>103</v>
      </c>
      <c r="F18" s="6">
        <v>105</v>
      </c>
      <c r="G18" s="6">
        <v>108.3</v>
      </c>
      <c r="H18" s="6">
        <v>85.5</v>
      </c>
      <c r="I18" s="6">
        <v>39.299999999999997</v>
      </c>
      <c r="J18" s="6">
        <v>-0.7</v>
      </c>
      <c r="K18" s="6">
        <v>106.9</v>
      </c>
      <c r="L18" s="6">
        <v>-5.8</v>
      </c>
      <c r="M18" s="6">
        <v>81.8</v>
      </c>
      <c r="N18" s="6">
        <v>1.05</v>
      </c>
      <c r="O18" s="6">
        <v>58.1</v>
      </c>
    </row>
    <row r="19" spans="1:15" x14ac:dyDescent="0.25">
      <c r="A19" s="34" t="s">
        <v>126</v>
      </c>
      <c r="B19" s="14">
        <v>45745</v>
      </c>
      <c r="C19" s="6" t="s">
        <v>101</v>
      </c>
      <c r="D19" s="6" t="s">
        <v>102</v>
      </c>
      <c r="E19" s="6" t="s">
        <v>103</v>
      </c>
      <c r="F19" s="6">
        <v>140</v>
      </c>
      <c r="G19" s="6">
        <v>147.69999999999999</v>
      </c>
      <c r="H19" s="6">
        <v>102.8</v>
      </c>
      <c r="I19" s="6">
        <v>19.3</v>
      </c>
      <c r="J19" s="6">
        <v>-5.3</v>
      </c>
      <c r="K19" s="6">
        <v>72.900000000000006</v>
      </c>
      <c r="L19" s="6">
        <v>-14.8</v>
      </c>
      <c r="M19" s="6">
        <v>82.9</v>
      </c>
      <c r="N19" s="6">
        <v>1.24</v>
      </c>
      <c r="O19" s="6">
        <v>43.4</v>
      </c>
    </row>
    <row r="20" spans="1:15" x14ac:dyDescent="0.25">
      <c r="A20" s="34" t="s">
        <v>126</v>
      </c>
      <c r="B20" s="14">
        <v>45745</v>
      </c>
      <c r="C20" s="6" t="s">
        <v>104</v>
      </c>
      <c r="D20" s="6" t="s">
        <v>102</v>
      </c>
      <c r="E20" s="6" t="s">
        <v>103</v>
      </c>
      <c r="F20" s="6">
        <v>146.6</v>
      </c>
      <c r="G20" s="6">
        <v>158.6</v>
      </c>
      <c r="H20" s="6">
        <v>109.5</v>
      </c>
      <c r="I20" s="6">
        <v>11.3</v>
      </c>
      <c r="J20" s="6">
        <v>-0.3</v>
      </c>
      <c r="K20" s="6">
        <v>46.5</v>
      </c>
      <c r="L20" s="6">
        <v>-5</v>
      </c>
      <c r="M20" s="6">
        <v>83.5</v>
      </c>
      <c r="N20" s="6">
        <v>1.31</v>
      </c>
      <c r="O20" s="6">
        <v>32</v>
      </c>
    </row>
    <row r="21" spans="1:15" x14ac:dyDescent="0.25">
      <c r="A21" s="34" t="s">
        <v>126</v>
      </c>
      <c r="B21" s="14">
        <v>45745</v>
      </c>
      <c r="C21" s="6" t="s">
        <v>104</v>
      </c>
      <c r="D21" s="6" t="s">
        <v>102</v>
      </c>
      <c r="E21" s="6" t="s">
        <v>103</v>
      </c>
      <c r="F21" s="6">
        <v>133.5</v>
      </c>
      <c r="G21" s="6">
        <v>137.80000000000001</v>
      </c>
      <c r="H21" s="6">
        <v>99.9</v>
      </c>
      <c r="I21" s="6">
        <v>24.5</v>
      </c>
      <c r="J21" s="6">
        <v>0.9</v>
      </c>
      <c r="K21" s="6">
        <v>88.5</v>
      </c>
      <c r="L21" s="6">
        <v>9.1999999999999993</v>
      </c>
      <c r="M21" s="6">
        <v>87.4</v>
      </c>
      <c r="N21" s="6">
        <v>1.1399999999999999</v>
      </c>
      <c r="O21" s="6">
        <v>49</v>
      </c>
    </row>
    <row r="22" spans="1:15" x14ac:dyDescent="0.25">
      <c r="A22" s="34" t="s">
        <v>126</v>
      </c>
      <c r="B22" s="14">
        <v>45745</v>
      </c>
      <c r="C22" s="6" t="s">
        <v>104</v>
      </c>
      <c r="D22" s="6" t="s">
        <v>102</v>
      </c>
      <c r="E22" s="6" t="s">
        <v>103</v>
      </c>
      <c r="F22" s="6">
        <v>125.8</v>
      </c>
      <c r="G22" s="6">
        <v>130.19999999999999</v>
      </c>
      <c r="H22" s="6">
        <v>94.9</v>
      </c>
      <c r="I22" s="6">
        <v>25.5</v>
      </c>
      <c r="J22" s="6">
        <v>-0.6</v>
      </c>
      <c r="K22" s="6">
        <v>82.6</v>
      </c>
      <c r="L22" s="6">
        <v>-1</v>
      </c>
      <c r="M22" s="6">
        <v>84</v>
      </c>
      <c r="N22" s="6">
        <v>1.1299999999999999</v>
      </c>
      <c r="O22" s="6">
        <v>48.3</v>
      </c>
    </row>
    <row r="23" spans="1:15" x14ac:dyDescent="0.25">
      <c r="A23" s="34" t="s">
        <v>126</v>
      </c>
      <c r="B23" s="14">
        <v>45745</v>
      </c>
      <c r="C23" s="6" t="s">
        <v>104</v>
      </c>
      <c r="D23" s="6" t="s">
        <v>102</v>
      </c>
      <c r="E23" s="6" t="s">
        <v>103</v>
      </c>
      <c r="F23" s="6">
        <v>134.6</v>
      </c>
      <c r="G23" s="6">
        <v>138.9</v>
      </c>
      <c r="H23" s="6">
        <v>98.8</v>
      </c>
      <c r="I23" s="6">
        <v>26</v>
      </c>
      <c r="J23" s="6">
        <v>-6.3</v>
      </c>
      <c r="K23" s="6">
        <v>92.3</v>
      </c>
      <c r="L23" s="6">
        <v>-27.3</v>
      </c>
      <c r="M23" s="6">
        <v>82.4</v>
      </c>
      <c r="N23" s="6">
        <v>1.2</v>
      </c>
      <c r="O23" s="6">
        <v>49.8</v>
      </c>
    </row>
    <row r="24" spans="1:15" x14ac:dyDescent="0.25">
      <c r="A24" s="34" t="s">
        <v>126</v>
      </c>
      <c r="B24" s="14">
        <v>45745</v>
      </c>
      <c r="C24" s="6" t="s">
        <v>104</v>
      </c>
      <c r="D24" s="6" t="s">
        <v>102</v>
      </c>
      <c r="E24" s="6" t="s">
        <v>103</v>
      </c>
      <c r="F24" s="6">
        <v>110.5</v>
      </c>
      <c r="G24" s="6">
        <v>113.8</v>
      </c>
      <c r="H24" s="6">
        <v>87.5</v>
      </c>
      <c r="I24" s="6">
        <v>38.6</v>
      </c>
      <c r="J24" s="6">
        <v>1.9</v>
      </c>
      <c r="K24" s="6">
        <v>109.7</v>
      </c>
      <c r="L24" s="6">
        <v>6.3</v>
      </c>
      <c r="M24" s="6">
        <v>79.400000000000006</v>
      </c>
      <c r="N24" s="6">
        <v>1.1000000000000001</v>
      </c>
      <c r="O24" s="6">
        <v>57.9</v>
      </c>
    </row>
    <row r="25" spans="1:15" x14ac:dyDescent="0.25">
      <c r="A25" s="34" t="s">
        <v>126</v>
      </c>
      <c r="B25" s="14">
        <v>45745</v>
      </c>
      <c r="C25" s="6" t="s">
        <v>104</v>
      </c>
      <c r="D25" s="6" t="s">
        <v>102</v>
      </c>
      <c r="E25" s="6" t="s">
        <v>103</v>
      </c>
      <c r="F25" s="6">
        <v>141.1</v>
      </c>
      <c r="G25" s="6">
        <v>149.9</v>
      </c>
      <c r="H25" s="6">
        <v>104.2</v>
      </c>
      <c r="I25" s="6">
        <v>18.5</v>
      </c>
      <c r="J25" s="6">
        <v>4.5</v>
      </c>
      <c r="K25" s="6">
        <v>71.900000000000006</v>
      </c>
      <c r="L25" s="6">
        <v>26.5</v>
      </c>
      <c r="M25" s="6">
        <v>81.900000000000006</v>
      </c>
      <c r="N25" s="6">
        <v>1.27</v>
      </c>
      <c r="O25" s="6">
        <v>43</v>
      </c>
    </row>
    <row r="26" spans="1:15" x14ac:dyDescent="0.25">
      <c r="A26" s="34" t="s">
        <v>126</v>
      </c>
      <c r="B26" s="14">
        <v>45745</v>
      </c>
      <c r="C26" s="6" t="s">
        <v>104</v>
      </c>
      <c r="D26" s="6" t="s">
        <v>102</v>
      </c>
      <c r="E26" s="6" t="s">
        <v>103</v>
      </c>
      <c r="F26" s="6">
        <v>123.6</v>
      </c>
      <c r="G26" s="6">
        <v>128</v>
      </c>
      <c r="H26" s="6">
        <v>93.4</v>
      </c>
      <c r="I26" s="6">
        <v>28.4</v>
      </c>
      <c r="J26" s="6">
        <v>-4.5999999999999996</v>
      </c>
      <c r="K26" s="6">
        <v>90.1</v>
      </c>
      <c r="L26" s="6">
        <v>-10.199999999999999</v>
      </c>
      <c r="M26" s="6">
        <v>84.6</v>
      </c>
      <c r="N26" s="6">
        <v>1.1000000000000001</v>
      </c>
      <c r="O26" s="6">
        <v>50.5</v>
      </c>
    </row>
    <row r="27" spans="1:15" x14ac:dyDescent="0.25">
      <c r="A27" s="34" t="s">
        <v>126</v>
      </c>
      <c r="B27" s="14">
        <v>45745</v>
      </c>
      <c r="C27" s="6" t="s">
        <v>104</v>
      </c>
      <c r="D27" s="6" t="s">
        <v>102</v>
      </c>
      <c r="E27" s="6" t="s">
        <v>103</v>
      </c>
      <c r="F27" s="6">
        <v>133.5</v>
      </c>
      <c r="G27" s="6">
        <v>137.80000000000001</v>
      </c>
      <c r="H27" s="6">
        <v>99.6</v>
      </c>
      <c r="I27" s="6">
        <v>24</v>
      </c>
      <c r="J27" s="6">
        <v>-4</v>
      </c>
      <c r="K27" s="6">
        <v>85.8</v>
      </c>
      <c r="L27" s="6">
        <v>-21.4</v>
      </c>
      <c r="M27" s="6">
        <v>84</v>
      </c>
      <c r="N27" s="6">
        <v>1.18</v>
      </c>
      <c r="O27" s="6">
        <v>48.2</v>
      </c>
    </row>
    <row r="28" spans="1:15" x14ac:dyDescent="0.25">
      <c r="A28" s="34" t="s">
        <v>126</v>
      </c>
      <c r="B28" s="14">
        <v>45745</v>
      </c>
      <c r="C28" s="6" t="s">
        <v>105</v>
      </c>
      <c r="D28" s="6" t="s">
        <v>102</v>
      </c>
      <c r="E28" s="6" t="s">
        <v>106</v>
      </c>
      <c r="F28" s="6">
        <v>147.69999999999999</v>
      </c>
      <c r="G28" s="6">
        <v>153.19999999999999</v>
      </c>
      <c r="H28" s="6">
        <v>107.9</v>
      </c>
      <c r="I28" s="6">
        <v>22</v>
      </c>
      <c r="J28" s="6">
        <v>1.5</v>
      </c>
      <c r="K28" s="6">
        <v>94.3</v>
      </c>
      <c r="L28" s="6">
        <v>20.7</v>
      </c>
      <c r="M28" s="6">
        <v>89</v>
      </c>
      <c r="N28" s="6">
        <v>1.21</v>
      </c>
      <c r="O28" s="6">
        <v>48.9</v>
      </c>
    </row>
    <row r="29" spans="1:15" x14ac:dyDescent="0.25">
      <c r="A29" s="34" t="s">
        <v>126</v>
      </c>
      <c r="B29" s="14">
        <v>45745</v>
      </c>
      <c r="C29" s="6" t="s">
        <v>105</v>
      </c>
      <c r="D29" s="6" t="s">
        <v>102</v>
      </c>
      <c r="E29" s="6" t="s">
        <v>106</v>
      </c>
      <c r="F29" s="6">
        <v>114.9</v>
      </c>
      <c r="G29" s="6">
        <v>120.3</v>
      </c>
      <c r="H29" s="6">
        <v>88.3</v>
      </c>
      <c r="I29" s="6">
        <v>29.2</v>
      </c>
      <c r="J29" s="6">
        <v>5.6</v>
      </c>
      <c r="K29" s="6">
        <v>82.3</v>
      </c>
      <c r="L29" s="6">
        <v>19.3</v>
      </c>
      <c r="M29" s="6">
        <v>79</v>
      </c>
      <c r="N29" s="6">
        <v>1.1200000000000001</v>
      </c>
      <c r="O29" s="6">
        <v>49.6</v>
      </c>
    </row>
    <row r="30" spans="1:15" x14ac:dyDescent="0.25">
      <c r="A30" s="34" t="s">
        <v>126</v>
      </c>
      <c r="B30" s="14">
        <v>45745</v>
      </c>
      <c r="C30" s="6" t="s">
        <v>105</v>
      </c>
      <c r="D30" s="6" t="s">
        <v>102</v>
      </c>
      <c r="E30" s="6" t="s">
        <v>106</v>
      </c>
      <c r="F30" s="6">
        <v>148.80000000000001</v>
      </c>
      <c r="G30" s="6">
        <v>153.19999999999999</v>
      </c>
      <c r="H30" s="6">
        <v>107.7</v>
      </c>
      <c r="I30" s="6">
        <v>24.9</v>
      </c>
      <c r="J30" s="6">
        <v>-2.2999999999999998</v>
      </c>
      <c r="K30" s="6">
        <v>106.4</v>
      </c>
      <c r="L30" s="6">
        <v>-11.1</v>
      </c>
      <c r="M30" s="6">
        <v>86.2</v>
      </c>
      <c r="N30" s="6">
        <v>1.25</v>
      </c>
      <c r="O30" s="6">
        <v>51.4</v>
      </c>
    </row>
    <row r="31" spans="1:15" x14ac:dyDescent="0.25">
      <c r="A31" s="34" t="s">
        <v>126</v>
      </c>
      <c r="B31" s="14">
        <v>45745</v>
      </c>
      <c r="C31" s="6" t="s">
        <v>105</v>
      </c>
      <c r="D31" s="6" t="s">
        <v>102</v>
      </c>
      <c r="E31" s="6" t="s">
        <v>106</v>
      </c>
      <c r="F31" s="6">
        <v>131.30000000000001</v>
      </c>
      <c r="G31" s="6">
        <v>136.80000000000001</v>
      </c>
      <c r="H31" s="6">
        <v>97</v>
      </c>
      <c r="I31" s="6">
        <v>26.3</v>
      </c>
      <c r="J31" s="6">
        <v>-3.5</v>
      </c>
      <c r="K31" s="6">
        <v>89.8</v>
      </c>
      <c r="L31" s="6">
        <v>-16.100000000000001</v>
      </c>
      <c r="M31" s="6">
        <v>79.099999999999994</v>
      </c>
      <c r="N31" s="6">
        <v>1.23</v>
      </c>
      <c r="O31" s="6">
        <v>49.3</v>
      </c>
    </row>
    <row r="32" spans="1:15" x14ac:dyDescent="0.25">
      <c r="A32" s="34" t="s">
        <v>126</v>
      </c>
      <c r="B32" s="14">
        <v>45745</v>
      </c>
      <c r="C32" s="6" t="s">
        <v>105</v>
      </c>
      <c r="D32" s="6" t="s">
        <v>102</v>
      </c>
      <c r="E32" s="6" t="s">
        <v>106</v>
      </c>
      <c r="F32" s="6">
        <v>145.5</v>
      </c>
      <c r="G32" s="6">
        <v>151</v>
      </c>
      <c r="H32" s="6">
        <v>106</v>
      </c>
      <c r="I32" s="6">
        <v>25.2</v>
      </c>
      <c r="J32" s="6">
        <v>-2.2000000000000002</v>
      </c>
      <c r="K32" s="6">
        <v>104.3</v>
      </c>
      <c r="L32" s="6">
        <v>-6</v>
      </c>
      <c r="M32" s="6">
        <v>84.6</v>
      </c>
      <c r="N32" s="6">
        <v>1.25</v>
      </c>
      <c r="O32" s="6">
        <v>51.2</v>
      </c>
    </row>
    <row r="33" spans="1:15" x14ac:dyDescent="0.25">
      <c r="A33" s="34" t="s">
        <v>126</v>
      </c>
      <c r="B33" s="14">
        <v>45745</v>
      </c>
      <c r="C33" s="6" t="s">
        <v>107</v>
      </c>
      <c r="D33" s="6" t="s">
        <v>102</v>
      </c>
      <c r="E33" s="6" t="s">
        <v>106</v>
      </c>
      <c r="F33" s="6">
        <v>155.30000000000001</v>
      </c>
      <c r="G33" s="6">
        <v>160.80000000000001</v>
      </c>
      <c r="H33" s="6">
        <v>111.5</v>
      </c>
      <c r="I33" s="6">
        <v>18.3</v>
      </c>
      <c r="J33" s="6">
        <v>0.2</v>
      </c>
      <c r="K33" s="6">
        <v>84</v>
      </c>
      <c r="L33" s="6">
        <v>14.8</v>
      </c>
      <c r="M33" s="6">
        <v>87.9</v>
      </c>
      <c r="N33" s="6">
        <v>1.27</v>
      </c>
      <c r="O33" s="6">
        <v>45.5</v>
      </c>
    </row>
    <row r="34" spans="1:15" x14ac:dyDescent="0.25">
      <c r="A34" s="34" t="s">
        <v>126</v>
      </c>
      <c r="B34" s="14">
        <v>45745</v>
      </c>
      <c r="C34" s="6" t="s">
        <v>107</v>
      </c>
      <c r="D34" s="6" t="s">
        <v>102</v>
      </c>
      <c r="E34" s="6" t="s">
        <v>106</v>
      </c>
      <c r="F34" s="6">
        <v>154.30000000000001</v>
      </c>
      <c r="G34" s="6">
        <v>159.69999999999999</v>
      </c>
      <c r="H34" s="6">
        <v>110.4</v>
      </c>
      <c r="I34" s="6">
        <v>20.9</v>
      </c>
      <c r="J34" s="6">
        <v>-1.3</v>
      </c>
      <c r="K34" s="6">
        <v>94.3</v>
      </c>
      <c r="L34" s="6">
        <v>3.4</v>
      </c>
      <c r="M34" s="6">
        <v>86.8</v>
      </c>
      <c r="N34" s="6">
        <v>1.27</v>
      </c>
      <c r="O34" s="6">
        <v>48.1</v>
      </c>
    </row>
    <row r="35" spans="1:15" x14ac:dyDescent="0.25">
      <c r="A35" s="34" t="s">
        <v>126</v>
      </c>
      <c r="B35" s="14">
        <v>45745</v>
      </c>
      <c r="C35" s="6" t="s">
        <v>107</v>
      </c>
      <c r="D35" s="6" t="s">
        <v>102</v>
      </c>
      <c r="E35" s="6" t="s">
        <v>106</v>
      </c>
      <c r="F35" s="6">
        <v>151</v>
      </c>
      <c r="G35" s="6">
        <v>156.4</v>
      </c>
      <c r="H35" s="6">
        <v>108.6</v>
      </c>
      <c r="I35" s="6">
        <v>20.7</v>
      </c>
      <c r="J35" s="6">
        <v>-5.5</v>
      </c>
      <c r="K35" s="6">
        <v>89.6</v>
      </c>
      <c r="L35" s="6">
        <v>-38.9</v>
      </c>
      <c r="M35" s="6">
        <v>89.6</v>
      </c>
      <c r="N35" s="6">
        <v>1.21</v>
      </c>
      <c r="O35" s="6">
        <v>47.3</v>
      </c>
    </row>
    <row r="36" spans="1:15" x14ac:dyDescent="0.25">
      <c r="A36" s="34" t="s">
        <v>126</v>
      </c>
      <c r="B36" s="14">
        <v>45745</v>
      </c>
      <c r="C36" s="6" t="s">
        <v>107</v>
      </c>
      <c r="D36" s="6" t="s">
        <v>102</v>
      </c>
      <c r="E36" s="6" t="s">
        <v>106</v>
      </c>
      <c r="F36" s="6">
        <v>159.69999999999999</v>
      </c>
      <c r="G36" s="6">
        <v>165.2</v>
      </c>
      <c r="H36" s="6">
        <v>114.1</v>
      </c>
      <c r="I36" s="6">
        <v>19</v>
      </c>
      <c r="J36" s="6">
        <v>-2.9</v>
      </c>
      <c r="K36" s="6">
        <v>92.2</v>
      </c>
      <c r="L36" s="6">
        <v>-2.2999999999999998</v>
      </c>
      <c r="M36" s="6">
        <v>90.1</v>
      </c>
      <c r="N36" s="6">
        <v>1.27</v>
      </c>
      <c r="O36" s="6">
        <v>47.2</v>
      </c>
    </row>
    <row r="37" spans="1:15" x14ac:dyDescent="0.25">
      <c r="A37" s="34" t="s">
        <v>126</v>
      </c>
      <c r="B37" s="14">
        <v>45745</v>
      </c>
      <c r="C37" s="6" t="s">
        <v>107</v>
      </c>
      <c r="D37" s="6" t="s">
        <v>102</v>
      </c>
      <c r="E37" s="6" t="s">
        <v>106</v>
      </c>
      <c r="F37" s="6">
        <v>142.19999999999999</v>
      </c>
      <c r="G37" s="6">
        <v>146.6</v>
      </c>
      <c r="H37" s="6">
        <v>103.6</v>
      </c>
      <c r="I37" s="6">
        <v>26.3</v>
      </c>
      <c r="J37" s="6">
        <v>1.5</v>
      </c>
      <c r="K37" s="6">
        <v>103.7</v>
      </c>
      <c r="L37" s="6">
        <v>7.7</v>
      </c>
      <c r="M37" s="6">
        <v>89</v>
      </c>
      <c r="N37" s="6">
        <v>1.1599999999999999</v>
      </c>
      <c r="O37" s="6">
        <v>51.3</v>
      </c>
    </row>
    <row r="38" spans="1:15" x14ac:dyDescent="0.25">
      <c r="A38" s="34" t="s">
        <v>126</v>
      </c>
      <c r="B38" s="14">
        <v>45745</v>
      </c>
      <c r="C38" s="6" t="s">
        <v>107</v>
      </c>
      <c r="D38" s="6" t="s">
        <v>102</v>
      </c>
      <c r="E38" s="6" t="s">
        <v>106</v>
      </c>
      <c r="F38" s="6">
        <v>159.69999999999999</v>
      </c>
      <c r="G38" s="6">
        <v>166.3</v>
      </c>
      <c r="H38" s="6">
        <v>115.8</v>
      </c>
      <c r="I38" s="6">
        <v>24.5</v>
      </c>
      <c r="J38" s="6">
        <v>1.3</v>
      </c>
      <c r="K38" s="6">
        <v>122.8</v>
      </c>
      <c r="L38" s="6">
        <v>10.9</v>
      </c>
      <c r="M38" s="6">
        <v>92.4</v>
      </c>
      <c r="N38" s="6">
        <v>1.25</v>
      </c>
      <c r="O38" s="6">
        <v>53.3</v>
      </c>
    </row>
    <row r="39" spans="1:15" x14ac:dyDescent="0.25">
      <c r="A39" s="34" t="s">
        <v>126</v>
      </c>
      <c r="B39" s="14">
        <v>45745</v>
      </c>
      <c r="C39" s="6" t="s">
        <v>107</v>
      </c>
      <c r="D39" s="6" t="s">
        <v>102</v>
      </c>
      <c r="E39" s="6" t="s">
        <v>106</v>
      </c>
      <c r="F39" s="6">
        <v>153.19999999999999</v>
      </c>
      <c r="G39" s="6">
        <v>160.80000000000001</v>
      </c>
      <c r="H39" s="6">
        <v>111</v>
      </c>
      <c r="I39" s="6">
        <v>14.7</v>
      </c>
      <c r="J39" s="6">
        <v>-2.5</v>
      </c>
      <c r="K39" s="6">
        <v>66.2</v>
      </c>
      <c r="L39" s="6">
        <v>-5.8</v>
      </c>
      <c r="M39" s="6">
        <v>87.9</v>
      </c>
      <c r="N39" s="6">
        <v>1.26</v>
      </c>
      <c r="O39" s="6">
        <v>40.1</v>
      </c>
    </row>
    <row r="40" spans="1:15" x14ac:dyDescent="0.25">
      <c r="A40" s="34" t="s">
        <v>126</v>
      </c>
      <c r="B40" s="14">
        <v>45745</v>
      </c>
      <c r="C40" s="6" t="s">
        <v>107</v>
      </c>
      <c r="D40" s="6" t="s">
        <v>102</v>
      </c>
      <c r="E40" s="6" t="s">
        <v>106</v>
      </c>
      <c r="F40" s="6">
        <v>158.6</v>
      </c>
      <c r="G40" s="6">
        <v>161.9</v>
      </c>
      <c r="H40" s="6">
        <v>112.3</v>
      </c>
      <c r="I40" s="6">
        <v>23.4</v>
      </c>
      <c r="J40" s="6">
        <v>1</v>
      </c>
      <c r="K40" s="6">
        <v>109.6</v>
      </c>
      <c r="L40" s="6">
        <v>11.1</v>
      </c>
      <c r="M40" s="6">
        <v>87.9</v>
      </c>
      <c r="N40" s="6">
        <v>1.28</v>
      </c>
      <c r="O40" s="6">
        <v>51.1</v>
      </c>
    </row>
    <row r="41" spans="1:15" x14ac:dyDescent="0.25">
      <c r="A41" s="34" t="s">
        <v>126</v>
      </c>
      <c r="B41" s="14">
        <v>45745</v>
      </c>
      <c r="C41" s="6" t="s">
        <v>107</v>
      </c>
      <c r="D41" s="6" t="s">
        <v>102</v>
      </c>
      <c r="E41" s="6" t="s">
        <v>106</v>
      </c>
      <c r="F41" s="6">
        <v>176.1</v>
      </c>
      <c r="G41" s="6">
        <v>181.6</v>
      </c>
      <c r="H41" s="6">
        <v>119.6</v>
      </c>
      <c r="I41" s="6">
        <v>21.8</v>
      </c>
      <c r="J41" s="6">
        <v>-7.1</v>
      </c>
      <c r="K41" s="6">
        <v>116.3</v>
      </c>
      <c r="L41" s="6">
        <v>-36.6</v>
      </c>
      <c r="M41" s="6">
        <v>87.9</v>
      </c>
      <c r="N41" s="6">
        <v>1.36</v>
      </c>
      <c r="O41" s="6">
        <v>50.3</v>
      </c>
    </row>
    <row r="42" spans="1:15" x14ac:dyDescent="0.25">
      <c r="A42" s="34" t="s">
        <v>126</v>
      </c>
      <c r="B42" s="14">
        <v>45745</v>
      </c>
      <c r="C42" s="6" t="s">
        <v>108</v>
      </c>
      <c r="D42" s="6" t="s">
        <v>102</v>
      </c>
      <c r="E42" s="6" t="s">
        <v>106</v>
      </c>
      <c r="F42" s="6">
        <v>163</v>
      </c>
      <c r="G42" s="6">
        <v>175</v>
      </c>
      <c r="H42" s="6">
        <v>119.3</v>
      </c>
      <c r="I42" s="6">
        <v>9.4</v>
      </c>
      <c r="J42" s="6">
        <v>-1.1000000000000001</v>
      </c>
      <c r="K42" s="6">
        <v>51</v>
      </c>
      <c r="L42" s="6">
        <v>9.8000000000000007</v>
      </c>
      <c r="M42" s="6">
        <v>90.7</v>
      </c>
      <c r="N42" s="6">
        <v>1.32</v>
      </c>
      <c r="O42" s="6">
        <v>33.1</v>
      </c>
    </row>
    <row r="43" spans="1:15" x14ac:dyDescent="0.25">
      <c r="A43" s="34" t="s">
        <v>126</v>
      </c>
      <c r="B43" s="14">
        <v>45745</v>
      </c>
      <c r="C43" s="6" t="s">
        <v>108</v>
      </c>
      <c r="D43" s="6" t="s">
        <v>102</v>
      </c>
      <c r="E43" s="6" t="s">
        <v>106</v>
      </c>
      <c r="F43" s="6">
        <v>172.9</v>
      </c>
      <c r="G43" s="6">
        <v>177.2</v>
      </c>
      <c r="H43" s="6">
        <v>120</v>
      </c>
      <c r="I43" s="6">
        <v>19.8</v>
      </c>
      <c r="J43" s="6">
        <v>-3</v>
      </c>
      <c r="K43" s="6">
        <v>108.2</v>
      </c>
      <c r="L43" s="6">
        <v>-12.8</v>
      </c>
      <c r="M43" s="6">
        <v>90.1</v>
      </c>
      <c r="N43" s="6">
        <v>1.33</v>
      </c>
      <c r="O43" s="6">
        <v>49.5</v>
      </c>
    </row>
    <row r="44" spans="1:15" x14ac:dyDescent="0.25">
      <c r="A44" s="34" t="s">
        <v>126</v>
      </c>
      <c r="B44" s="14">
        <v>45745</v>
      </c>
      <c r="C44" s="6" t="s">
        <v>108</v>
      </c>
      <c r="D44" s="6" t="s">
        <v>102</v>
      </c>
      <c r="E44" s="6" t="s">
        <v>106</v>
      </c>
      <c r="F44" s="6">
        <v>159.69999999999999</v>
      </c>
      <c r="G44" s="6">
        <v>166.3</v>
      </c>
      <c r="H44" s="6">
        <v>113.2</v>
      </c>
      <c r="I44" s="6">
        <v>18.2</v>
      </c>
      <c r="J44" s="6">
        <v>-1.6</v>
      </c>
      <c r="K44" s="6">
        <v>86.9</v>
      </c>
      <c r="L44" s="6">
        <v>-0.1</v>
      </c>
      <c r="M44" s="6">
        <v>89</v>
      </c>
      <c r="N44" s="6">
        <v>1.27</v>
      </c>
      <c r="O44" s="6">
        <v>45.7</v>
      </c>
    </row>
    <row r="45" spans="1:15" x14ac:dyDescent="0.25">
      <c r="A45" s="34" t="s">
        <v>126</v>
      </c>
      <c r="B45" s="14">
        <v>45745</v>
      </c>
      <c r="C45" s="6" t="s">
        <v>108</v>
      </c>
      <c r="D45" s="6" t="s">
        <v>102</v>
      </c>
      <c r="E45" s="6" t="s">
        <v>106</v>
      </c>
      <c r="F45" s="6">
        <v>158.6</v>
      </c>
      <c r="G45" s="6">
        <v>163</v>
      </c>
      <c r="H45" s="6">
        <v>112.5</v>
      </c>
      <c r="I45" s="6">
        <v>24.6</v>
      </c>
      <c r="J45" s="6">
        <v>2.1</v>
      </c>
      <c r="K45" s="6">
        <v>115.8</v>
      </c>
      <c r="L45" s="6">
        <v>22.5</v>
      </c>
      <c r="M45" s="6">
        <v>90.1</v>
      </c>
      <c r="N45" s="6">
        <v>1.25</v>
      </c>
      <c r="O45" s="6">
        <v>52.3</v>
      </c>
    </row>
    <row r="46" spans="1:15" x14ac:dyDescent="0.25">
      <c r="A46" s="34" t="s">
        <v>126</v>
      </c>
      <c r="B46" s="14">
        <v>45745</v>
      </c>
      <c r="C46" s="6" t="s">
        <v>108</v>
      </c>
      <c r="D46" s="6" t="s">
        <v>102</v>
      </c>
      <c r="E46" s="6" t="s">
        <v>106</v>
      </c>
      <c r="F46" s="6">
        <v>154.30000000000001</v>
      </c>
      <c r="G46" s="6">
        <v>160.80000000000001</v>
      </c>
      <c r="H46" s="6">
        <v>110.6</v>
      </c>
      <c r="I46" s="6">
        <v>16.399999999999999</v>
      </c>
      <c r="J46" s="6">
        <v>-9.8000000000000007</v>
      </c>
      <c r="K46" s="6">
        <v>73.5</v>
      </c>
      <c r="L46" s="6">
        <v>-53.7</v>
      </c>
      <c r="M46" s="6">
        <v>89</v>
      </c>
      <c r="N46" s="6">
        <v>1.24</v>
      </c>
      <c r="O46" s="6">
        <v>42.1</v>
      </c>
    </row>
    <row r="47" spans="1:15" x14ac:dyDescent="0.25">
      <c r="A47" s="34" t="s">
        <v>126</v>
      </c>
      <c r="B47" s="14">
        <v>45745</v>
      </c>
      <c r="C47" s="6" t="s">
        <v>108</v>
      </c>
      <c r="D47" s="6" t="s">
        <v>102</v>
      </c>
      <c r="E47" s="6" t="s">
        <v>106</v>
      </c>
      <c r="F47" s="6">
        <v>142.19999999999999</v>
      </c>
      <c r="G47" s="6">
        <v>148.80000000000001</v>
      </c>
      <c r="H47" s="6">
        <v>103.3</v>
      </c>
      <c r="I47" s="6">
        <v>21.9</v>
      </c>
      <c r="J47" s="6">
        <v>-0.3</v>
      </c>
      <c r="K47" s="6">
        <v>84.5</v>
      </c>
      <c r="L47" s="6">
        <v>-0.3</v>
      </c>
      <c r="M47" s="6">
        <v>85.7</v>
      </c>
      <c r="N47" s="6">
        <v>1.21</v>
      </c>
      <c r="O47" s="6">
        <v>46.6</v>
      </c>
    </row>
    <row r="48" spans="1:15" x14ac:dyDescent="0.25">
      <c r="A48" s="34" t="s">
        <v>126</v>
      </c>
      <c r="B48" s="14">
        <v>45745</v>
      </c>
      <c r="C48" s="6" t="s">
        <v>108</v>
      </c>
      <c r="D48" s="6" t="s">
        <v>102</v>
      </c>
      <c r="E48" s="6" t="s">
        <v>106</v>
      </c>
      <c r="F48" s="6">
        <v>141.1</v>
      </c>
      <c r="G48" s="6">
        <v>156.4</v>
      </c>
      <c r="H48" s="6">
        <v>110.1</v>
      </c>
      <c r="I48" s="6">
        <v>9.3000000000000007</v>
      </c>
      <c r="J48" s="6">
        <v>-1.7</v>
      </c>
      <c r="K48" s="6">
        <v>38.299999999999997</v>
      </c>
      <c r="L48" s="6">
        <v>15.1</v>
      </c>
      <c r="M48" s="6">
        <v>92.4</v>
      </c>
      <c r="N48" s="6">
        <v>1.19</v>
      </c>
      <c r="O48" s="6">
        <v>28.4</v>
      </c>
    </row>
    <row r="49" spans="1:15" x14ac:dyDescent="0.25">
      <c r="A49" s="34" t="s">
        <v>126</v>
      </c>
      <c r="B49" s="14">
        <v>45745</v>
      </c>
      <c r="C49" s="6" t="s">
        <v>109</v>
      </c>
      <c r="D49" s="6" t="s">
        <v>102</v>
      </c>
      <c r="E49" s="6" t="s">
        <v>106</v>
      </c>
      <c r="F49" s="6">
        <v>151</v>
      </c>
      <c r="G49" s="6">
        <v>168.5</v>
      </c>
      <c r="H49" s="6">
        <v>122</v>
      </c>
      <c r="I49" s="6">
        <v>4</v>
      </c>
      <c r="J49" s="6">
        <v>2.6</v>
      </c>
      <c r="K49" s="6">
        <v>25.7</v>
      </c>
      <c r="L49" s="6">
        <v>11.7</v>
      </c>
      <c r="M49" s="6">
        <v>89.6</v>
      </c>
      <c r="N49" s="6">
        <v>1.36</v>
      </c>
      <c r="O49" s="6">
        <v>21.2</v>
      </c>
    </row>
    <row r="50" spans="1:15" x14ac:dyDescent="0.25">
      <c r="A50" s="34" t="s">
        <v>126</v>
      </c>
      <c r="B50" s="14">
        <v>45745</v>
      </c>
      <c r="C50" s="6" t="s">
        <v>109</v>
      </c>
      <c r="D50" s="6" t="s">
        <v>102</v>
      </c>
      <c r="E50" s="6" t="s">
        <v>106</v>
      </c>
      <c r="F50" s="6">
        <v>180.5</v>
      </c>
      <c r="G50" s="6">
        <v>190.4</v>
      </c>
      <c r="H50" s="6">
        <v>124.8</v>
      </c>
      <c r="I50" s="6">
        <v>17.7</v>
      </c>
      <c r="J50" s="6">
        <v>-3.4</v>
      </c>
      <c r="K50" s="6">
        <v>106.1</v>
      </c>
      <c r="L50" s="6">
        <v>-15.1</v>
      </c>
      <c r="M50" s="6">
        <v>90.1</v>
      </c>
      <c r="N50" s="6">
        <v>1.38</v>
      </c>
      <c r="O50" s="6">
        <v>48.2</v>
      </c>
    </row>
    <row r="51" spans="1:15" x14ac:dyDescent="0.25">
      <c r="A51" s="34" t="s">
        <v>126</v>
      </c>
      <c r="B51" s="14">
        <v>45745</v>
      </c>
      <c r="C51" s="6" t="s">
        <v>109</v>
      </c>
      <c r="D51" s="6" t="s">
        <v>102</v>
      </c>
      <c r="E51" s="6" t="s">
        <v>106</v>
      </c>
      <c r="F51" s="6">
        <v>170.7</v>
      </c>
      <c r="G51" s="6">
        <v>176.1</v>
      </c>
      <c r="H51" s="6">
        <v>118.3</v>
      </c>
      <c r="I51" s="6">
        <v>19.7</v>
      </c>
      <c r="J51" s="6">
        <v>0.4</v>
      </c>
      <c r="K51" s="6">
        <v>103.8</v>
      </c>
      <c r="L51" s="6">
        <v>21.9</v>
      </c>
      <c r="M51" s="6">
        <v>90.7</v>
      </c>
      <c r="N51" s="6">
        <v>1.3</v>
      </c>
      <c r="O51" s="6">
        <v>48.6</v>
      </c>
    </row>
    <row r="52" spans="1:15" x14ac:dyDescent="0.25">
      <c r="A52" s="34" t="s">
        <v>126</v>
      </c>
      <c r="B52" s="14">
        <v>45745</v>
      </c>
      <c r="C52" s="6" t="s">
        <v>109</v>
      </c>
      <c r="D52" s="6" t="s">
        <v>102</v>
      </c>
      <c r="E52" s="6" t="s">
        <v>106</v>
      </c>
      <c r="F52" s="6">
        <v>173.9</v>
      </c>
      <c r="G52" s="6">
        <v>180.5</v>
      </c>
      <c r="H52" s="6">
        <v>120.2</v>
      </c>
      <c r="I52" s="6">
        <v>15.8</v>
      </c>
      <c r="J52" s="6">
        <v>-1.7</v>
      </c>
      <c r="K52" s="6">
        <v>86.4</v>
      </c>
      <c r="L52" s="6">
        <v>3.8</v>
      </c>
      <c r="M52" s="6">
        <v>90.1</v>
      </c>
      <c r="N52" s="6">
        <v>1.33</v>
      </c>
      <c r="O52" s="6">
        <v>44.1</v>
      </c>
    </row>
    <row r="53" spans="1:15" x14ac:dyDescent="0.25">
      <c r="A53" s="34" t="s">
        <v>126</v>
      </c>
      <c r="B53" s="14">
        <v>45745</v>
      </c>
      <c r="C53" s="6" t="s">
        <v>109</v>
      </c>
      <c r="D53" s="6" t="s">
        <v>102</v>
      </c>
      <c r="E53" s="6" t="s">
        <v>106</v>
      </c>
      <c r="F53" s="6">
        <v>167.4</v>
      </c>
      <c r="G53" s="6">
        <v>175</v>
      </c>
      <c r="H53" s="6">
        <v>116.6</v>
      </c>
      <c r="I53" s="6">
        <v>17.2</v>
      </c>
      <c r="J53" s="6">
        <v>-5.0999999999999996</v>
      </c>
      <c r="K53" s="6">
        <v>87.7</v>
      </c>
      <c r="L53" s="6">
        <v>-38.200000000000003</v>
      </c>
      <c r="M53" s="6">
        <v>89.6</v>
      </c>
      <c r="N53" s="6">
        <v>1.3</v>
      </c>
      <c r="O53" s="6">
        <v>44.8</v>
      </c>
    </row>
    <row r="54" spans="1:15" x14ac:dyDescent="0.25">
      <c r="A54" s="34" t="s">
        <v>126</v>
      </c>
      <c r="B54" s="14">
        <v>45745</v>
      </c>
      <c r="C54" s="6" t="s">
        <v>109</v>
      </c>
      <c r="D54" s="6" t="s">
        <v>102</v>
      </c>
      <c r="E54" s="6" t="s">
        <v>106</v>
      </c>
      <c r="F54" s="6">
        <v>183.8</v>
      </c>
      <c r="G54" s="6">
        <v>188.2</v>
      </c>
      <c r="H54" s="6">
        <v>125.6</v>
      </c>
      <c r="I54" s="6">
        <v>18.3</v>
      </c>
      <c r="J54" s="6">
        <v>-2.2999999999999998</v>
      </c>
      <c r="K54" s="6">
        <v>110.7</v>
      </c>
      <c r="L54" s="6">
        <v>-7.2</v>
      </c>
      <c r="M54" s="6">
        <v>89.6</v>
      </c>
      <c r="N54" s="6">
        <v>1.4</v>
      </c>
      <c r="O54" s="6">
        <v>49.1</v>
      </c>
    </row>
    <row r="55" spans="1:15" x14ac:dyDescent="0.25">
      <c r="A55" s="34" t="s">
        <v>126</v>
      </c>
      <c r="B55" s="14">
        <v>45745</v>
      </c>
      <c r="C55" s="6" t="s">
        <v>109</v>
      </c>
      <c r="D55" s="6" t="s">
        <v>102</v>
      </c>
      <c r="E55" s="6" t="s">
        <v>106</v>
      </c>
      <c r="F55" s="6">
        <v>171.8</v>
      </c>
      <c r="G55" s="6">
        <v>177.2</v>
      </c>
      <c r="H55" s="6">
        <v>119</v>
      </c>
      <c r="I55" s="6">
        <v>18.8</v>
      </c>
      <c r="J55" s="6">
        <v>-0.5</v>
      </c>
      <c r="K55" s="6">
        <v>100.3</v>
      </c>
      <c r="L55" s="6">
        <v>15</v>
      </c>
      <c r="M55" s="6">
        <v>89.6</v>
      </c>
      <c r="N55" s="6">
        <v>1.33</v>
      </c>
      <c r="O55" s="6">
        <v>47.7</v>
      </c>
    </row>
    <row r="56" spans="1:15" x14ac:dyDescent="0.25">
      <c r="A56" s="34" t="s">
        <v>126</v>
      </c>
      <c r="B56" s="14">
        <v>45745</v>
      </c>
      <c r="C56" s="6" t="s">
        <v>109</v>
      </c>
      <c r="D56" s="6" t="s">
        <v>102</v>
      </c>
      <c r="E56" s="6" t="s">
        <v>106</v>
      </c>
      <c r="F56" s="6">
        <v>176.1</v>
      </c>
      <c r="G56" s="6">
        <v>181.6</v>
      </c>
      <c r="H56" s="6">
        <v>120.8</v>
      </c>
      <c r="I56" s="6">
        <v>18.8</v>
      </c>
      <c r="J56" s="6">
        <v>-2</v>
      </c>
      <c r="K56" s="6">
        <v>103.6</v>
      </c>
      <c r="L56" s="6">
        <v>-4.9000000000000004</v>
      </c>
      <c r="M56" s="6">
        <v>86.8</v>
      </c>
      <c r="N56" s="6">
        <v>1.39</v>
      </c>
      <c r="O56" s="6">
        <v>48.1</v>
      </c>
    </row>
    <row r="57" spans="1:15" x14ac:dyDescent="0.25">
      <c r="A57" s="34" t="s">
        <v>126</v>
      </c>
      <c r="B57" s="14">
        <v>45745</v>
      </c>
      <c r="C57" s="6" t="s">
        <v>109</v>
      </c>
      <c r="D57" s="6" t="s">
        <v>102</v>
      </c>
      <c r="E57" s="6" t="s">
        <v>106</v>
      </c>
      <c r="F57" s="6">
        <v>180.5</v>
      </c>
      <c r="G57" s="6">
        <v>186</v>
      </c>
      <c r="H57" s="6">
        <v>124.4</v>
      </c>
      <c r="I57" s="6">
        <v>19.399999999999999</v>
      </c>
      <c r="J57" s="6">
        <v>0.4</v>
      </c>
      <c r="K57" s="6">
        <v>114.8</v>
      </c>
      <c r="L57" s="6">
        <v>7.9</v>
      </c>
      <c r="M57" s="6">
        <v>90.7</v>
      </c>
      <c r="N57" s="6">
        <v>1.37</v>
      </c>
      <c r="O57" s="6">
        <v>50.1</v>
      </c>
    </row>
    <row r="58" spans="1:15" x14ac:dyDescent="0.25">
      <c r="A58" s="34" t="s">
        <v>126</v>
      </c>
      <c r="B58" s="14">
        <v>45745</v>
      </c>
      <c r="C58" s="6" t="s">
        <v>110</v>
      </c>
      <c r="D58" s="6" t="s">
        <v>102</v>
      </c>
      <c r="E58" s="6" t="s">
        <v>106</v>
      </c>
      <c r="F58" s="6">
        <v>167.4</v>
      </c>
      <c r="G58" s="6">
        <v>176.1</v>
      </c>
      <c r="H58" s="6">
        <v>117.3</v>
      </c>
      <c r="I58" s="6">
        <v>14.7</v>
      </c>
      <c r="J58" s="6">
        <v>2</v>
      </c>
      <c r="K58" s="6">
        <v>75.599999999999994</v>
      </c>
      <c r="L58" s="6">
        <v>12.2</v>
      </c>
      <c r="M58" s="6">
        <v>91.2</v>
      </c>
      <c r="N58" s="6">
        <v>1.29</v>
      </c>
      <c r="O58" s="6">
        <v>41.4</v>
      </c>
    </row>
    <row r="59" spans="1:15" x14ac:dyDescent="0.25">
      <c r="A59" s="34" t="s">
        <v>126</v>
      </c>
      <c r="B59" s="14">
        <v>45745</v>
      </c>
      <c r="C59" s="6" t="s">
        <v>110</v>
      </c>
      <c r="D59" s="6" t="s">
        <v>102</v>
      </c>
      <c r="E59" s="6" t="s">
        <v>106</v>
      </c>
      <c r="F59" s="6">
        <v>163</v>
      </c>
      <c r="G59" s="6">
        <v>175</v>
      </c>
      <c r="H59" s="6">
        <v>115.6</v>
      </c>
      <c r="I59" s="6">
        <v>15.8</v>
      </c>
      <c r="J59" s="6">
        <v>2.7</v>
      </c>
      <c r="K59" s="6">
        <v>78.3</v>
      </c>
      <c r="L59" s="6">
        <v>36.4</v>
      </c>
      <c r="M59" s="6">
        <v>91.8</v>
      </c>
      <c r="N59" s="6">
        <v>1.26</v>
      </c>
      <c r="O59" s="6">
        <v>42.4</v>
      </c>
    </row>
    <row r="60" spans="1:15" x14ac:dyDescent="0.25">
      <c r="A60" s="34" t="s">
        <v>126</v>
      </c>
      <c r="B60" s="14">
        <v>45745</v>
      </c>
      <c r="C60" s="6" t="s">
        <v>110</v>
      </c>
      <c r="D60" s="6" t="s">
        <v>102</v>
      </c>
      <c r="E60" s="6" t="s">
        <v>106</v>
      </c>
      <c r="F60" s="6">
        <v>189.3</v>
      </c>
      <c r="G60" s="6">
        <v>194.7</v>
      </c>
      <c r="H60" s="6">
        <v>128.30000000000001</v>
      </c>
      <c r="I60" s="6">
        <v>17.899999999999999</v>
      </c>
      <c r="J60" s="6">
        <v>-0.5</v>
      </c>
      <c r="K60" s="6">
        <v>113.9</v>
      </c>
      <c r="L60" s="6">
        <v>2.7</v>
      </c>
      <c r="M60" s="6">
        <v>91.8</v>
      </c>
      <c r="N60" s="6">
        <v>1.4</v>
      </c>
      <c r="O60" s="6">
        <v>49.2</v>
      </c>
    </row>
    <row r="61" spans="1:15" x14ac:dyDescent="0.25">
      <c r="A61" s="34" t="s">
        <v>126</v>
      </c>
      <c r="B61" s="14">
        <v>45745</v>
      </c>
      <c r="C61" s="6" t="s">
        <v>110</v>
      </c>
      <c r="D61" s="6" t="s">
        <v>102</v>
      </c>
      <c r="E61" s="6" t="s">
        <v>106</v>
      </c>
      <c r="F61" s="6">
        <v>170.7</v>
      </c>
      <c r="G61" s="6">
        <v>179.4</v>
      </c>
      <c r="H61" s="6">
        <v>119.5</v>
      </c>
      <c r="I61" s="6">
        <v>12.3</v>
      </c>
      <c r="J61" s="6">
        <v>-1.4</v>
      </c>
      <c r="K61" s="6">
        <v>66.400000000000006</v>
      </c>
      <c r="L61" s="6">
        <v>11.3</v>
      </c>
      <c r="M61" s="6">
        <v>92.4</v>
      </c>
      <c r="N61" s="6">
        <v>1.29</v>
      </c>
      <c r="O61" s="6">
        <v>38.299999999999997</v>
      </c>
    </row>
    <row r="62" spans="1:15" x14ac:dyDescent="0.25">
      <c r="A62" s="34" t="s">
        <v>126</v>
      </c>
      <c r="B62" s="14">
        <v>45745</v>
      </c>
      <c r="C62" s="6" t="s">
        <v>110</v>
      </c>
      <c r="D62" s="6" t="s">
        <v>102</v>
      </c>
      <c r="E62" s="6" t="s">
        <v>106</v>
      </c>
      <c r="F62" s="6">
        <v>176.1</v>
      </c>
      <c r="G62" s="6">
        <v>181.6</v>
      </c>
      <c r="H62" s="6">
        <v>121.3</v>
      </c>
      <c r="I62" s="6">
        <v>18.8</v>
      </c>
      <c r="J62" s="6">
        <v>4.7</v>
      </c>
      <c r="K62" s="6">
        <v>105.3</v>
      </c>
      <c r="L62" s="6">
        <v>34.9</v>
      </c>
      <c r="M62" s="6">
        <v>92.4</v>
      </c>
      <c r="N62" s="6">
        <v>1.31</v>
      </c>
      <c r="O62" s="6">
        <v>48.4</v>
      </c>
    </row>
    <row r="63" spans="1:15" x14ac:dyDescent="0.25">
      <c r="A63" s="34" t="s">
        <v>126</v>
      </c>
      <c r="B63" s="14">
        <v>45745</v>
      </c>
      <c r="C63" s="6" t="s">
        <v>110</v>
      </c>
      <c r="D63" s="6" t="s">
        <v>102</v>
      </c>
      <c r="E63" s="6" t="s">
        <v>106</v>
      </c>
      <c r="F63" s="6">
        <v>169.6</v>
      </c>
      <c r="G63" s="6">
        <v>178.3</v>
      </c>
      <c r="H63" s="6">
        <v>117.7</v>
      </c>
      <c r="I63" s="6">
        <v>16</v>
      </c>
      <c r="J63" s="6">
        <v>1.1000000000000001</v>
      </c>
      <c r="K63" s="6">
        <v>83</v>
      </c>
      <c r="L63" s="6">
        <v>13</v>
      </c>
      <c r="M63" s="6">
        <v>89</v>
      </c>
      <c r="N63" s="6">
        <v>1.32</v>
      </c>
      <c r="O63" s="6">
        <v>43.3</v>
      </c>
    </row>
    <row r="64" spans="1:15" x14ac:dyDescent="0.25">
      <c r="A64" s="34" t="s">
        <v>126</v>
      </c>
      <c r="B64" s="14">
        <v>45745</v>
      </c>
      <c r="C64" s="6" t="s">
        <v>110</v>
      </c>
      <c r="D64" s="6" t="s">
        <v>102</v>
      </c>
      <c r="E64" s="6" t="s">
        <v>106</v>
      </c>
      <c r="F64" s="6">
        <v>186</v>
      </c>
      <c r="G64" s="6">
        <v>191.5</v>
      </c>
      <c r="H64" s="6">
        <v>126.7</v>
      </c>
      <c r="I64" s="6">
        <v>19.399999999999999</v>
      </c>
      <c r="J64" s="6">
        <v>-0.1</v>
      </c>
      <c r="K64" s="6">
        <v>119.4</v>
      </c>
      <c r="L64" s="6">
        <v>0.2</v>
      </c>
      <c r="M64" s="6">
        <v>92.4</v>
      </c>
      <c r="N64" s="6">
        <v>1.37</v>
      </c>
      <c r="O64" s="6">
        <v>50.5</v>
      </c>
    </row>
    <row r="65" spans="1:15" x14ac:dyDescent="0.25">
      <c r="A65" s="34" t="s">
        <v>126</v>
      </c>
      <c r="B65" s="14">
        <v>45745</v>
      </c>
      <c r="C65" s="6" t="s">
        <v>111</v>
      </c>
      <c r="D65" s="6" t="s">
        <v>102</v>
      </c>
      <c r="E65" s="6" t="s">
        <v>106</v>
      </c>
      <c r="F65" s="6">
        <v>168.5</v>
      </c>
      <c r="G65" s="6">
        <v>178.3</v>
      </c>
      <c r="H65" s="6">
        <v>117.1</v>
      </c>
      <c r="I65" s="6">
        <v>12.8</v>
      </c>
      <c r="J65" s="6">
        <v>3.5</v>
      </c>
      <c r="K65" s="6">
        <v>63.7</v>
      </c>
      <c r="L65" s="6">
        <v>40.700000000000003</v>
      </c>
      <c r="M65" s="6">
        <v>89</v>
      </c>
      <c r="N65" s="6">
        <v>1.32</v>
      </c>
      <c r="O65" s="6">
        <v>37.1</v>
      </c>
    </row>
    <row r="66" spans="1:15" x14ac:dyDescent="0.25">
      <c r="A66" s="34" t="s">
        <v>126</v>
      </c>
      <c r="B66" s="14">
        <v>45745</v>
      </c>
      <c r="C66" s="6" t="s">
        <v>111</v>
      </c>
      <c r="D66" s="6" t="s">
        <v>102</v>
      </c>
      <c r="E66" s="6" t="s">
        <v>106</v>
      </c>
      <c r="F66" s="6">
        <v>210</v>
      </c>
      <c r="G66" s="6">
        <v>217.7</v>
      </c>
      <c r="H66" s="6">
        <v>131.4</v>
      </c>
      <c r="I66" s="6">
        <v>17</v>
      </c>
      <c r="J66" s="6">
        <v>-0.3</v>
      </c>
      <c r="K66" s="6">
        <v>105.6</v>
      </c>
      <c r="L66" s="6">
        <v>4.9000000000000004</v>
      </c>
      <c r="M66" s="6">
        <v>93.5</v>
      </c>
      <c r="N66" s="6">
        <v>1.41</v>
      </c>
      <c r="O66" s="6">
        <v>44.4</v>
      </c>
    </row>
    <row r="67" spans="1:15" x14ac:dyDescent="0.25">
      <c r="A67" s="34" t="s">
        <v>126</v>
      </c>
      <c r="B67" s="14">
        <v>45745</v>
      </c>
      <c r="C67" s="6" t="s">
        <v>112</v>
      </c>
      <c r="D67" s="6" t="s">
        <v>102</v>
      </c>
      <c r="E67" s="6" t="s">
        <v>113</v>
      </c>
      <c r="F67" s="6">
        <v>194.7</v>
      </c>
      <c r="G67" s="6">
        <v>200.2</v>
      </c>
      <c r="H67" s="6">
        <v>128.80000000000001</v>
      </c>
      <c r="I67" s="6">
        <v>19.600000000000001</v>
      </c>
      <c r="J67" s="6">
        <v>2</v>
      </c>
      <c r="K67" s="6">
        <v>123</v>
      </c>
      <c r="L67" s="6">
        <v>37.6</v>
      </c>
      <c r="M67" s="6">
        <v>98.5</v>
      </c>
      <c r="N67" s="6">
        <v>1.31</v>
      </c>
      <c r="O67" s="6">
        <v>50</v>
      </c>
    </row>
    <row r="68" spans="1:15" x14ac:dyDescent="0.25">
      <c r="A68" s="34" t="s">
        <v>126</v>
      </c>
      <c r="B68" s="14">
        <v>45745</v>
      </c>
      <c r="C68" s="6" t="s">
        <v>112</v>
      </c>
      <c r="D68" s="6" t="s">
        <v>102</v>
      </c>
      <c r="E68" s="6" t="s">
        <v>113</v>
      </c>
      <c r="F68" s="6">
        <v>209</v>
      </c>
      <c r="G68" s="6">
        <v>214.4</v>
      </c>
      <c r="H68" s="6">
        <v>134.9</v>
      </c>
      <c r="I68" s="6">
        <v>16.3</v>
      </c>
      <c r="J68" s="6">
        <v>-6.8</v>
      </c>
      <c r="K68" s="6">
        <v>113.1</v>
      </c>
      <c r="L68" s="6">
        <v>-1.6</v>
      </c>
      <c r="M68" s="6">
        <v>94.6</v>
      </c>
      <c r="N68" s="6">
        <v>1.43</v>
      </c>
      <c r="O68" s="6">
        <v>46.8</v>
      </c>
    </row>
    <row r="69" spans="1:15" x14ac:dyDescent="0.25">
      <c r="A69" s="34" t="s">
        <v>126</v>
      </c>
      <c r="B69" s="14">
        <v>45745</v>
      </c>
      <c r="C69" s="6" t="s">
        <v>112</v>
      </c>
      <c r="D69" s="6" t="s">
        <v>102</v>
      </c>
      <c r="E69" s="6" t="s">
        <v>113</v>
      </c>
      <c r="F69" s="6">
        <v>209</v>
      </c>
      <c r="G69" s="6">
        <v>215.5</v>
      </c>
      <c r="H69" s="6">
        <v>136</v>
      </c>
      <c r="I69" s="6">
        <v>19</v>
      </c>
      <c r="J69" s="6">
        <v>-2.2999999999999998</v>
      </c>
      <c r="K69" s="6">
        <v>133.80000000000001</v>
      </c>
      <c r="L69" s="6">
        <v>23</v>
      </c>
      <c r="M69" s="6">
        <v>97.4</v>
      </c>
      <c r="N69" s="6">
        <v>1.4</v>
      </c>
      <c r="O69" s="6">
        <v>50.6</v>
      </c>
    </row>
    <row r="70" spans="1:15" x14ac:dyDescent="0.25">
      <c r="A70" s="34" t="s">
        <v>126</v>
      </c>
      <c r="B70" s="14">
        <v>45745</v>
      </c>
      <c r="C70" s="6" t="s">
        <v>112</v>
      </c>
      <c r="D70" s="6" t="s">
        <v>102</v>
      </c>
      <c r="E70" s="6" t="s">
        <v>113</v>
      </c>
      <c r="F70" s="6">
        <v>189.3</v>
      </c>
      <c r="G70" s="6">
        <v>201.3</v>
      </c>
      <c r="H70" s="6">
        <v>129.6</v>
      </c>
      <c r="I70" s="6">
        <v>10.4</v>
      </c>
      <c r="J70" s="6">
        <v>-7.8</v>
      </c>
      <c r="K70" s="6">
        <v>67.599999999999994</v>
      </c>
      <c r="L70" s="6">
        <v>0.1</v>
      </c>
      <c r="M70" s="6">
        <v>96.2</v>
      </c>
      <c r="N70" s="6">
        <v>1.35</v>
      </c>
      <c r="O70" s="6">
        <v>36.799999999999997</v>
      </c>
    </row>
    <row r="71" spans="1:15" x14ac:dyDescent="0.25">
      <c r="A71" s="34" t="s">
        <v>126</v>
      </c>
      <c r="B71" s="14">
        <v>45745</v>
      </c>
      <c r="C71" s="6" t="s">
        <v>112</v>
      </c>
      <c r="D71" s="6" t="s">
        <v>102</v>
      </c>
      <c r="E71" s="6" t="s">
        <v>113</v>
      </c>
      <c r="F71" s="6">
        <v>179.4</v>
      </c>
      <c r="G71" s="6">
        <v>200.2</v>
      </c>
      <c r="H71" s="6">
        <v>132.5</v>
      </c>
      <c r="I71" s="6">
        <v>5.5</v>
      </c>
      <c r="J71" s="6">
        <v>-6.4</v>
      </c>
      <c r="K71" s="6">
        <v>40.200000000000003</v>
      </c>
      <c r="L71" s="6">
        <v>0.4</v>
      </c>
      <c r="M71" s="6">
        <v>94.6</v>
      </c>
      <c r="N71" s="6">
        <v>1.4</v>
      </c>
      <c r="O71" s="6">
        <v>26.5</v>
      </c>
    </row>
    <row r="72" spans="1:15" x14ac:dyDescent="0.25">
      <c r="A72" s="34" t="s">
        <v>126</v>
      </c>
      <c r="B72" s="14">
        <v>45745</v>
      </c>
      <c r="C72" s="6" t="s">
        <v>114</v>
      </c>
      <c r="D72" s="6" t="s">
        <v>102</v>
      </c>
      <c r="E72" s="6" t="s">
        <v>115</v>
      </c>
      <c r="F72" s="6">
        <v>221</v>
      </c>
      <c r="G72" s="6">
        <v>227.6</v>
      </c>
      <c r="H72" s="6">
        <v>138.69999999999999</v>
      </c>
      <c r="I72" s="6">
        <v>17.2</v>
      </c>
      <c r="J72" s="6">
        <v>-2.2000000000000002</v>
      </c>
      <c r="K72" s="6">
        <v>122.8</v>
      </c>
      <c r="L72" s="6">
        <v>39.200000000000003</v>
      </c>
      <c r="M72" s="6">
        <v>96.8</v>
      </c>
      <c r="N72" s="6">
        <v>1.43</v>
      </c>
      <c r="O72" s="6">
        <v>47.5</v>
      </c>
    </row>
    <row r="73" spans="1:15" x14ac:dyDescent="0.25">
      <c r="A73" s="34" t="s">
        <v>126</v>
      </c>
      <c r="B73" s="14">
        <v>45745</v>
      </c>
      <c r="C73" s="6" t="s">
        <v>114</v>
      </c>
      <c r="D73" s="6" t="s">
        <v>102</v>
      </c>
      <c r="E73" s="6" t="s">
        <v>115</v>
      </c>
      <c r="F73" s="6">
        <v>234.1</v>
      </c>
      <c r="G73" s="6">
        <v>242.9</v>
      </c>
      <c r="H73" s="6">
        <v>145</v>
      </c>
      <c r="I73" s="6">
        <v>14.9</v>
      </c>
      <c r="J73" s="6">
        <v>-4</v>
      </c>
      <c r="K73" s="6">
        <v>116.2</v>
      </c>
      <c r="L73" s="6">
        <v>14.1</v>
      </c>
      <c r="M73" s="6">
        <v>99</v>
      </c>
      <c r="N73" s="6">
        <v>1.46</v>
      </c>
      <c r="O73" s="6">
        <v>45.2</v>
      </c>
    </row>
    <row r="74" spans="1:15" x14ac:dyDescent="0.25">
      <c r="A74" s="34" t="s">
        <v>126</v>
      </c>
      <c r="B74" s="14">
        <v>45745</v>
      </c>
      <c r="C74" s="6" t="s">
        <v>114</v>
      </c>
      <c r="D74" s="6" t="s">
        <v>102</v>
      </c>
      <c r="E74" s="6" t="s">
        <v>115</v>
      </c>
      <c r="F74" s="6">
        <v>206.8</v>
      </c>
      <c r="G74" s="6">
        <v>218.8</v>
      </c>
      <c r="H74" s="6">
        <v>135.5</v>
      </c>
      <c r="I74" s="6">
        <v>10.7</v>
      </c>
      <c r="J74" s="6">
        <v>-7</v>
      </c>
      <c r="K74" s="6">
        <v>73.7</v>
      </c>
      <c r="L74" s="6">
        <v>23.8</v>
      </c>
      <c r="M74" s="6">
        <v>96.8</v>
      </c>
      <c r="N74" s="6">
        <v>1.4</v>
      </c>
      <c r="O74" s="6">
        <v>36.700000000000003</v>
      </c>
    </row>
    <row r="75" spans="1:15" x14ac:dyDescent="0.25">
      <c r="A75" s="34" t="s">
        <v>126</v>
      </c>
      <c r="B75" s="14">
        <v>45745</v>
      </c>
      <c r="C75" s="6" t="s">
        <v>114</v>
      </c>
      <c r="D75" s="6" t="s">
        <v>102</v>
      </c>
      <c r="E75" s="6" t="s">
        <v>115</v>
      </c>
      <c r="F75" s="6">
        <v>223.2</v>
      </c>
      <c r="G75" s="6">
        <v>234.1</v>
      </c>
      <c r="H75" s="6">
        <v>140.9</v>
      </c>
      <c r="I75" s="6">
        <v>13.2</v>
      </c>
      <c r="J75" s="6">
        <v>-7.2</v>
      </c>
      <c r="K75" s="6">
        <v>98.2</v>
      </c>
      <c r="L75" s="6">
        <v>3.9</v>
      </c>
      <c r="M75" s="6">
        <v>97.4</v>
      </c>
      <c r="N75" s="6">
        <v>1.45</v>
      </c>
      <c r="O75" s="6">
        <v>42.1</v>
      </c>
    </row>
    <row r="76" spans="1:15" x14ac:dyDescent="0.25">
      <c r="A76" s="34" t="s">
        <v>126</v>
      </c>
      <c r="B76" s="14">
        <v>45745</v>
      </c>
      <c r="C76" s="6" t="s">
        <v>116</v>
      </c>
      <c r="D76" s="6" t="s">
        <v>102</v>
      </c>
      <c r="E76" s="6" t="s">
        <v>115</v>
      </c>
      <c r="F76" s="6">
        <v>248.3</v>
      </c>
      <c r="G76" s="6">
        <v>258.2</v>
      </c>
      <c r="H76" s="6">
        <v>150</v>
      </c>
      <c r="I76" s="6">
        <v>12.6</v>
      </c>
      <c r="J76" s="6">
        <v>-2.7</v>
      </c>
      <c r="K76" s="6">
        <v>98.6</v>
      </c>
      <c r="L76" s="6">
        <v>42.6</v>
      </c>
      <c r="M76" s="6">
        <v>106.8</v>
      </c>
      <c r="N76" s="6">
        <v>1.4</v>
      </c>
      <c r="O76" s="6">
        <v>39.700000000000003</v>
      </c>
    </row>
    <row r="77" spans="1:15" x14ac:dyDescent="0.25">
      <c r="A77" s="34" t="s">
        <v>126</v>
      </c>
      <c r="B77" s="14">
        <v>45745</v>
      </c>
      <c r="C77" s="6" t="s">
        <v>116</v>
      </c>
      <c r="D77" s="6" t="s">
        <v>102</v>
      </c>
      <c r="E77" s="6" t="s">
        <v>115</v>
      </c>
      <c r="F77" s="6">
        <v>247.2</v>
      </c>
      <c r="G77" s="6">
        <v>270.2</v>
      </c>
      <c r="H77" s="6">
        <v>156.6</v>
      </c>
      <c r="I77" s="6">
        <v>8.4</v>
      </c>
      <c r="J77" s="6">
        <v>-3.6</v>
      </c>
      <c r="K77" s="6">
        <v>71.7</v>
      </c>
      <c r="L77" s="6">
        <v>-13.2</v>
      </c>
      <c r="M77" s="6">
        <v>107.2</v>
      </c>
      <c r="N77" s="6">
        <v>1.46</v>
      </c>
      <c r="O77" s="6">
        <v>32.200000000000003</v>
      </c>
    </row>
    <row r="78" spans="1:15" x14ac:dyDescent="0.25">
      <c r="A78" s="34" t="s">
        <v>126</v>
      </c>
      <c r="B78" s="14">
        <v>45745</v>
      </c>
      <c r="C78" s="6" t="s">
        <v>116</v>
      </c>
      <c r="D78" s="6" t="s">
        <v>102</v>
      </c>
      <c r="E78" s="6" t="s">
        <v>115</v>
      </c>
      <c r="F78" s="6">
        <v>227.6</v>
      </c>
      <c r="G78" s="6">
        <v>237.4</v>
      </c>
      <c r="H78" s="6">
        <v>141.1</v>
      </c>
      <c r="I78" s="6">
        <v>14.3</v>
      </c>
      <c r="J78" s="6">
        <v>-5.0999999999999996</v>
      </c>
      <c r="K78" s="6">
        <v>102.7</v>
      </c>
      <c r="L78" s="6">
        <v>-0.1</v>
      </c>
      <c r="M78" s="6">
        <v>105.7</v>
      </c>
      <c r="N78" s="6">
        <v>1.33</v>
      </c>
      <c r="O78" s="6">
        <v>42.5</v>
      </c>
    </row>
    <row r="79" spans="1:15" x14ac:dyDescent="0.25">
      <c r="A79" s="34" t="s">
        <v>126</v>
      </c>
      <c r="B79" s="14">
        <v>45745</v>
      </c>
      <c r="C79" s="6" t="s">
        <v>116</v>
      </c>
      <c r="D79" s="6" t="s">
        <v>102</v>
      </c>
      <c r="E79" s="6" t="s">
        <v>115</v>
      </c>
      <c r="F79" s="6">
        <v>252.7</v>
      </c>
      <c r="G79" s="6">
        <v>262.60000000000002</v>
      </c>
      <c r="H79" s="6">
        <v>152.1</v>
      </c>
      <c r="I79" s="6">
        <v>13.1</v>
      </c>
      <c r="J79" s="6">
        <v>0.3</v>
      </c>
      <c r="K79" s="6">
        <v>104.9</v>
      </c>
      <c r="L79" s="6">
        <v>56.1</v>
      </c>
      <c r="M79" s="6">
        <v>107.3</v>
      </c>
      <c r="N79" s="6">
        <v>1.42</v>
      </c>
      <c r="O79" s="6">
        <v>40.799999999999997</v>
      </c>
    </row>
    <row r="80" spans="1:15" x14ac:dyDescent="0.25">
      <c r="A80" s="34" t="s">
        <v>126</v>
      </c>
      <c r="B80" s="14">
        <v>45745</v>
      </c>
      <c r="C80" s="6" t="s">
        <v>116</v>
      </c>
      <c r="D80" s="6" t="s">
        <v>102</v>
      </c>
      <c r="E80" s="6" t="s">
        <v>115</v>
      </c>
      <c r="F80" s="6">
        <v>240.7</v>
      </c>
      <c r="G80" s="6">
        <v>248.3</v>
      </c>
      <c r="H80" s="6">
        <v>146.69999999999999</v>
      </c>
      <c r="I80" s="6">
        <v>15.9</v>
      </c>
      <c r="J80" s="6">
        <v>1.8</v>
      </c>
      <c r="K80" s="6">
        <v>123.5</v>
      </c>
      <c r="L80" s="6">
        <v>53.8</v>
      </c>
      <c r="M80" s="6">
        <v>106.8</v>
      </c>
      <c r="N80" s="6">
        <v>1.37</v>
      </c>
      <c r="O80" s="6">
        <v>45.8</v>
      </c>
    </row>
    <row r="81" spans="1:15" x14ac:dyDescent="0.25">
      <c r="A81" s="34" t="s">
        <v>126</v>
      </c>
      <c r="B81" s="14">
        <v>45745</v>
      </c>
      <c r="C81" s="6" t="s">
        <v>116</v>
      </c>
      <c r="D81" s="6" t="s">
        <v>102</v>
      </c>
      <c r="E81" s="6" t="s">
        <v>115</v>
      </c>
      <c r="F81" s="6">
        <v>236.3</v>
      </c>
      <c r="G81" s="6">
        <v>249.4</v>
      </c>
      <c r="H81" s="6">
        <v>149.4</v>
      </c>
      <c r="I81" s="6">
        <v>8.6999999999999993</v>
      </c>
      <c r="J81" s="6">
        <v>-6.4</v>
      </c>
      <c r="K81" s="6">
        <v>70.900000000000006</v>
      </c>
      <c r="L81" s="6">
        <v>8.9</v>
      </c>
      <c r="M81" s="6">
        <v>107.3</v>
      </c>
      <c r="N81" s="6">
        <v>1.39</v>
      </c>
      <c r="O81" s="6">
        <v>33.299999999999997</v>
      </c>
    </row>
    <row r="82" spans="1:15" x14ac:dyDescent="0.25">
      <c r="A82" s="34" t="s">
        <v>126</v>
      </c>
      <c r="B82" s="14">
        <v>45745</v>
      </c>
      <c r="C82" s="6" t="s">
        <v>116</v>
      </c>
      <c r="D82" s="6" t="s">
        <v>102</v>
      </c>
      <c r="E82" s="6" t="s">
        <v>115</v>
      </c>
      <c r="F82" s="6">
        <v>249.4</v>
      </c>
      <c r="G82" s="6">
        <v>260.39999999999998</v>
      </c>
      <c r="H82" s="6">
        <v>150.80000000000001</v>
      </c>
      <c r="I82" s="6">
        <v>12.4</v>
      </c>
      <c r="J82" s="6">
        <v>-3.5</v>
      </c>
      <c r="K82" s="6">
        <v>96.9</v>
      </c>
      <c r="L82" s="6">
        <v>39.799999999999997</v>
      </c>
      <c r="M82" s="6">
        <v>106.2</v>
      </c>
      <c r="N82" s="6">
        <v>1.42</v>
      </c>
      <c r="O82" s="6">
        <v>39.1</v>
      </c>
    </row>
    <row r="83" spans="1:15" x14ac:dyDescent="0.25">
      <c r="A83" s="34" t="s">
        <v>126</v>
      </c>
      <c r="B83" s="14">
        <v>45745</v>
      </c>
      <c r="C83" s="6" t="s">
        <v>116</v>
      </c>
      <c r="D83" s="6" t="s">
        <v>102</v>
      </c>
      <c r="E83" s="6" t="s">
        <v>115</v>
      </c>
      <c r="F83" s="6">
        <v>250.5</v>
      </c>
      <c r="G83" s="6">
        <v>260.39999999999998</v>
      </c>
      <c r="H83" s="6">
        <v>151.5</v>
      </c>
      <c r="I83" s="6">
        <v>12.7</v>
      </c>
      <c r="J83" s="6">
        <v>1.6</v>
      </c>
      <c r="K83" s="6">
        <v>101.8</v>
      </c>
      <c r="L83" s="6">
        <v>55.1</v>
      </c>
      <c r="M83" s="6">
        <v>107.3</v>
      </c>
      <c r="N83" s="6">
        <v>1.41</v>
      </c>
      <c r="O83" s="6">
        <v>40.299999999999997</v>
      </c>
    </row>
    <row r="84" spans="1:15" x14ac:dyDescent="0.25">
      <c r="A84" s="34" t="s">
        <v>126</v>
      </c>
      <c r="B84" s="14">
        <v>45745</v>
      </c>
      <c r="C84" s="6" t="s">
        <v>116</v>
      </c>
      <c r="D84" s="6" t="s">
        <v>102</v>
      </c>
      <c r="E84" s="6" t="s">
        <v>115</v>
      </c>
      <c r="F84" s="6">
        <v>242.9</v>
      </c>
      <c r="G84" s="6">
        <v>253.8</v>
      </c>
      <c r="H84" s="6">
        <v>148</v>
      </c>
      <c r="I84" s="6">
        <v>13.4</v>
      </c>
      <c r="J84" s="6">
        <v>-3.1</v>
      </c>
      <c r="K84" s="6">
        <v>102.2</v>
      </c>
      <c r="L84" s="6">
        <v>-10.6</v>
      </c>
      <c r="M84" s="6">
        <v>106.8</v>
      </c>
      <c r="N84" s="6">
        <v>1.39</v>
      </c>
      <c r="O84" s="6">
        <v>40.799999999999997</v>
      </c>
    </row>
    <row r="85" spans="1:15" x14ac:dyDescent="0.25">
      <c r="A85" s="34" t="s">
        <v>126</v>
      </c>
      <c r="B85" s="14">
        <v>45745</v>
      </c>
      <c r="C85" s="6" t="s">
        <v>116</v>
      </c>
      <c r="D85" s="6" t="s">
        <v>102</v>
      </c>
      <c r="E85" s="6" t="s">
        <v>115</v>
      </c>
      <c r="F85" s="6">
        <v>240.7</v>
      </c>
      <c r="G85" s="6">
        <v>250.5</v>
      </c>
      <c r="H85" s="6">
        <v>146.1</v>
      </c>
      <c r="I85" s="6">
        <v>13.7</v>
      </c>
      <c r="J85" s="6">
        <v>-2.2999999999999998</v>
      </c>
      <c r="K85" s="6">
        <v>101.2</v>
      </c>
      <c r="L85" s="6">
        <v>44.8</v>
      </c>
      <c r="M85" s="6">
        <v>104.6</v>
      </c>
      <c r="N85" s="6">
        <v>1.4</v>
      </c>
      <c r="O85" s="6">
        <v>40.700000000000003</v>
      </c>
    </row>
    <row r="86" spans="1:15" x14ac:dyDescent="0.25">
      <c r="A86" s="34" t="s">
        <v>126</v>
      </c>
      <c r="B86" s="14">
        <v>45745</v>
      </c>
      <c r="C86" s="6" t="s">
        <v>116</v>
      </c>
      <c r="D86" s="6" t="s">
        <v>102</v>
      </c>
      <c r="E86" s="6" t="s">
        <v>115</v>
      </c>
      <c r="F86" s="6">
        <v>248.3</v>
      </c>
      <c r="G86" s="6">
        <v>265.8</v>
      </c>
      <c r="H86" s="6">
        <v>150.80000000000001</v>
      </c>
      <c r="I86" s="6">
        <v>12.9</v>
      </c>
      <c r="J86" s="6">
        <v>-1</v>
      </c>
      <c r="K86" s="6">
        <v>101.9</v>
      </c>
      <c r="L86" s="6">
        <v>52.5</v>
      </c>
      <c r="M86" s="6">
        <v>106.8</v>
      </c>
      <c r="N86" s="6">
        <v>1.41</v>
      </c>
      <c r="O86" s="6">
        <v>40.299999999999997</v>
      </c>
    </row>
    <row r="87" spans="1:15" x14ac:dyDescent="0.25">
      <c r="A87" s="34" t="s">
        <v>126</v>
      </c>
      <c r="B87" s="14">
        <v>45745</v>
      </c>
      <c r="C87" s="6" t="s">
        <v>116</v>
      </c>
      <c r="D87" s="6" t="s">
        <v>102</v>
      </c>
      <c r="E87" s="6" t="s">
        <v>115</v>
      </c>
      <c r="F87" s="6">
        <v>225.4</v>
      </c>
      <c r="G87" s="6">
        <v>237.4</v>
      </c>
      <c r="H87" s="6">
        <v>145.30000000000001</v>
      </c>
      <c r="I87" s="6">
        <v>9</v>
      </c>
      <c r="J87" s="6">
        <v>-11.3</v>
      </c>
      <c r="K87" s="6">
        <v>68.5</v>
      </c>
      <c r="L87" s="6">
        <v>-8.4</v>
      </c>
      <c r="M87" s="6">
        <v>104.6</v>
      </c>
      <c r="N87" s="6">
        <v>1.39</v>
      </c>
      <c r="O87" s="6">
        <v>33</v>
      </c>
    </row>
    <row r="88" spans="1:15" x14ac:dyDescent="0.25">
      <c r="A88" s="34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4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4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4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4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4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4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4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4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4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4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4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4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4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4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4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4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4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4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4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4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4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4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4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4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4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4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4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4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4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4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4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4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4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4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4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4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4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4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4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4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4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4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4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4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4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4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4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4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4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4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4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4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4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4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4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4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4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4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4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4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4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4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4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4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4" t="s">
        <v>126</v>
      </c>
      <c r="B153" s="8">
        <v>45671</v>
      </c>
      <c r="C153" s="7" t="s">
        <v>117</v>
      </c>
      <c r="D153" s="7" t="s">
        <v>118</v>
      </c>
      <c r="E153" s="7" t="s">
        <v>119</v>
      </c>
      <c r="F153" s="7">
        <v>163</v>
      </c>
      <c r="G153" s="7">
        <v>173.9</v>
      </c>
      <c r="H153" s="7">
        <v>116.9</v>
      </c>
      <c r="I153" s="7">
        <v>23.9</v>
      </c>
      <c r="J153" s="7">
        <v>3.7</v>
      </c>
      <c r="K153" s="7">
        <v>122.1</v>
      </c>
      <c r="L153" s="7">
        <v>15.2</v>
      </c>
      <c r="M153" s="7">
        <v>93.5</v>
      </c>
      <c r="N153" s="7">
        <v>1.25</v>
      </c>
      <c r="O153" s="7">
        <v>53</v>
      </c>
    </row>
    <row r="154" spans="1:15" x14ac:dyDescent="0.25">
      <c r="A154" s="34" t="s">
        <v>126</v>
      </c>
      <c r="B154" s="8">
        <v>45671</v>
      </c>
      <c r="C154" s="7" t="s">
        <v>117</v>
      </c>
      <c r="D154" s="7" t="s">
        <v>118</v>
      </c>
      <c r="E154" s="7" t="s">
        <v>119</v>
      </c>
      <c r="F154" s="7">
        <v>171.8</v>
      </c>
      <c r="G154" s="7">
        <v>176.1</v>
      </c>
      <c r="H154" s="7">
        <v>119.3</v>
      </c>
      <c r="I154" s="7">
        <v>21.7</v>
      </c>
      <c r="J154" s="7">
        <v>-2.2000000000000002</v>
      </c>
      <c r="K154" s="7">
        <v>116.1</v>
      </c>
      <c r="L154" s="7">
        <v>-6.5</v>
      </c>
      <c r="M154" s="7">
        <v>93.5</v>
      </c>
      <c r="N154" s="7">
        <v>1.28</v>
      </c>
      <c r="O154" s="7">
        <v>51</v>
      </c>
    </row>
    <row r="155" spans="1:15" x14ac:dyDescent="0.25">
      <c r="A155" s="34" t="s">
        <v>126</v>
      </c>
      <c r="B155" s="8">
        <v>45671</v>
      </c>
      <c r="C155" s="7" t="s">
        <v>117</v>
      </c>
      <c r="D155" s="7" t="s">
        <v>118</v>
      </c>
      <c r="E155" s="7" t="s">
        <v>119</v>
      </c>
      <c r="F155" s="7">
        <v>160.80000000000001</v>
      </c>
      <c r="G155" s="7">
        <v>167.4</v>
      </c>
      <c r="H155" s="7">
        <v>114.3</v>
      </c>
      <c r="I155" s="7">
        <v>21.6</v>
      </c>
      <c r="J155" s="7">
        <v>0.7</v>
      </c>
      <c r="K155" s="7">
        <v>105.5</v>
      </c>
      <c r="L155" s="7">
        <v>4</v>
      </c>
      <c r="M155" s="7">
        <v>94</v>
      </c>
      <c r="N155" s="7">
        <v>1.22</v>
      </c>
      <c r="O155" s="7">
        <v>49.9</v>
      </c>
    </row>
    <row r="156" spans="1:15" x14ac:dyDescent="0.25">
      <c r="A156" s="34" t="s">
        <v>126</v>
      </c>
      <c r="B156" s="8">
        <v>45671</v>
      </c>
      <c r="C156" s="7" t="s">
        <v>117</v>
      </c>
      <c r="D156" s="7" t="s">
        <v>118</v>
      </c>
      <c r="E156" s="7" t="s">
        <v>119</v>
      </c>
      <c r="F156" s="7">
        <v>166.3</v>
      </c>
      <c r="G156" s="7">
        <v>170.7</v>
      </c>
      <c r="H156" s="7">
        <v>117.9</v>
      </c>
      <c r="I156" s="7">
        <v>25</v>
      </c>
      <c r="J156" s="7">
        <v>2.9</v>
      </c>
      <c r="K156" s="7">
        <v>130</v>
      </c>
      <c r="L156" s="7">
        <v>7</v>
      </c>
      <c r="M156" s="7">
        <v>94</v>
      </c>
      <c r="N156" s="7">
        <v>1.25</v>
      </c>
      <c r="O156" s="7">
        <v>54.3</v>
      </c>
    </row>
    <row r="157" spans="1:15" x14ac:dyDescent="0.25">
      <c r="A157" s="34" t="s">
        <v>126</v>
      </c>
      <c r="B157" s="8">
        <v>45671</v>
      </c>
      <c r="C157" s="7" t="s">
        <v>117</v>
      </c>
      <c r="D157" s="7" t="s">
        <v>118</v>
      </c>
      <c r="E157" s="7" t="s">
        <v>119</v>
      </c>
      <c r="F157" s="7">
        <v>175</v>
      </c>
      <c r="G157" s="7">
        <v>179.4</v>
      </c>
      <c r="H157" s="7">
        <v>121.5</v>
      </c>
      <c r="I157" s="7">
        <v>23.5</v>
      </c>
      <c r="J157" s="7">
        <v>-2</v>
      </c>
      <c r="K157" s="7">
        <v>130.4</v>
      </c>
      <c r="L157" s="7">
        <v>-0.1</v>
      </c>
      <c r="M157" s="7">
        <v>90.9</v>
      </c>
      <c r="N157" s="7">
        <v>1.34</v>
      </c>
      <c r="O157" s="7">
        <v>53.6</v>
      </c>
    </row>
    <row r="158" spans="1:15" x14ac:dyDescent="0.25">
      <c r="A158" s="34" t="s">
        <v>126</v>
      </c>
      <c r="B158" s="8">
        <v>45671</v>
      </c>
      <c r="C158" s="7" t="s">
        <v>117</v>
      </c>
      <c r="D158" s="7" t="s">
        <v>118</v>
      </c>
      <c r="E158" s="7" t="s">
        <v>119</v>
      </c>
      <c r="F158" s="7">
        <v>163</v>
      </c>
      <c r="G158" s="7">
        <v>167.4</v>
      </c>
      <c r="H158" s="7">
        <v>115.1</v>
      </c>
      <c r="I158" s="7">
        <v>21.8</v>
      </c>
      <c r="J158" s="7">
        <v>-2.4</v>
      </c>
      <c r="K158" s="7">
        <v>108</v>
      </c>
      <c r="L158" s="7">
        <v>-17.399999999999999</v>
      </c>
      <c r="M158" s="7">
        <v>94.6</v>
      </c>
      <c r="N158" s="7">
        <v>1.22</v>
      </c>
      <c r="O158" s="7">
        <v>50.3</v>
      </c>
    </row>
    <row r="159" spans="1:15" x14ac:dyDescent="0.25">
      <c r="A159" s="34" t="s">
        <v>126</v>
      </c>
      <c r="B159" s="8">
        <v>45671</v>
      </c>
      <c r="C159" s="7" t="s">
        <v>117</v>
      </c>
      <c r="D159" s="7" t="s">
        <v>118</v>
      </c>
      <c r="E159" s="7" t="s">
        <v>119</v>
      </c>
      <c r="F159" s="7">
        <v>145.5</v>
      </c>
      <c r="G159" s="7">
        <v>151</v>
      </c>
      <c r="H159" s="7">
        <v>105</v>
      </c>
      <c r="I159" s="7">
        <v>23.1</v>
      </c>
      <c r="J159" s="7">
        <v>-0.5</v>
      </c>
      <c r="K159" s="7">
        <v>93</v>
      </c>
      <c r="L159" s="7">
        <v>-2.5</v>
      </c>
      <c r="M159" s="7">
        <v>92.4</v>
      </c>
      <c r="N159" s="7">
        <v>1.1399999999999999</v>
      </c>
      <c r="O159" s="7">
        <v>48.6</v>
      </c>
    </row>
    <row r="160" spans="1:15" x14ac:dyDescent="0.25">
      <c r="A160" s="34" t="s">
        <v>126</v>
      </c>
      <c r="B160" s="8">
        <v>45671</v>
      </c>
      <c r="C160" s="7" t="s">
        <v>117</v>
      </c>
      <c r="D160" s="7" t="s">
        <v>118</v>
      </c>
      <c r="E160" s="7" t="s">
        <v>119</v>
      </c>
      <c r="F160" s="7">
        <v>167.4</v>
      </c>
      <c r="G160" s="7">
        <v>171.8</v>
      </c>
      <c r="H160" s="7">
        <v>118.1</v>
      </c>
      <c r="I160" s="7">
        <v>24.7</v>
      </c>
      <c r="J160" s="7">
        <v>-0.3</v>
      </c>
      <c r="K160" s="7">
        <v>129.1</v>
      </c>
      <c r="L160" s="7">
        <v>-3.7</v>
      </c>
      <c r="M160" s="7">
        <v>90.9</v>
      </c>
      <c r="N160" s="7">
        <v>1.3</v>
      </c>
      <c r="O160" s="7">
        <v>53.9</v>
      </c>
    </row>
    <row r="161" spans="1:15" x14ac:dyDescent="0.25">
      <c r="A161" s="34" t="s">
        <v>126</v>
      </c>
      <c r="B161" s="8">
        <v>45671</v>
      </c>
      <c r="C161" s="7" t="s">
        <v>117</v>
      </c>
      <c r="D161" s="7" t="s">
        <v>118</v>
      </c>
      <c r="E161" s="7" t="s">
        <v>119</v>
      </c>
      <c r="F161" s="7">
        <v>161.9</v>
      </c>
      <c r="G161" s="7">
        <v>171.8</v>
      </c>
      <c r="H161" s="7">
        <v>114.1</v>
      </c>
      <c r="I161" s="7">
        <v>13.7</v>
      </c>
      <c r="J161" s="7">
        <v>-1.4</v>
      </c>
      <c r="K161" s="7">
        <v>64.900000000000006</v>
      </c>
      <c r="L161" s="7">
        <v>-12.6</v>
      </c>
      <c r="M161" s="7">
        <v>95.1</v>
      </c>
      <c r="N161" s="7">
        <v>1.2</v>
      </c>
      <c r="O161" s="7">
        <v>38.299999999999997</v>
      </c>
    </row>
    <row r="162" spans="1:15" x14ac:dyDescent="0.25">
      <c r="A162" s="34" t="s">
        <v>126</v>
      </c>
      <c r="B162" s="8">
        <v>45671</v>
      </c>
      <c r="C162" s="7" t="s">
        <v>117</v>
      </c>
      <c r="D162" s="7" t="s">
        <v>118</v>
      </c>
      <c r="E162" s="7" t="s">
        <v>119</v>
      </c>
      <c r="F162" s="7">
        <v>118.2</v>
      </c>
      <c r="G162" s="7">
        <v>126.9</v>
      </c>
      <c r="H162" s="7">
        <v>90.6</v>
      </c>
      <c r="I162" s="7">
        <v>20.399999999999999</v>
      </c>
      <c r="J162" s="7">
        <v>-1.4</v>
      </c>
      <c r="K162" s="7">
        <v>56.5</v>
      </c>
      <c r="L162" s="7">
        <v>-19.3</v>
      </c>
      <c r="M162" s="7">
        <v>87.4</v>
      </c>
      <c r="N162" s="7">
        <v>1.04</v>
      </c>
      <c r="O162" s="7">
        <v>39.700000000000003</v>
      </c>
    </row>
    <row r="163" spans="1:15" x14ac:dyDescent="0.25">
      <c r="A163" s="34" t="s">
        <v>126</v>
      </c>
      <c r="B163" s="8">
        <v>45671</v>
      </c>
      <c r="C163" s="7" t="s">
        <v>107</v>
      </c>
      <c r="D163" s="7" t="s">
        <v>102</v>
      </c>
      <c r="E163" s="7" t="s">
        <v>106</v>
      </c>
      <c r="F163" s="7">
        <v>147.69999999999999</v>
      </c>
      <c r="G163" s="7">
        <v>154.30000000000001</v>
      </c>
      <c r="H163" s="7">
        <v>105.9</v>
      </c>
      <c r="I163" s="7">
        <v>18.600000000000001</v>
      </c>
      <c r="J163" s="7">
        <v>-4.2</v>
      </c>
      <c r="K163" s="7">
        <v>74.8</v>
      </c>
      <c r="L163" s="7">
        <v>-10.5</v>
      </c>
      <c r="M163" s="7">
        <v>85.3</v>
      </c>
      <c r="N163" s="7">
        <v>1.24</v>
      </c>
      <c r="O163" s="7">
        <v>43</v>
      </c>
    </row>
    <row r="164" spans="1:15" x14ac:dyDescent="0.25">
      <c r="A164" s="34" t="s">
        <v>126</v>
      </c>
      <c r="B164" s="8">
        <v>45671</v>
      </c>
      <c r="C164" s="7" t="s">
        <v>107</v>
      </c>
      <c r="D164" s="7" t="s">
        <v>102</v>
      </c>
      <c r="E164" s="7" t="s">
        <v>106</v>
      </c>
      <c r="F164" s="7">
        <v>145.5</v>
      </c>
      <c r="G164" s="7">
        <v>149.9</v>
      </c>
      <c r="H164" s="7">
        <v>105.5</v>
      </c>
      <c r="I164" s="7">
        <v>27</v>
      </c>
      <c r="J164" s="7">
        <v>3.8</v>
      </c>
      <c r="K164" s="7">
        <v>111</v>
      </c>
      <c r="L164" s="7">
        <v>9.3000000000000007</v>
      </c>
      <c r="M164" s="7">
        <v>85.1</v>
      </c>
      <c r="N164" s="7">
        <v>1.24</v>
      </c>
      <c r="O164" s="7">
        <v>52.7</v>
      </c>
    </row>
    <row r="165" spans="1:15" x14ac:dyDescent="0.25">
      <c r="A165" s="34" t="s">
        <v>126</v>
      </c>
      <c r="B165" s="8">
        <v>45671</v>
      </c>
      <c r="C165" s="7" t="s">
        <v>107</v>
      </c>
      <c r="D165" s="7" t="s">
        <v>102</v>
      </c>
      <c r="E165" s="7" t="s">
        <v>106</v>
      </c>
      <c r="F165" s="7">
        <v>153.19999999999999</v>
      </c>
      <c r="G165" s="7">
        <v>157.5</v>
      </c>
      <c r="H165" s="7">
        <v>109.7</v>
      </c>
      <c r="I165" s="7">
        <v>26.8</v>
      </c>
      <c r="J165" s="7">
        <v>-2.2999999999999998</v>
      </c>
      <c r="K165" s="7">
        <v>119.5</v>
      </c>
      <c r="L165" s="7">
        <v>-14.4</v>
      </c>
      <c r="M165" s="7">
        <v>85.1</v>
      </c>
      <c r="N165" s="7">
        <v>1.29</v>
      </c>
      <c r="O165" s="7">
        <v>53.7</v>
      </c>
    </row>
    <row r="166" spans="1:15" x14ac:dyDescent="0.25">
      <c r="A166" s="34" t="s">
        <v>126</v>
      </c>
      <c r="B166" s="8">
        <v>45671</v>
      </c>
      <c r="C166" s="7" t="s">
        <v>107</v>
      </c>
      <c r="D166" s="7" t="s">
        <v>102</v>
      </c>
      <c r="E166" s="7" t="s">
        <v>106</v>
      </c>
      <c r="F166" s="7">
        <v>133.5</v>
      </c>
      <c r="G166" s="7">
        <v>153.19999999999999</v>
      </c>
      <c r="H166" s="7">
        <v>112.7</v>
      </c>
      <c r="I166" s="7">
        <v>5.2</v>
      </c>
      <c r="J166" s="7">
        <v>7.5</v>
      </c>
      <c r="K166" s="7">
        <v>20.100000000000001</v>
      </c>
      <c r="L166" s="7">
        <v>35.6</v>
      </c>
      <c r="M166" s="7">
        <v>88.5</v>
      </c>
      <c r="N166" s="7">
        <v>1.27</v>
      </c>
      <c r="O166" s="7">
        <v>17.399999999999999</v>
      </c>
    </row>
    <row r="167" spans="1:15" x14ac:dyDescent="0.25">
      <c r="A167" s="34" t="s">
        <v>126</v>
      </c>
      <c r="B167" s="8">
        <v>45671</v>
      </c>
      <c r="C167" s="7" t="s">
        <v>107</v>
      </c>
      <c r="D167" s="7" t="s">
        <v>102</v>
      </c>
      <c r="E167" s="7" t="s">
        <v>106</v>
      </c>
      <c r="F167" s="7">
        <v>124.7</v>
      </c>
      <c r="G167" s="7">
        <v>132.4</v>
      </c>
      <c r="H167" s="7">
        <v>94</v>
      </c>
      <c r="I167" s="7">
        <v>19.399999999999999</v>
      </c>
      <c r="J167" s="7">
        <v>4.4000000000000004</v>
      </c>
      <c r="K167" s="7">
        <v>58.3</v>
      </c>
      <c r="L167" s="7">
        <v>9.6999999999999993</v>
      </c>
      <c r="M167" s="7">
        <v>81.2</v>
      </c>
      <c r="N167" s="7">
        <v>1.1599999999999999</v>
      </c>
      <c r="O167" s="7">
        <v>39.700000000000003</v>
      </c>
    </row>
    <row r="168" spans="1:15" x14ac:dyDescent="0.25">
      <c r="A168" s="34" t="s">
        <v>126</v>
      </c>
      <c r="B168" s="8">
        <v>45670</v>
      </c>
      <c r="C168" s="7" t="s">
        <v>97</v>
      </c>
      <c r="D168" s="7" t="s">
        <v>98</v>
      </c>
      <c r="E168" s="7" t="s">
        <v>99</v>
      </c>
      <c r="F168" s="7">
        <v>72.2</v>
      </c>
      <c r="G168" s="7">
        <v>76.599999999999994</v>
      </c>
      <c r="H168" s="7">
        <v>64.3</v>
      </c>
      <c r="I168" s="7">
        <v>36</v>
      </c>
      <c r="J168" s="7">
        <v>6.3</v>
      </c>
      <c r="K168" s="7">
        <v>53.5</v>
      </c>
      <c r="L168" s="7">
        <v>8.8000000000000007</v>
      </c>
      <c r="M168" s="7">
        <v>79</v>
      </c>
      <c r="N168" s="7">
        <v>0.81</v>
      </c>
      <c r="O168" s="7">
        <v>48.2</v>
      </c>
    </row>
    <row r="169" spans="1:15" x14ac:dyDescent="0.25">
      <c r="A169" s="34" t="s">
        <v>126</v>
      </c>
      <c r="B169" s="8">
        <v>45670</v>
      </c>
      <c r="C169" s="7" t="s">
        <v>97</v>
      </c>
      <c r="D169" s="7" t="s">
        <v>98</v>
      </c>
      <c r="E169" s="7" t="s">
        <v>99</v>
      </c>
      <c r="F169" s="7">
        <v>86.4</v>
      </c>
      <c r="G169" s="7">
        <v>94.1</v>
      </c>
      <c r="H169" s="7">
        <v>73.2</v>
      </c>
      <c r="I169" s="7">
        <v>26.7</v>
      </c>
      <c r="J169" s="7">
        <v>-4.4000000000000004</v>
      </c>
      <c r="K169" s="7">
        <v>47.9</v>
      </c>
      <c r="L169" s="7">
        <v>-6.2</v>
      </c>
      <c r="M169" s="7">
        <v>81.2</v>
      </c>
      <c r="N169" s="7">
        <v>0.9</v>
      </c>
      <c r="O169" s="7">
        <v>41.4</v>
      </c>
    </row>
    <row r="170" spans="1:15" x14ac:dyDescent="0.25">
      <c r="A170" s="34" t="s">
        <v>126</v>
      </c>
      <c r="B170" s="8">
        <v>45670</v>
      </c>
      <c r="C170" s="7" t="s">
        <v>97</v>
      </c>
      <c r="D170" s="7" t="s">
        <v>98</v>
      </c>
      <c r="E170" s="7" t="s">
        <v>99</v>
      </c>
      <c r="F170" s="7">
        <v>63.5</v>
      </c>
      <c r="G170" s="7">
        <v>65.599999999999994</v>
      </c>
      <c r="H170" s="7">
        <v>63.1</v>
      </c>
      <c r="I170" s="7">
        <v>50.3</v>
      </c>
      <c r="J170" s="7">
        <v>-0.8</v>
      </c>
      <c r="K170" s="7">
        <v>77.400000000000006</v>
      </c>
      <c r="L170" s="7">
        <v>-3.6</v>
      </c>
      <c r="M170" s="7">
        <v>80.099999999999994</v>
      </c>
      <c r="N170" s="7">
        <v>0.79</v>
      </c>
      <c r="O170" s="7">
        <v>61.7</v>
      </c>
    </row>
    <row r="171" spans="1:15" x14ac:dyDescent="0.25">
      <c r="A171" s="34" t="s">
        <v>126</v>
      </c>
      <c r="B171" s="8">
        <v>45670</v>
      </c>
      <c r="C171" s="7" t="s">
        <v>97</v>
      </c>
      <c r="D171" s="7" t="s">
        <v>98</v>
      </c>
      <c r="E171" s="7" t="s">
        <v>99</v>
      </c>
      <c r="F171" s="7">
        <v>60.2</v>
      </c>
      <c r="G171" s="7">
        <v>63.5</v>
      </c>
      <c r="H171" s="7">
        <v>61.4</v>
      </c>
      <c r="I171" s="7">
        <v>50</v>
      </c>
      <c r="J171" s="7">
        <v>4.3</v>
      </c>
      <c r="K171" s="7">
        <v>73.2</v>
      </c>
      <c r="L171" s="7">
        <v>3.5</v>
      </c>
      <c r="M171" s="7">
        <v>79</v>
      </c>
      <c r="N171" s="7">
        <v>0.78</v>
      </c>
      <c r="O171" s="7">
        <v>60.9</v>
      </c>
    </row>
    <row r="172" spans="1:15" x14ac:dyDescent="0.25">
      <c r="A172" s="34" t="s">
        <v>126</v>
      </c>
      <c r="B172" s="8">
        <v>45670</v>
      </c>
      <c r="C172" s="7" t="s">
        <v>97</v>
      </c>
      <c r="D172" s="7" t="s">
        <v>98</v>
      </c>
      <c r="E172" s="7" t="s">
        <v>99</v>
      </c>
      <c r="F172" s="7">
        <v>62.4</v>
      </c>
      <c r="G172" s="7">
        <v>64.5</v>
      </c>
      <c r="H172" s="7">
        <v>67.400000000000006</v>
      </c>
      <c r="I172" s="7">
        <v>54.5</v>
      </c>
      <c r="J172" s="7">
        <v>-3.3</v>
      </c>
      <c r="K172" s="7">
        <v>95</v>
      </c>
      <c r="L172" s="7">
        <v>-3.4</v>
      </c>
      <c r="M172" s="7">
        <v>76.8</v>
      </c>
      <c r="N172" s="7">
        <v>0.88</v>
      </c>
      <c r="O172" s="7">
        <v>68.2</v>
      </c>
    </row>
    <row r="173" spans="1:15" x14ac:dyDescent="0.25">
      <c r="A173" s="34" t="s">
        <v>126</v>
      </c>
      <c r="B173" s="8">
        <v>45670</v>
      </c>
      <c r="C173" s="7" t="s">
        <v>100</v>
      </c>
      <c r="D173" s="7" t="s">
        <v>98</v>
      </c>
      <c r="E173" s="7" t="s">
        <v>99</v>
      </c>
      <c r="F173" s="7">
        <v>110.5</v>
      </c>
      <c r="G173" s="7">
        <v>132.4</v>
      </c>
      <c r="H173" s="7">
        <v>102</v>
      </c>
      <c r="I173" s="7">
        <v>5.9</v>
      </c>
      <c r="J173" s="7">
        <v>-7.1</v>
      </c>
      <c r="K173" s="7">
        <v>16</v>
      </c>
      <c r="L173" s="7">
        <v>-13.6</v>
      </c>
      <c r="M173" s="7">
        <v>81.8</v>
      </c>
      <c r="N173" s="7">
        <v>1.25</v>
      </c>
      <c r="O173" s="7">
        <v>15.9</v>
      </c>
    </row>
    <row r="174" spans="1:15" x14ac:dyDescent="0.25">
      <c r="A174" s="34" t="s">
        <v>126</v>
      </c>
      <c r="B174" s="8">
        <v>45670</v>
      </c>
      <c r="C174" s="7" t="s">
        <v>100</v>
      </c>
      <c r="D174" s="7" t="s">
        <v>98</v>
      </c>
      <c r="E174" s="7" t="s">
        <v>99</v>
      </c>
      <c r="F174" s="7">
        <v>83.1</v>
      </c>
      <c r="G174" s="7">
        <v>86.4</v>
      </c>
      <c r="H174" s="7">
        <v>72.099999999999994</v>
      </c>
      <c r="I174" s="7">
        <v>41.9</v>
      </c>
      <c r="J174" s="7">
        <v>-8.3000000000000007</v>
      </c>
      <c r="K174" s="7">
        <v>81.7</v>
      </c>
      <c r="L174" s="7">
        <v>-15.7</v>
      </c>
      <c r="M174" s="7">
        <v>76.400000000000006</v>
      </c>
      <c r="N174" s="7">
        <v>0.94</v>
      </c>
      <c r="O174" s="7">
        <v>56.3</v>
      </c>
    </row>
    <row r="175" spans="1:15" x14ac:dyDescent="0.25">
      <c r="A175" s="34" t="s">
        <v>126</v>
      </c>
      <c r="B175" s="8">
        <v>45670</v>
      </c>
      <c r="C175" s="7" t="s">
        <v>100</v>
      </c>
      <c r="D175" s="7" t="s">
        <v>98</v>
      </c>
      <c r="E175" s="7" t="s">
        <v>99</v>
      </c>
      <c r="F175" s="7">
        <v>109.4</v>
      </c>
      <c r="G175" s="7">
        <v>122.5</v>
      </c>
      <c r="H175" s="7">
        <v>89.8</v>
      </c>
      <c r="I175" s="7">
        <v>15</v>
      </c>
      <c r="J175" s="7">
        <v>-0.8</v>
      </c>
      <c r="K175" s="7">
        <v>37.299999999999997</v>
      </c>
      <c r="L175" s="7">
        <v>3.9</v>
      </c>
      <c r="M175" s="7">
        <v>79.599999999999994</v>
      </c>
      <c r="N175" s="7">
        <v>1.1299999999999999</v>
      </c>
      <c r="O175" s="7">
        <v>31.1</v>
      </c>
    </row>
    <row r="176" spans="1:15" x14ac:dyDescent="0.25">
      <c r="A176" s="34" t="s">
        <v>126</v>
      </c>
      <c r="B176" s="8">
        <v>45670</v>
      </c>
      <c r="C176" s="7" t="s">
        <v>100</v>
      </c>
      <c r="D176" s="7" t="s">
        <v>98</v>
      </c>
      <c r="E176" s="7" t="s">
        <v>99</v>
      </c>
      <c r="F176" s="7">
        <v>103.9</v>
      </c>
      <c r="G176" s="7">
        <v>114.9</v>
      </c>
      <c r="H176" s="7">
        <v>86.6</v>
      </c>
      <c r="I176" s="7">
        <v>15.3</v>
      </c>
      <c r="J176" s="7">
        <v>-2.4</v>
      </c>
      <c r="K176" s="7">
        <v>34.200000000000003</v>
      </c>
      <c r="L176" s="7">
        <v>-1.3</v>
      </c>
      <c r="M176" s="7">
        <v>77.400000000000006</v>
      </c>
      <c r="N176" s="7">
        <v>1.1200000000000001</v>
      </c>
      <c r="O176" s="7">
        <v>30</v>
      </c>
    </row>
    <row r="177" spans="1:15" x14ac:dyDescent="0.25">
      <c r="A177" s="34" t="s">
        <v>126</v>
      </c>
      <c r="B177" s="8">
        <v>45670</v>
      </c>
      <c r="C177" s="7" t="s">
        <v>100</v>
      </c>
      <c r="D177" s="7" t="s">
        <v>98</v>
      </c>
      <c r="E177" s="7" t="s">
        <v>99</v>
      </c>
      <c r="F177" s="7">
        <v>102.8</v>
      </c>
      <c r="G177" s="7">
        <v>114.9</v>
      </c>
      <c r="H177" s="7">
        <v>87.4</v>
      </c>
      <c r="I177" s="7">
        <v>13.6</v>
      </c>
      <c r="J177" s="7">
        <v>-2.1</v>
      </c>
      <c r="K177" s="7">
        <v>29.5</v>
      </c>
      <c r="L177" s="7">
        <v>-5.5</v>
      </c>
      <c r="M177" s="7">
        <v>74.599999999999994</v>
      </c>
      <c r="N177" s="7">
        <v>1.17</v>
      </c>
      <c r="O177" s="7">
        <v>26.9</v>
      </c>
    </row>
    <row r="178" spans="1:15" x14ac:dyDescent="0.25">
      <c r="A178" s="34" t="s">
        <v>126</v>
      </c>
      <c r="B178" s="8">
        <v>45670</v>
      </c>
      <c r="C178" s="7" t="s">
        <v>101</v>
      </c>
      <c r="D178" s="7" t="s">
        <v>102</v>
      </c>
      <c r="E178" s="7" t="s">
        <v>103</v>
      </c>
      <c r="F178" s="7">
        <v>118.2</v>
      </c>
      <c r="G178" s="7">
        <v>125.8</v>
      </c>
      <c r="H178" s="7">
        <v>92.3</v>
      </c>
      <c r="I178" s="7">
        <v>20.8</v>
      </c>
      <c r="J178" s="7">
        <v>-0.4</v>
      </c>
      <c r="K178" s="7">
        <v>60.7</v>
      </c>
      <c r="L178" s="7">
        <v>-2.9</v>
      </c>
      <c r="M178" s="7">
        <v>82.4</v>
      </c>
      <c r="N178" s="7">
        <v>1.1200000000000001</v>
      </c>
      <c r="O178" s="7">
        <v>41.8</v>
      </c>
    </row>
    <row r="179" spans="1:15" x14ac:dyDescent="0.25">
      <c r="A179" s="34" t="s">
        <v>126</v>
      </c>
      <c r="B179" s="8">
        <v>45670</v>
      </c>
      <c r="C179" s="7" t="s">
        <v>101</v>
      </c>
      <c r="D179" s="7" t="s">
        <v>102</v>
      </c>
      <c r="E179" s="7" t="s">
        <v>103</v>
      </c>
      <c r="F179" s="7">
        <v>120.3</v>
      </c>
      <c r="G179" s="7">
        <v>136.80000000000001</v>
      </c>
      <c r="H179" s="7">
        <v>103</v>
      </c>
      <c r="I179" s="7">
        <v>7.2</v>
      </c>
      <c r="J179" s="7">
        <v>-3.2</v>
      </c>
      <c r="K179" s="7">
        <v>21.7</v>
      </c>
      <c r="L179" s="7">
        <v>-6.7</v>
      </c>
      <c r="M179" s="7">
        <v>81.2</v>
      </c>
      <c r="N179" s="7">
        <v>1.27</v>
      </c>
      <c r="O179" s="7">
        <v>19.7</v>
      </c>
    </row>
    <row r="180" spans="1:15" x14ac:dyDescent="0.25">
      <c r="A180" s="34" t="s">
        <v>126</v>
      </c>
      <c r="B180" s="8">
        <v>45670</v>
      </c>
      <c r="C180" s="7" t="s">
        <v>101</v>
      </c>
      <c r="D180" s="7" t="s">
        <v>102</v>
      </c>
      <c r="E180" s="7" t="s">
        <v>103</v>
      </c>
      <c r="F180" s="7">
        <v>105</v>
      </c>
      <c r="G180" s="7">
        <v>109.4</v>
      </c>
      <c r="H180" s="7">
        <v>84.8</v>
      </c>
      <c r="I180" s="7">
        <v>38</v>
      </c>
      <c r="J180" s="7">
        <v>-12.6</v>
      </c>
      <c r="K180" s="7">
        <v>101.4</v>
      </c>
      <c r="L180" s="7">
        <v>-39.9</v>
      </c>
      <c r="M180" s="7">
        <v>77.900000000000006</v>
      </c>
      <c r="N180" s="7">
        <v>1.0900000000000001</v>
      </c>
      <c r="O180" s="7">
        <v>56.8</v>
      </c>
    </row>
    <row r="181" spans="1:15" x14ac:dyDescent="0.25">
      <c r="A181" s="34" t="s">
        <v>126</v>
      </c>
      <c r="B181" s="8">
        <v>45670</v>
      </c>
      <c r="C181" s="7" t="s">
        <v>101</v>
      </c>
      <c r="D181" s="7" t="s">
        <v>102</v>
      </c>
      <c r="E181" s="7" t="s">
        <v>103</v>
      </c>
      <c r="F181" s="7">
        <v>105</v>
      </c>
      <c r="G181" s="7">
        <v>119.2</v>
      </c>
      <c r="H181" s="7">
        <v>89.5</v>
      </c>
      <c r="I181" s="7">
        <v>12.8</v>
      </c>
      <c r="J181" s="7">
        <v>13.3</v>
      </c>
      <c r="K181" s="7">
        <v>29.6</v>
      </c>
      <c r="L181" s="7">
        <v>35.799999999999997</v>
      </c>
      <c r="M181" s="7">
        <v>81.8</v>
      </c>
      <c r="N181" s="7">
        <v>1.0900000000000001</v>
      </c>
      <c r="O181" s="7">
        <v>26.8</v>
      </c>
    </row>
    <row r="182" spans="1:15" x14ac:dyDescent="0.25">
      <c r="A182" s="34" t="s">
        <v>126</v>
      </c>
      <c r="B182" s="8">
        <v>45670</v>
      </c>
      <c r="C182" s="7" t="s">
        <v>101</v>
      </c>
      <c r="D182" s="7" t="s">
        <v>102</v>
      </c>
      <c r="E182" s="7" t="s">
        <v>103</v>
      </c>
      <c r="F182" s="7">
        <v>117.1</v>
      </c>
      <c r="G182" s="7">
        <v>126.9</v>
      </c>
      <c r="H182" s="7">
        <v>92.7</v>
      </c>
      <c r="I182" s="7">
        <v>16</v>
      </c>
      <c r="J182" s="7">
        <v>5.4</v>
      </c>
      <c r="K182" s="7">
        <v>44.5</v>
      </c>
      <c r="L182" s="7">
        <v>21.1</v>
      </c>
      <c r="M182" s="7">
        <v>81.2</v>
      </c>
      <c r="N182" s="7">
        <v>1.1399999999999999</v>
      </c>
      <c r="O182" s="7">
        <v>34.4</v>
      </c>
    </row>
    <row r="183" spans="1:15" x14ac:dyDescent="0.25">
      <c r="A183" s="34" t="s">
        <v>126</v>
      </c>
      <c r="B183" s="8">
        <v>45670</v>
      </c>
      <c r="C183" s="7" t="s">
        <v>104</v>
      </c>
      <c r="D183" s="7" t="s">
        <v>102</v>
      </c>
      <c r="E183" s="7" t="s">
        <v>103</v>
      </c>
      <c r="F183" s="7">
        <v>135.69999999999999</v>
      </c>
      <c r="G183" s="7">
        <v>155.30000000000001</v>
      </c>
      <c r="H183" s="7">
        <v>114.5</v>
      </c>
      <c r="I183" s="7">
        <v>5</v>
      </c>
      <c r="J183" s="7">
        <v>5.3</v>
      </c>
      <c r="K183" s="7">
        <v>19</v>
      </c>
      <c r="L183" s="7">
        <v>12.4</v>
      </c>
      <c r="M183" s="7">
        <v>84</v>
      </c>
      <c r="N183" s="7">
        <v>1.36</v>
      </c>
      <c r="O183" s="7">
        <v>16.3</v>
      </c>
    </row>
    <row r="184" spans="1:15" x14ac:dyDescent="0.25">
      <c r="A184" s="34" t="s">
        <v>126</v>
      </c>
      <c r="B184" s="8">
        <v>45670</v>
      </c>
      <c r="C184" s="7" t="s">
        <v>104</v>
      </c>
      <c r="D184" s="7" t="s">
        <v>102</v>
      </c>
      <c r="E184" s="7" t="s">
        <v>103</v>
      </c>
      <c r="F184" s="7">
        <v>135.69999999999999</v>
      </c>
      <c r="G184" s="7">
        <v>147.69999999999999</v>
      </c>
      <c r="H184" s="7">
        <v>104.9</v>
      </c>
      <c r="I184" s="7">
        <v>10.9</v>
      </c>
      <c r="J184" s="7">
        <v>-0.8</v>
      </c>
      <c r="K184" s="7">
        <v>39.9</v>
      </c>
      <c r="L184" s="7">
        <v>13.2</v>
      </c>
      <c r="M184" s="7">
        <v>84.6</v>
      </c>
      <c r="N184" s="7">
        <v>1.24</v>
      </c>
      <c r="O184" s="7">
        <v>29.9</v>
      </c>
    </row>
    <row r="185" spans="1:15" x14ac:dyDescent="0.25">
      <c r="A185" s="34" t="s">
        <v>126</v>
      </c>
      <c r="B185" s="8">
        <v>45670</v>
      </c>
      <c r="C185" s="7" t="s">
        <v>104</v>
      </c>
      <c r="D185" s="7" t="s">
        <v>102</v>
      </c>
      <c r="E185" s="7" t="s">
        <v>103</v>
      </c>
      <c r="F185" s="7">
        <v>128</v>
      </c>
      <c r="G185" s="7">
        <v>133.5</v>
      </c>
      <c r="H185" s="7">
        <v>96.7</v>
      </c>
      <c r="I185" s="7">
        <v>23.7</v>
      </c>
      <c r="J185" s="7">
        <v>8</v>
      </c>
      <c r="K185" s="7">
        <v>79.2</v>
      </c>
      <c r="L185" s="7">
        <v>17.8</v>
      </c>
      <c r="M185" s="7">
        <v>81.8</v>
      </c>
      <c r="N185" s="7">
        <v>1.18</v>
      </c>
      <c r="O185" s="7">
        <v>47.1</v>
      </c>
    </row>
    <row r="186" spans="1:15" x14ac:dyDescent="0.25">
      <c r="A186" s="34" t="s">
        <v>126</v>
      </c>
      <c r="B186" s="8">
        <v>45670</v>
      </c>
      <c r="C186" s="7" t="s">
        <v>104</v>
      </c>
      <c r="D186" s="7" t="s">
        <v>102</v>
      </c>
      <c r="E186" s="7" t="s">
        <v>103</v>
      </c>
      <c r="F186" s="7">
        <v>125.8</v>
      </c>
      <c r="G186" s="7">
        <v>136.80000000000001</v>
      </c>
      <c r="H186" s="7">
        <v>97.9</v>
      </c>
      <c r="I186" s="7">
        <v>14.4</v>
      </c>
      <c r="J186" s="7">
        <v>10.4</v>
      </c>
      <c r="K186" s="7">
        <v>45.4</v>
      </c>
      <c r="L186" s="7">
        <v>34.299999999999997</v>
      </c>
      <c r="M186" s="7">
        <v>84.6</v>
      </c>
      <c r="N186" s="7">
        <v>1.1599999999999999</v>
      </c>
      <c r="O186" s="7">
        <v>33.9</v>
      </c>
    </row>
    <row r="187" spans="1:15" x14ac:dyDescent="0.25">
      <c r="A187" s="34" t="s">
        <v>126</v>
      </c>
      <c r="B187" s="8">
        <v>45670</v>
      </c>
      <c r="C187" s="7" t="s">
        <v>104</v>
      </c>
      <c r="D187" s="7" t="s">
        <v>102</v>
      </c>
      <c r="E187" s="7" t="s">
        <v>103</v>
      </c>
      <c r="F187" s="7">
        <v>114.9</v>
      </c>
      <c r="G187" s="7">
        <v>118.2</v>
      </c>
      <c r="H187" s="7">
        <v>90.8</v>
      </c>
      <c r="I187" s="7">
        <v>37.700000000000003</v>
      </c>
      <c r="J187" s="7">
        <v>8.6</v>
      </c>
      <c r="K187" s="7">
        <v>115.1</v>
      </c>
      <c r="L187" s="7">
        <v>12</v>
      </c>
      <c r="M187" s="7">
        <v>81.2</v>
      </c>
      <c r="N187" s="7">
        <v>1.1200000000000001</v>
      </c>
      <c r="O187" s="7">
        <v>58.4</v>
      </c>
    </row>
    <row r="188" spans="1:15" x14ac:dyDescent="0.25">
      <c r="A188" s="34" t="s">
        <v>126</v>
      </c>
      <c r="B188" s="8">
        <v>45670</v>
      </c>
      <c r="C188" s="7" t="s">
        <v>104</v>
      </c>
      <c r="D188" s="7" t="s">
        <v>102</v>
      </c>
      <c r="E188" s="7" t="s">
        <v>103</v>
      </c>
      <c r="F188" s="7">
        <v>105</v>
      </c>
      <c r="G188" s="7">
        <v>125.8</v>
      </c>
      <c r="H188" s="7">
        <v>100.4</v>
      </c>
      <c r="I188" s="7">
        <v>5.7</v>
      </c>
      <c r="J188" s="7">
        <v>14.2</v>
      </c>
      <c r="K188" s="7">
        <v>14.6</v>
      </c>
      <c r="L188" s="7">
        <v>26.1</v>
      </c>
      <c r="M188" s="7">
        <v>81.900000000000006</v>
      </c>
      <c r="N188" s="7">
        <v>1.23</v>
      </c>
      <c r="O188" s="7">
        <v>15.1</v>
      </c>
    </row>
    <row r="189" spans="1:15" x14ac:dyDescent="0.25">
      <c r="A189" s="34" t="s">
        <v>126</v>
      </c>
      <c r="B189" s="8">
        <v>45670</v>
      </c>
      <c r="C189" s="7" t="s">
        <v>104</v>
      </c>
      <c r="D189" s="7" t="s">
        <v>102</v>
      </c>
      <c r="E189" s="7" t="s">
        <v>103</v>
      </c>
      <c r="F189" s="7">
        <v>142.19999999999999</v>
      </c>
      <c r="G189" s="7">
        <v>151</v>
      </c>
      <c r="H189" s="7">
        <v>105</v>
      </c>
      <c r="I189" s="7">
        <v>14.8</v>
      </c>
      <c r="J189" s="7">
        <v>12.6</v>
      </c>
      <c r="K189" s="7">
        <v>57.3</v>
      </c>
      <c r="L189" s="7">
        <v>35.200000000000003</v>
      </c>
      <c r="M189" s="7">
        <v>78.2</v>
      </c>
      <c r="N189" s="7">
        <v>1.34</v>
      </c>
      <c r="O189" s="7">
        <v>37.4</v>
      </c>
    </row>
    <row r="190" spans="1:15" x14ac:dyDescent="0.25">
      <c r="A190" s="34" t="s">
        <v>126</v>
      </c>
      <c r="B190" s="8">
        <v>45670</v>
      </c>
      <c r="C190" s="7" t="s">
        <v>104</v>
      </c>
      <c r="D190" s="7" t="s">
        <v>102</v>
      </c>
      <c r="E190" s="7" t="s">
        <v>103</v>
      </c>
      <c r="F190" s="7">
        <v>126.9</v>
      </c>
      <c r="G190" s="7">
        <v>138.9</v>
      </c>
      <c r="H190" s="7">
        <v>99.6</v>
      </c>
      <c r="I190" s="7">
        <v>12.5</v>
      </c>
      <c r="J190" s="7">
        <v>9.4</v>
      </c>
      <c r="K190" s="7">
        <v>40.1</v>
      </c>
      <c r="L190" s="7">
        <v>21.5</v>
      </c>
      <c r="M190" s="7">
        <v>80.099999999999994</v>
      </c>
      <c r="N190" s="7">
        <v>1.24</v>
      </c>
      <c r="O190" s="7">
        <v>30.9</v>
      </c>
    </row>
    <row r="191" spans="1:15" x14ac:dyDescent="0.25">
      <c r="A191" s="34" t="s">
        <v>126</v>
      </c>
      <c r="B191" s="8">
        <v>45670</v>
      </c>
      <c r="C191" s="7" t="s">
        <v>104</v>
      </c>
      <c r="D191" s="7" t="s">
        <v>102</v>
      </c>
      <c r="E191" s="7" t="s">
        <v>103</v>
      </c>
      <c r="F191" s="7">
        <v>123.6</v>
      </c>
      <c r="G191" s="7">
        <v>133.5</v>
      </c>
      <c r="H191" s="7">
        <v>95.4</v>
      </c>
      <c r="I191" s="7">
        <v>18.3</v>
      </c>
      <c r="J191" s="7">
        <v>1.8</v>
      </c>
      <c r="K191" s="7">
        <v>56.8</v>
      </c>
      <c r="L191" s="7">
        <v>2.6</v>
      </c>
      <c r="M191" s="7">
        <v>81.8</v>
      </c>
      <c r="N191" s="7">
        <v>1.17</v>
      </c>
      <c r="O191" s="7">
        <v>39.4</v>
      </c>
    </row>
    <row r="192" spans="1:15" x14ac:dyDescent="0.25">
      <c r="A192" s="34" t="s">
        <v>126</v>
      </c>
      <c r="B192" s="8">
        <v>45670</v>
      </c>
      <c r="C192" s="7" t="s">
        <v>104</v>
      </c>
      <c r="D192" s="7" t="s">
        <v>102</v>
      </c>
      <c r="E192" s="7" t="s">
        <v>103</v>
      </c>
      <c r="F192" s="7">
        <v>124.7</v>
      </c>
      <c r="G192" s="7">
        <v>145.5</v>
      </c>
      <c r="H192" s="7">
        <v>110.7</v>
      </c>
      <c r="I192" s="7">
        <v>4.5999999999999996</v>
      </c>
      <c r="J192" s="7">
        <v>2.6</v>
      </c>
      <c r="K192" s="7">
        <v>16.3</v>
      </c>
      <c r="L192" s="7">
        <v>5.8</v>
      </c>
      <c r="M192" s="7">
        <v>84.6</v>
      </c>
      <c r="N192" s="7">
        <v>1.31</v>
      </c>
      <c r="O192" s="7">
        <v>15.1</v>
      </c>
    </row>
    <row r="193" spans="1:15" x14ac:dyDescent="0.25">
      <c r="A193" s="34" t="s">
        <v>126</v>
      </c>
      <c r="B193" s="8">
        <v>45670</v>
      </c>
      <c r="C193" s="7" t="s">
        <v>105</v>
      </c>
      <c r="D193" s="7" t="s">
        <v>102</v>
      </c>
      <c r="E193" s="7" t="s">
        <v>106</v>
      </c>
      <c r="F193" s="7">
        <v>111.6</v>
      </c>
      <c r="G193" s="7">
        <v>114.9</v>
      </c>
      <c r="H193" s="7">
        <v>87.3</v>
      </c>
      <c r="I193" s="7">
        <v>34.6</v>
      </c>
      <c r="J193" s="7">
        <v>9</v>
      </c>
      <c r="K193" s="7">
        <v>96.9</v>
      </c>
      <c r="L193" s="7">
        <v>22.7</v>
      </c>
      <c r="M193" s="7">
        <v>80.099999999999994</v>
      </c>
      <c r="N193" s="7">
        <v>1.0900000000000001</v>
      </c>
      <c r="O193" s="7">
        <v>54.3</v>
      </c>
    </row>
    <row r="194" spans="1:15" x14ac:dyDescent="0.25">
      <c r="A194" s="34" t="s">
        <v>126</v>
      </c>
      <c r="B194" s="8">
        <v>45670</v>
      </c>
      <c r="C194" s="7" t="s">
        <v>105</v>
      </c>
      <c r="D194" s="7" t="s">
        <v>102</v>
      </c>
      <c r="E194" s="7" t="s">
        <v>106</v>
      </c>
      <c r="F194" s="7">
        <v>135.69999999999999</v>
      </c>
      <c r="G194" s="7">
        <v>137.80000000000001</v>
      </c>
      <c r="H194" s="7">
        <v>100</v>
      </c>
      <c r="I194" s="7">
        <v>32.200000000000003</v>
      </c>
      <c r="J194" s="7">
        <v>2.4</v>
      </c>
      <c r="K194" s="7">
        <v>118.8</v>
      </c>
      <c r="L194" s="7">
        <v>1.5</v>
      </c>
      <c r="M194" s="7">
        <v>82.4</v>
      </c>
      <c r="N194" s="7">
        <v>1.21</v>
      </c>
      <c r="O194" s="7">
        <v>55.7</v>
      </c>
    </row>
    <row r="195" spans="1:15" x14ac:dyDescent="0.25">
      <c r="A195" s="34" t="s">
        <v>126</v>
      </c>
      <c r="B195" s="8">
        <v>45670</v>
      </c>
      <c r="C195" s="7" t="s">
        <v>105</v>
      </c>
      <c r="D195" s="7" t="s">
        <v>102</v>
      </c>
      <c r="E195" s="7" t="s">
        <v>106</v>
      </c>
      <c r="F195" s="7">
        <v>128</v>
      </c>
      <c r="G195" s="7">
        <v>132.4</v>
      </c>
      <c r="H195" s="7">
        <v>95.8</v>
      </c>
      <c r="I195" s="7">
        <v>30.7</v>
      </c>
      <c r="J195" s="7">
        <v>3.3</v>
      </c>
      <c r="K195" s="7">
        <v>103.3</v>
      </c>
      <c r="L195" s="7">
        <v>8.3000000000000007</v>
      </c>
      <c r="M195" s="7">
        <v>81.8</v>
      </c>
      <c r="N195" s="7">
        <v>1.17</v>
      </c>
      <c r="O195" s="7">
        <v>53.2</v>
      </c>
    </row>
    <row r="196" spans="1:15" x14ac:dyDescent="0.25">
      <c r="A196" s="34" t="s">
        <v>126</v>
      </c>
      <c r="B196" s="8">
        <v>45670</v>
      </c>
      <c r="C196" s="7" t="s">
        <v>105</v>
      </c>
      <c r="D196" s="7" t="s">
        <v>102</v>
      </c>
      <c r="E196" s="7" t="s">
        <v>106</v>
      </c>
      <c r="F196" s="7">
        <v>112.7</v>
      </c>
      <c r="G196" s="7">
        <v>116</v>
      </c>
      <c r="H196" s="7">
        <v>87.6</v>
      </c>
      <c r="I196" s="7">
        <v>33.9</v>
      </c>
      <c r="J196" s="7">
        <v>7.5</v>
      </c>
      <c r="K196" s="7">
        <v>95.8</v>
      </c>
      <c r="L196" s="7">
        <v>23.5</v>
      </c>
      <c r="M196" s="7">
        <v>82.4</v>
      </c>
      <c r="N196" s="7">
        <v>1.06</v>
      </c>
      <c r="O196" s="7">
        <v>53.8</v>
      </c>
    </row>
    <row r="197" spans="1:15" x14ac:dyDescent="0.25">
      <c r="A197" s="34" t="s">
        <v>126</v>
      </c>
      <c r="B197" s="8">
        <v>45670</v>
      </c>
      <c r="C197" s="7" t="s">
        <v>105</v>
      </c>
      <c r="D197" s="7" t="s">
        <v>102</v>
      </c>
      <c r="E197" s="7" t="s">
        <v>106</v>
      </c>
      <c r="F197" s="7">
        <v>130.19999999999999</v>
      </c>
      <c r="G197" s="7">
        <v>132.4</v>
      </c>
      <c r="H197" s="7">
        <v>97.3</v>
      </c>
      <c r="I197" s="7">
        <v>32.799999999999997</v>
      </c>
      <c r="J197" s="7">
        <v>4.3</v>
      </c>
      <c r="K197" s="7">
        <v>114.5</v>
      </c>
      <c r="L197" s="7">
        <v>9.8000000000000007</v>
      </c>
      <c r="M197" s="7">
        <v>83.5</v>
      </c>
      <c r="N197" s="7">
        <v>1.17</v>
      </c>
      <c r="O197" s="7">
        <v>55.5</v>
      </c>
    </row>
    <row r="198" spans="1:15" x14ac:dyDescent="0.25">
      <c r="A198" s="34" t="s">
        <v>126</v>
      </c>
      <c r="B198" s="8">
        <v>45670</v>
      </c>
      <c r="C198" s="7" t="s">
        <v>105</v>
      </c>
      <c r="D198" s="7" t="s">
        <v>102</v>
      </c>
      <c r="E198" s="7" t="s">
        <v>106</v>
      </c>
      <c r="F198" s="7">
        <v>141.1</v>
      </c>
      <c r="G198" s="7">
        <v>146.6</v>
      </c>
      <c r="H198" s="7">
        <v>102.8</v>
      </c>
      <c r="I198" s="7">
        <v>27.5</v>
      </c>
      <c r="J198" s="7">
        <v>-4.5999999999999996</v>
      </c>
      <c r="K198" s="7">
        <v>107</v>
      </c>
      <c r="L198" s="7">
        <v>-27</v>
      </c>
      <c r="M198" s="7">
        <v>84</v>
      </c>
      <c r="N198" s="7">
        <v>1.22</v>
      </c>
      <c r="O198" s="7">
        <v>52.4</v>
      </c>
    </row>
    <row r="199" spans="1:15" x14ac:dyDescent="0.25">
      <c r="A199" s="34" t="s">
        <v>126</v>
      </c>
      <c r="B199" s="8">
        <v>45670</v>
      </c>
      <c r="C199" s="7" t="s">
        <v>105</v>
      </c>
      <c r="D199" s="7" t="s">
        <v>102</v>
      </c>
      <c r="E199" s="7" t="s">
        <v>106</v>
      </c>
      <c r="F199" s="7">
        <v>125.8</v>
      </c>
      <c r="G199" s="7">
        <v>129.1</v>
      </c>
      <c r="H199" s="7">
        <v>95.2</v>
      </c>
      <c r="I199" s="7">
        <v>33.299999999999997</v>
      </c>
      <c r="J199" s="7">
        <v>4.5999999999999996</v>
      </c>
      <c r="K199" s="7">
        <v>111.4</v>
      </c>
      <c r="L199" s="7">
        <v>14.7</v>
      </c>
      <c r="M199" s="7">
        <v>84.6</v>
      </c>
      <c r="N199" s="7">
        <v>1.1299999999999999</v>
      </c>
      <c r="O199" s="7">
        <v>55.6</v>
      </c>
    </row>
    <row r="200" spans="1:15" x14ac:dyDescent="0.25">
      <c r="A200" s="34" t="s">
        <v>126</v>
      </c>
      <c r="B200" s="8">
        <v>45670</v>
      </c>
      <c r="C200" s="7" t="s">
        <v>105</v>
      </c>
      <c r="D200" s="7" t="s">
        <v>102</v>
      </c>
      <c r="E200" s="7" t="s">
        <v>106</v>
      </c>
      <c r="F200" s="7">
        <v>145.5</v>
      </c>
      <c r="G200" s="7">
        <v>148.80000000000001</v>
      </c>
      <c r="H200" s="7">
        <v>106.7</v>
      </c>
      <c r="I200" s="7">
        <v>30.9</v>
      </c>
      <c r="J200" s="7">
        <v>-3.4</v>
      </c>
      <c r="K200" s="7">
        <v>129.69999999999999</v>
      </c>
      <c r="L200" s="7">
        <v>-20.399999999999999</v>
      </c>
      <c r="M200" s="7">
        <v>85.1</v>
      </c>
      <c r="N200" s="7">
        <v>1.25</v>
      </c>
      <c r="O200" s="7">
        <v>56.6</v>
      </c>
    </row>
    <row r="201" spans="1:15" x14ac:dyDescent="0.25">
      <c r="A201" s="34" t="s">
        <v>126</v>
      </c>
      <c r="B201" s="8">
        <v>45670</v>
      </c>
      <c r="C201" s="7" t="s">
        <v>105</v>
      </c>
      <c r="D201" s="7" t="s">
        <v>102</v>
      </c>
      <c r="E201" s="7" t="s">
        <v>106</v>
      </c>
      <c r="F201" s="7">
        <v>126.9</v>
      </c>
      <c r="G201" s="7">
        <v>130.19999999999999</v>
      </c>
      <c r="H201" s="7">
        <v>94.9</v>
      </c>
      <c r="I201" s="7">
        <v>30.1</v>
      </c>
      <c r="J201" s="7">
        <v>0.5</v>
      </c>
      <c r="K201" s="7">
        <v>99.3</v>
      </c>
      <c r="L201" s="7">
        <v>-0.2</v>
      </c>
      <c r="M201" s="7">
        <v>83.5</v>
      </c>
      <c r="N201" s="7">
        <v>1.1399999999999999</v>
      </c>
      <c r="O201" s="7">
        <v>52.5</v>
      </c>
    </row>
    <row r="202" spans="1:15" x14ac:dyDescent="0.25">
      <c r="A202" s="34" t="s">
        <v>126</v>
      </c>
      <c r="B202" s="8">
        <v>45670</v>
      </c>
      <c r="C202" s="7" t="s">
        <v>107</v>
      </c>
      <c r="D202" s="7" t="s">
        <v>102</v>
      </c>
      <c r="E202" s="7" t="s">
        <v>106</v>
      </c>
      <c r="F202" s="7">
        <v>131.30000000000001</v>
      </c>
      <c r="G202" s="7">
        <v>152.1</v>
      </c>
      <c r="H202" s="7">
        <v>113.2</v>
      </c>
      <c r="I202" s="7">
        <v>4.7</v>
      </c>
      <c r="J202" s="7">
        <v>-0.8</v>
      </c>
      <c r="K202" s="7">
        <v>19.100000000000001</v>
      </c>
      <c r="L202" s="7">
        <v>3.6</v>
      </c>
      <c r="M202" s="7">
        <v>86.8</v>
      </c>
      <c r="N202" s="7">
        <v>1.3</v>
      </c>
      <c r="O202" s="7">
        <v>17.100000000000001</v>
      </c>
    </row>
    <row r="203" spans="1:15" x14ac:dyDescent="0.25">
      <c r="A203" s="34" t="s">
        <v>126</v>
      </c>
      <c r="B203" s="8">
        <v>45670</v>
      </c>
      <c r="C203" s="7" t="s">
        <v>107</v>
      </c>
      <c r="D203" s="7" t="s">
        <v>102</v>
      </c>
      <c r="E203" s="7" t="s">
        <v>106</v>
      </c>
      <c r="F203" s="7">
        <v>138.9</v>
      </c>
      <c r="G203" s="7">
        <v>146.6</v>
      </c>
      <c r="H203" s="7">
        <v>102.8</v>
      </c>
      <c r="I203" s="7">
        <v>18.3</v>
      </c>
      <c r="J203" s="7">
        <v>5.2</v>
      </c>
      <c r="K203" s="7">
        <v>68.599999999999994</v>
      </c>
      <c r="L203" s="7">
        <v>23.9</v>
      </c>
      <c r="M203" s="7">
        <v>86.8</v>
      </c>
      <c r="N203" s="7">
        <v>1.18</v>
      </c>
      <c r="O203" s="7">
        <v>42.1</v>
      </c>
    </row>
    <row r="204" spans="1:15" x14ac:dyDescent="0.25">
      <c r="A204" s="34" t="s">
        <v>126</v>
      </c>
      <c r="B204" s="8">
        <v>45670</v>
      </c>
      <c r="C204" s="7" t="s">
        <v>107</v>
      </c>
      <c r="D204" s="7" t="s">
        <v>102</v>
      </c>
      <c r="E204" s="7" t="s">
        <v>106</v>
      </c>
      <c r="F204" s="7">
        <v>155.30000000000001</v>
      </c>
      <c r="G204" s="7">
        <v>159.69999999999999</v>
      </c>
      <c r="H204" s="7">
        <v>110.7</v>
      </c>
      <c r="I204" s="7">
        <v>25.8</v>
      </c>
      <c r="J204" s="7">
        <v>-1.6</v>
      </c>
      <c r="K204" s="7">
        <v>117.4</v>
      </c>
      <c r="L204" s="7">
        <v>-8.5</v>
      </c>
      <c r="M204" s="7">
        <v>88.9</v>
      </c>
      <c r="N204" s="7">
        <v>1.25</v>
      </c>
      <c r="O204" s="7">
        <v>53</v>
      </c>
    </row>
    <row r="205" spans="1:15" x14ac:dyDescent="0.25">
      <c r="A205" s="34" t="s">
        <v>126</v>
      </c>
      <c r="B205" s="8">
        <v>45670</v>
      </c>
      <c r="C205" s="7" t="s">
        <v>107</v>
      </c>
      <c r="D205" s="7" t="s">
        <v>102</v>
      </c>
      <c r="E205" s="7" t="s">
        <v>106</v>
      </c>
      <c r="F205" s="7">
        <v>129.1</v>
      </c>
      <c r="G205" s="7">
        <v>134.6</v>
      </c>
      <c r="H205" s="7">
        <v>96.2</v>
      </c>
      <c r="I205" s="7">
        <v>24.6</v>
      </c>
      <c r="J205" s="7">
        <v>6</v>
      </c>
      <c r="K205" s="7">
        <v>81.5</v>
      </c>
      <c r="L205" s="7">
        <v>13.6</v>
      </c>
      <c r="M205" s="7">
        <v>82.9</v>
      </c>
      <c r="N205" s="7">
        <v>1.1599999999999999</v>
      </c>
      <c r="O205" s="7">
        <v>47.4</v>
      </c>
    </row>
    <row r="206" spans="1:15" x14ac:dyDescent="0.25">
      <c r="A206" s="34" t="s">
        <v>126</v>
      </c>
      <c r="B206" s="2">
        <v>45766</v>
      </c>
      <c r="C206" s="12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4" t="s">
        <v>126</v>
      </c>
      <c r="B207" s="2">
        <v>45766</v>
      </c>
      <c r="C207" s="12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4" t="s">
        <v>126</v>
      </c>
      <c r="B208" s="2">
        <v>45766</v>
      </c>
      <c r="C208" s="12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4" t="s">
        <v>126</v>
      </c>
      <c r="B209" s="2">
        <v>45766</v>
      </c>
      <c r="C209" s="12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4" t="s">
        <v>126</v>
      </c>
      <c r="B210" s="2">
        <v>45766</v>
      </c>
      <c r="C210" s="12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4" t="s">
        <v>126</v>
      </c>
      <c r="B211" s="2">
        <v>45766</v>
      </c>
      <c r="C211" s="12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4" t="s">
        <v>126</v>
      </c>
      <c r="B212" s="2">
        <v>45766</v>
      </c>
      <c r="C212" s="12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4" t="s">
        <v>126</v>
      </c>
      <c r="B213" s="2">
        <v>45766</v>
      </c>
      <c r="C213" s="12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4" t="s">
        <v>126</v>
      </c>
      <c r="B214" s="2">
        <v>45766</v>
      </c>
      <c r="C214" s="12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4" t="s">
        <v>126</v>
      </c>
      <c r="B215" s="2">
        <v>45766</v>
      </c>
      <c r="C215" s="12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4" t="s">
        <v>126</v>
      </c>
      <c r="B216" s="2">
        <v>45766</v>
      </c>
      <c r="C216" s="12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4" t="s">
        <v>126</v>
      </c>
      <c r="B217" s="2">
        <v>45766</v>
      </c>
      <c r="C217" s="12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4" t="s">
        <v>126</v>
      </c>
      <c r="B218" s="2">
        <v>45766</v>
      </c>
      <c r="C218" s="12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4" t="s">
        <v>126</v>
      </c>
      <c r="B219" s="2">
        <v>45766</v>
      </c>
      <c r="C219" s="12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4" t="s">
        <v>126</v>
      </c>
      <c r="B220" s="2">
        <v>45766</v>
      </c>
      <c r="C220" s="12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4" t="s">
        <v>126</v>
      </c>
      <c r="B221" s="2">
        <v>45766</v>
      </c>
      <c r="C221" s="12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4" t="s">
        <v>126</v>
      </c>
      <c r="B222" s="2">
        <v>45766</v>
      </c>
      <c r="C222" s="12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4" t="s">
        <v>126</v>
      </c>
      <c r="B223" s="2">
        <v>45766</v>
      </c>
      <c r="C223" s="12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4" t="s">
        <v>126</v>
      </c>
      <c r="B224" s="2">
        <v>45766</v>
      </c>
      <c r="C224" s="12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4" t="s">
        <v>126</v>
      </c>
      <c r="B225" s="2">
        <v>45766</v>
      </c>
      <c r="C225" s="12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4" t="s">
        <v>126</v>
      </c>
      <c r="B226" s="2">
        <v>45766</v>
      </c>
      <c r="C226" s="12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4" t="s">
        <v>126</v>
      </c>
      <c r="B227" s="2">
        <v>45766</v>
      </c>
      <c r="C227" s="12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4" t="s">
        <v>126</v>
      </c>
      <c r="B228" s="2">
        <v>45766</v>
      </c>
      <c r="C228" s="12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4" t="s">
        <v>126</v>
      </c>
      <c r="B229" s="2">
        <v>45766</v>
      </c>
      <c r="C229" s="12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4" t="s">
        <v>126</v>
      </c>
      <c r="B230" s="2">
        <v>45766</v>
      </c>
      <c r="C230" s="12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4" t="s">
        <v>126</v>
      </c>
      <c r="B231" s="2">
        <v>45766</v>
      </c>
      <c r="C231" s="12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4" t="s">
        <v>126</v>
      </c>
      <c r="B232" s="2">
        <v>45766</v>
      </c>
      <c r="C232" s="12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4" t="s">
        <v>126</v>
      </c>
      <c r="B233" s="2">
        <v>45766</v>
      </c>
      <c r="C233" s="12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4" t="s">
        <v>126</v>
      </c>
      <c r="B234" s="2">
        <v>45766</v>
      </c>
      <c r="C234" s="12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4" t="s">
        <v>126</v>
      </c>
      <c r="B235" s="2">
        <v>45766</v>
      </c>
      <c r="C235" s="12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4" t="s">
        <v>126</v>
      </c>
      <c r="B236" s="2">
        <v>45766</v>
      </c>
      <c r="C236" s="12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4" t="s">
        <v>126</v>
      </c>
      <c r="B237" s="2">
        <v>45766</v>
      </c>
      <c r="C237" s="12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4" t="s">
        <v>126</v>
      </c>
      <c r="B238" s="2">
        <v>45766</v>
      </c>
      <c r="C238" s="12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4" t="s">
        <v>126</v>
      </c>
      <c r="B239" s="2">
        <v>45766</v>
      </c>
      <c r="C239" s="12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4" t="s">
        <v>126</v>
      </c>
      <c r="B240" s="2">
        <v>45766</v>
      </c>
      <c r="C240" s="12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4" t="s">
        <v>126</v>
      </c>
      <c r="B241" s="2">
        <v>45766</v>
      </c>
      <c r="C241" s="12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4" t="s">
        <v>126</v>
      </c>
      <c r="B242" s="2">
        <v>45766</v>
      </c>
      <c r="C242" s="12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4" t="s">
        <v>126</v>
      </c>
      <c r="B243" s="2">
        <v>45766</v>
      </c>
      <c r="C243" s="12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4" t="s">
        <v>126</v>
      </c>
      <c r="B244" s="2">
        <v>45766</v>
      </c>
      <c r="C244" s="12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4" t="s">
        <v>126</v>
      </c>
      <c r="B245" s="2">
        <v>45766</v>
      </c>
      <c r="C245" s="12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4" t="s">
        <v>126</v>
      </c>
      <c r="B246" s="2">
        <v>45766</v>
      </c>
      <c r="C246" s="12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4" t="s">
        <v>126</v>
      </c>
      <c r="B247" s="2">
        <v>45766</v>
      </c>
      <c r="C247" s="12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4" t="s">
        <v>126</v>
      </c>
      <c r="B248" s="2">
        <v>45766</v>
      </c>
      <c r="C248" s="12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4" t="s">
        <v>126</v>
      </c>
      <c r="B249" s="2">
        <v>45766</v>
      </c>
      <c r="C249" s="12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4" t="s">
        <v>126</v>
      </c>
      <c r="B250" s="2">
        <v>45766</v>
      </c>
      <c r="C250" s="12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4" t="s">
        <v>126</v>
      </c>
      <c r="B251" s="2">
        <v>45766</v>
      </c>
      <c r="C251" s="12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4" t="s">
        <v>126</v>
      </c>
      <c r="B252" s="2">
        <v>45766</v>
      </c>
      <c r="C252" s="12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4" t="s">
        <v>126</v>
      </c>
      <c r="B253" s="2">
        <v>45766</v>
      </c>
      <c r="C253" s="12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4" t="s">
        <v>126</v>
      </c>
      <c r="B254" s="2">
        <v>45766</v>
      </c>
      <c r="C254" s="12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4" t="s">
        <v>126</v>
      </c>
      <c r="B255" s="2">
        <v>45766</v>
      </c>
      <c r="C255" s="12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4" t="s">
        <v>126</v>
      </c>
      <c r="B256" s="2">
        <v>45766</v>
      </c>
      <c r="C256" s="12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4" t="s">
        <v>126</v>
      </c>
      <c r="B257" s="2">
        <v>45766</v>
      </c>
      <c r="C257" s="12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4" t="s">
        <v>126</v>
      </c>
      <c r="B258" s="2">
        <v>45766</v>
      </c>
      <c r="C258" s="12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4" t="s">
        <v>126</v>
      </c>
      <c r="B259" s="2">
        <v>45766</v>
      </c>
      <c r="C259" s="12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4" t="s">
        <v>126</v>
      </c>
      <c r="B260" s="2">
        <v>45766</v>
      </c>
      <c r="C260" s="12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4" t="s">
        <v>126</v>
      </c>
      <c r="B261" s="2">
        <v>45766</v>
      </c>
      <c r="C261" s="12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4" t="s">
        <v>126</v>
      </c>
      <c r="B262" s="2">
        <v>45766</v>
      </c>
      <c r="C262" s="12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4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4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4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4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4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4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4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4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4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4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4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4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4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4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4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4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4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4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4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4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4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4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4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4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4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4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4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4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4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4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4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4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4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4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4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4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4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4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4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4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4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4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4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4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4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4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4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4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4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4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4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4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4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4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4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4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4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4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4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4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4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4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4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4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4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4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4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4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4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4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4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4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4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4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4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4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4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4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4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4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4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4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4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4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4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4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4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4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4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4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4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4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4" t="s">
        <v>126</v>
      </c>
      <c r="B355" s="10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4" t="s">
        <v>126</v>
      </c>
      <c r="B356" s="10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4" t="s">
        <v>126</v>
      </c>
      <c r="B357" s="10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4" t="s">
        <v>126</v>
      </c>
      <c r="B358" s="10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4" t="s">
        <v>126</v>
      </c>
      <c r="B359" s="10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4" t="s">
        <v>126</v>
      </c>
      <c r="B360" s="10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4" t="s">
        <v>126</v>
      </c>
      <c r="B361" s="10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4" t="s">
        <v>126</v>
      </c>
      <c r="B362" s="10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4" t="s">
        <v>126</v>
      </c>
      <c r="B363" s="10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4" t="s">
        <v>126</v>
      </c>
      <c r="B364" s="10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4" t="s">
        <v>126</v>
      </c>
      <c r="B365" s="10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4" t="s">
        <v>126</v>
      </c>
      <c r="B366" s="10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4" t="s">
        <v>126</v>
      </c>
      <c r="B367" s="10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4" t="s">
        <v>126</v>
      </c>
      <c r="B368" s="10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4" t="s">
        <v>126</v>
      </c>
      <c r="B369" s="10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4" t="s">
        <v>126</v>
      </c>
      <c r="B370" s="10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4" t="s">
        <v>126</v>
      </c>
      <c r="B371" s="10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4" t="s">
        <v>126</v>
      </c>
      <c r="B372" s="10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4" t="s">
        <v>126</v>
      </c>
      <c r="B373" s="10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4" t="s">
        <v>126</v>
      </c>
      <c r="B374" s="10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4" t="s">
        <v>126</v>
      </c>
      <c r="B375" s="10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4" t="s">
        <v>126</v>
      </c>
      <c r="B376" s="10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4" t="s">
        <v>126</v>
      </c>
      <c r="B377" s="10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4" t="s">
        <v>126</v>
      </c>
      <c r="B378" s="10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4" t="s">
        <v>126</v>
      </c>
      <c r="B379" s="10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4" t="s">
        <v>126</v>
      </c>
      <c r="B380" s="10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4" t="s">
        <v>126</v>
      </c>
      <c r="B381" s="10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4" t="s">
        <v>126</v>
      </c>
      <c r="B382" s="10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4" t="s">
        <v>126</v>
      </c>
      <c r="B383" s="10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4" t="s">
        <v>126</v>
      </c>
      <c r="B384" s="10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4" t="s">
        <v>126</v>
      </c>
      <c r="B385" s="10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4" t="s">
        <v>126</v>
      </c>
      <c r="B386" s="10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4" t="s">
        <v>126</v>
      </c>
      <c r="B387" s="10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4" t="s">
        <v>126</v>
      </c>
      <c r="B388" s="10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4" t="s">
        <v>126</v>
      </c>
      <c r="B389" s="10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4" t="s">
        <v>126</v>
      </c>
      <c r="B390" s="10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4" t="s">
        <v>126</v>
      </c>
      <c r="B391" s="10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4" t="s">
        <v>126</v>
      </c>
      <c r="B392" s="10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4" t="s">
        <v>126</v>
      </c>
      <c r="B393" s="10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4" t="s">
        <v>126</v>
      </c>
      <c r="B394" s="10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4" t="s">
        <v>126</v>
      </c>
      <c r="B395" s="10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4" t="s">
        <v>126</v>
      </c>
      <c r="B396" s="10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4" t="s">
        <v>126</v>
      </c>
      <c r="B397" s="10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4" t="s">
        <v>126</v>
      </c>
      <c r="B398" s="10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4" t="s">
        <v>126</v>
      </c>
      <c r="B399" s="10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4" t="s">
        <v>126</v>
      </c>
      <c r="B400" s="10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4" t="s">
        <v>126</v>
      </c>
      <c r="B401" s="10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4" t="s">
        <v>126</v>
      </c>
      <c r="B402" s="10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4" t="s">
        <v>126</v>
      </c>
      <c r="B403" s="10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4" t="s">
        <v>126</v>
      </c>
      <c r="B404" s="10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4" t="s">
        <v>126</v>
      </c>
      <c r="B405" s="10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4" t="s">
        <v>126</v>
      </c>
      <c r="B406" s="10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4" t="s">
        <v>126</v>
      </c>
      <c r="B407" s="10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4" t="s">
        <v>126</v>
      </c>
      <c r="B408" s="10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4" t="s">
        <v>126</v>
      </c>
      <c r="B409" s="10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4" t="s">
        <v>126</v>
      </c>
      <c r="B410" s="10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4" t="s">
        <v>126</v>
      </c>
      <c r="B411" s="10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4" t="s">
        <v>126</v>
      </c>
      <c r="B412" s="10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4" t="s">
        <v>126</v>
      </c>
      <c r="B413" s="10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4" t="s">
        <v>126</v>
      </c>
      <c r="B414" s="10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4" t="s">
        <v>126</v>
      </c>
      <c r="B415" s="10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4" t="s">
        <v>126</v>
      </c>
      <c r="B416" s="10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4" t="s">
        <v>126</v>
      </c>
      <c r="B417" s="10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4" t="s">
        <v>126</v>
      </c>
      <c r="B418" s="10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4" t="s">
        <v>126</v>
      </c>
      <c r="B419" s="10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4" t="s">
        <v>126</v>
      </c>
      <c r="B420" s="10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4" t="s">
        <v>126</v>
      </c>
      <c r="B421" s="10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4" t="s">
        <v>126</v>
      </c>
      <c r="B422" s="10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4" t="s">
        <v>126</v>
      </c>
      <c r="B423" s="10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4" t="s">
        <v>126</v>
      </c>
      <c r="B424" s="10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4" t="s">
        <v>126</v>
      </c>
      <c r="B425" s="10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4" t="s">
        <v>126</v>
      </c>
      <c r="B426" s="10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4" t="s">
        <v>126</v>
      </c>
      <c r="B427" s="10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4" t="s">
        <v>126</v>
      </c>
      <c r="B428" s="10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4" t="s">
        <v>126</v>
      </c>
      <c r="B429" s="10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4" t="s">
        <v>126</v>
      </c>
      <c r="B430" s="10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4" t="s">
        <v>126</v>
      </c>
      <c r="B431" s="10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4" t="s">
        <v>126</v>
      </c>
      <c r="B432" s="10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4" t="s">
        <v>126</v>
      </c>
      <c r="B433" s="10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4" t="s">
        <v>126</v>
      </c>
      <c r="B434" s="10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4" t="s">
        <v>126</v>
      </c>
      <c r="B435" s="10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4" t="s">
        <v>126</v>
      </c>
      <c r="B436" s="10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4" t="s">
        <v>126</v>
      </c>
      <c r="B437" s="10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4" t="s">
        <v>126</v>
      </c>
      <c r="B438" s="10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4" t="s">
        <v>126</v>
      </c>
      <c r="B439" s="10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4" t="s">
        <v>126</v>
      </c>
      <c r="B440" s="10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4" t="s">
        <v>126</v>
      </c>
      <c r="B441" s="10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4" t="s">
        <v>126</v>
      </c>
      <c r="B442" s="10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4" t="s">
        <v>126</v>
      </c>
      <c r="B443" s="10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4" t="s">
        <v>126</v>
      </c>
      <c r="B444" s="10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4" t="s">
        <v>126</v>
      </c>
      <c r="B445" s="10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4" t="s">
        <v>126</v>
      </c>
      <c r="B446" s="10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4" t="s">
        <v>126</v>
      </c>
      <c r="B447" s="10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4" t="s">
        <v>126</v>
      </c>
      <c r="B448" s="10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4" t="s">
        <v>126</v>
      </c>
      <c r="B449" s="10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4" t="s">
        <v>126</v>
      </c>
      <c r="B450" s="10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4" t="s">
        <v>126</v>
      </c>
      <c r="B451" s="10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4" t="s">
        <v>126</v>
      </c>
      <c r="B452" s="10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4" t="s">
        <v>126</v>
      </c>
      <c r="B453" s="10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4" t="s">
        <v>126</v>
      </c>
      <c r="B454" s="10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4" t="s">
        <v>126</v>
      </c>
      <c r="B455" s="10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4" t="s">
        <v>126</v>
      </c>
      <c r="B456" s="10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4" t="s">
        <v>126</v>
      </c>
      <c r="B457" s="10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4" t="s">
        <v>126</v>
      </c>
      <c r="B458" s="10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4" t="s">
        <v>126</v>
      </c>
      <c r="B459" s="10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4" t="s">
        <v>126</v>
      </c>
      <c r="B460" s="10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4" t="s">
        <v>126</v>
      </c>
      <c r="B461" s="10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4" t="s">
        <v>126</v>
      </c>
      <c r="B462" s="10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4" t="s">
        <v>126</v>
      </c>
      <c r="B463" s="10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4" t="s">
        <v>126</v>
      </c>
      <c r="B464" s="10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4" t="s">
        <v>126</v>
      </c>
      <c r="B465" s="10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4" t="s">
        <v>126</v>
      </c>
      <c r="B466" s="10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4" t="s">
        <v>126</v>
      </c>
      <c r="B467" s="10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4" t="s">
        <v>126</v>
      </c>
      <c r="B468" s="10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4" t="s">
        <v>126</v>
      </c>
      <c r="B469" s="10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4" t="s">
        <v>126</v>
      </c>
      <c r="B470" s="10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4" t="s">
        <v>126</v>
      </c>
      <c r="B471" s="10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4" t="s">
        <v>126</v>
      </c>
      <c r="B472" s="10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4" t="s">
        <v>126</v>
      </c>
      <c r="B473" s="10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4" t="s">
        <v>126</v>
      </c>
      <c r="B474" s="10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4" t="s">
        <v>126</v>
      </c>
      <c r="B475" s="10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4" t="s">
        <v>126</v>
      </c>
      <c r="B476" s="10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4" t="s">
        <v>126</v>
      </c>
      <c r="B477" s="10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4" t="s">
        <v>126</v>
      </c>
      <c r="B478" s="10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4" t="s">
        <v>126</v>
      </c>
      <c r="B479" s="10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4" t="s">
        <v>126</v>
      </c>
      <c r="B480" s="10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4" t="s">
        <v>126</v>
      </c>
      <c r="B481" s="10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4" t="s">
        <v>126</v>
      </c>
      <c r="B482" s="10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4" t="s">
        <v>126</v>
      </c>
      <c r="B483" s="10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4" t="s">
        <v>126</v>
      </c>
      <c r="B484" s="10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4" t="s">
        <v>126</v>
      </c>
      <c r="B485" s="10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4" t="s">
        <v>126</v>
      </c>
      <c r="B486" s="10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4" t="s">
        <v>126</v>
      </c>
      <c r="B487" s="10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4" t="s">
        <v>126</v>
      </c>
      <c r="B488" s="10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4" t="s">
        <v>126</v>
      </c>
      <c r="B489" s="10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4" t="s">
        <v>126</v>
      </c>
      <c r="B490" s="10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4" t="s">
        <v>126</v>
      </c>
      <c r="B491" s="10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4" t="s">
        <v>126</v>
      </c>
      <c r="B492" s="10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4" t="s">
        <v>126</v>
      </c>
      <c r="B493" s="10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4" t="s">
        <v>126</v>
      </c>
      <c r="B494" s="10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4" t="s">
        <v>126</v>
      </c>
      <c r="B495" s="10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4" t="s">
        <v>126</v>
      </c>
      <c r="B496" s="10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4" t="s">
        <v>126</v>
      </c>
      <c r="B497" s="10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4" t="s">
        <v>126</v>
      </c>
      <c r="B498" s="10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4" t="s">
        <v>126</v>
      </c>
      <c r="B499" s="10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4" t="s">
        <v>126</v>
      </c>
      <c r="B500" s="10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4" t="s">
        <v>126</v>
      </c>
      <c r="B501" s="10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4" t="s">
        <v>126</v>
      </c>
      <c r="B502" s="10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4" t="s">
        <v>126</v>
      </c>
      <c r="B503" s="10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4" t="s">
        <v>126</v>
      </c>
      <c r="B504" s="10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4" t="s">
        <v>126</v>
      </c>
      <c r="B505" s="10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4" t="s">
        <v>126</v>
      </c>
      <c r="B506" s="10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4" t="s">
        <v>126</v>
      </c>
      <c r="B507" s="10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4" t="s">
        <v>126</v>
      </c>
      <c r="B508" s="10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4" t="s">
        <v>126</v>
      </c>
      <c r="B509" s="10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4" t="s">
        <v>126</v>
      </c>
      <c r="B510" s="10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4" t="s">
        <v>126</v>
      </c>
      <c r="B511" s="10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4" t="s">
        <v>126</v>
      </c>
      <c r="B512" s="10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4" t="s">
        <v>126</v>
      </c>
      <c r="B513" s="10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4" t="s">
        <v>126</v>
      </c>
      <c r="B514" s="10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4" t="s">
        <v>126</v>
      </c>
      <c r="B515" s="10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4" t="s">
        <v>126</v>
      </c>
      <c r="B516" s="10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4" t="s">
        <v>126</v>
      </c>
      <c r="B517" s="10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4" t="s">
        <v>126</v>
      </c>
      <c r="B518" s="10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4" t="s">
        <v>126</v>
      </c>
      <c r="B519" s="10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4" t="s">
        <v>126</v>
      </c>
      <c r="B520" s="10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4" t="s">
        <v>126</v>
      </c>
      <c r="B521" s="10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4" t="s">
        <v>126</v>
      </c>
      <c r="B522" s="10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4" t="s">
        <v>126</v>
      </c>
      <c r="B523" s="10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4" t="s">
        <v>126</v>
      </c>
      <c r="B524" s="10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4" t="s">
        <v>126</v>
      </c>
      <c r="B525" s="10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4" t="s">
        <v>126</v>
      </c>
      <c r="B526" s="10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4" t="s">
        <v>126</v>
      </c>
      <c r="B527" s="10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4" t="s">
        <v>126</v>
      </c>
      <c r="B528" s="10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4" t="s">
        <v>126</v>
      </c>
      <c r="B529" s="10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4" t="s">
        <v>126</v>
      </c>
      <c r="B530" s="10">
        <v>45874</v>
      </c>
      <c r="C530" s="6" t="s">
        <v>97</v>
      </c>
      <c r="D530" s="6" t="s">
        <v>98</v>
      </c>
      <c r="E530" s="6" t="s">
        <v>99</v>
      </c>
      <c r="F530" s="6">
        <v>74.400000000000006</v>
      </c>
      <c r="G530" s="6">
        <v>78.8</v>
      </c>
      <c r="H530" s="6">
        <v>63.8</v>
      </c>
      <c r="I530" s="6">
        <v>39.200000000000003</v>
      </c>
      <c r="J530" s="6">
        <v>-14.1</v>
      </c>
      <c r="K530" s="6">
        <v>58.9</v>
      </c>
      <c r="L530" s="6">
        <v>-19.100000000000001</v>
      </c>
      <c r="M530" s="6">
        <v>77.3</v>
      </c>
      <c r="N530" s="6">
        <v>0.83</v>
      </c>
      <c r="O530" s="6">
        <v>51.2</v>
      </c>
    </row>
    <row r="531" spans="1:18" x14ac:dyDescent="0.25">
      <c r="A531" s="34" t="s">
        <v>126</v>
      </c>
      <c r="B531" s="10">
        <v>45874</v>
      </c>
      <c r="C531" s="6" t="s">
        <v>97</v>
      </c>
      <c r="D531" s="6" t="s">
        <v>98</v>
      </c>
      <c r="E531" s="6" t="s">
        <v>99</v>
      </c>
      <c r="F531" s="6">
        <v>98.5</v>
      </c>
      <c r="G531" s="6">
        <v>109.4</v>
      </c>
      <c r="H531" s="6">
        <v>81.599999999999994</v>
      </c>
      <c r="I531" s="6">
        <v>19.399999999999999</v>
      </c>
      <c r="J531" s="6">
        <v>-15.1</v>
      </c>
      <c r="K531" s="6">
        <v>40.799999999999997</v>
      </c>
      <c r="L531" s="6">
        <v>-23.6</v>
      </c>
      <c r="M531" s="6">
        <v>77.3</v>
      </c>
      <c r="N531" s="6">
        <v>1.06</v>
      </c>
      <c r="O531" s="6">
        <v>35.1</v>
      </c>
    </row>
    <row r="532" spans="1:18" x14ac:dyDescent="0.25">
      <c r="A532" s="34" t="s">
        <v>126</v>
      </c>
      <c r="B532" s="10">
        <v>45874</v>
      </c>
      <c r="C532" s="6" t="s">
        <v>97</v>
      </c>
      <c r="D532" s="6" t="s">
        <v>98</v>
      </c>
      <c r="E532" s="6" t="s">
        <v>99</v>
      </c>
      <c r="F532" s="6">
        <v>53.6</v>
      </c>
      <c r="G532" s="6">
        <v>55.8</v>
      </c>
      <c r="H532" s="6">
        <v>53.3</v>
      </c>
      <c r="I532" s="6">
        <v>42.2</v>
      </c>
      <c r="J532" s="6">
        <v>-17.5</v>
      </c>
      <c r="K532" s="6">
        <v>45.1</v>
      </c>
      <c r="L532" s="6">
        <v>-17.8</v>
      </c>
      <c r="M532" s="6">
        <v>61.7</v>
      </c>
      <c r="N532" s="6">
        <v>0.86</v>
      </c>
      <c r="O532" s="6">
        <v>50.8</v>
      </c>
    </row>
    <row r="533" spans="1:18" x14ac:dyDescent="0.25">
      <c r="A533" s="34" t="s">
        <v>126</v>
      </c>
      <c r="B533" s="10">
        <v>45874</v>
      </c>
      <c r="C533" s="6" t="s">
        <v>97</v>
      </c>
      <c r="D533" s="6" t="s">
        <v>98</v>
      </c>
      <c r="E533" s="6" t="s">
        <v>99</v>
      </c>
      <c r="F533" s="6">
        <v>40.5</v>
      </c>
      <c r="G533" s="6">
        <v>42.7</v>
      </c>
      <c r="H533" s="6">
        <v>47.9</v>
      </c>
      <c r="I533" s="6">
        <v>45.8</v>
      </c>
      <c r="J533" s="6">
        <v>-15</v>
      </c>
      <c r="K533" s="6">
        <v>40.4</v>
      </c>
      <c r="L533" s="6">
        <v>-12.1</v>
      </c>
      <c r="M533" s="6">
        <v>55.8</v>
      </c>
      <c r="N533" s="6">
        <v>0.86</v>
      </c>
      <c r="O533" s="6">
        <v>52.9</v>
      </c>
    </row>
    <row r="534" spans="1:18" x14ac:dyDescent="0.25">
      <c r="A534" s="34" t="s">
        <v>126</v>
      </c>
      <c r="B534" s="10">
        <v>45874</v>
      </c>
      <c r="C534" s="6" t="s">
        <v>97</v>
      </c>
      <c r="D534" s="6" t="s">
        <v>98</v>
      </c>
      <c r="E534" s="6" t="s">
        <v>99</v>
      </c>
      <c r="F534" s="6">
        <v>55.8</v>
      </c>
      <c r="G534" s="6">
        <v>60.2</v>
      </c>
      <c r="H534" s="6">
        <v>54.5</v>
      </c>
      <c r="I534" s="6">
        <v>37.700000000000003</v>
      </c>
      <c r="J534" s="6">
        <v>-14.1</v>
      </c>
      <c r="K534" s="6">
        <v>40.4</v>
      </c>
      <c r="L534" s="6">
        <v>-13.7</v>
      </c>
      <c r="M534" s="6">
        <v>61.3</v>
      </c>
      <c r="N534" s="6">
        <v>0.89</v>
      </c>
      <c r="O534" s="6">
        <v>46.4</v>
      </c>
    </row>
    <row r="535" spans="1:18" x14ac:dyDescent="0.25">
      <c r="A535" s="34" t="s">
        <v>126</v>
      </c>
      <c r="B535" s="10">
        <v>45874</v>
      </c>
      <c r="C535" s="6" t="s">
        <v>97</v>
      </c>
      <c r="D535" s="6" t="s">
        <v>98</v>
      </c>
      <c r="E535" s="6" t="s">
        <v>99</v>
      </c>
      <c r="F535" s="6">
        <v>39.4</v>
      </c>
      <c r="G535" s="6">
        <v>43.8</v>
      </c>
      <c r="H535" s="6">
        <v>45.6</v>
      </c>
      <c r="I535" s="6">
        <v>45.5</v>
      </c>
      <c r="J535" s="6">
        <v>-12.3</v>
      </c>
      <c r="K535" s="6">
        <v>36.4</v>
      </c>
      <c r="L535" s="6">
        <v>-10.199999999999999</v>
      </c>
      <c r="M535" s="6">
        <v>48.6</v>
      </c>
      <c r="N535" s="6">
        <v>0.94</v>
      </c>
      <c r="O535" s="6">
        <v>51.8</v>
      </c>
    </row>
    <row r="536" spans="1:18" x14ac:dyDescent="0.25">
      <c r="A536" s="34" t="s">
        <v>126</v>
      </c>
      <c r="B536" s="10">
        <v>45874</v>
      </c>
      <c r="C536" s="6" t="s">
        <v>101</v>
      </c>
      <c r="D536" s="6" t="s">
        <v>102</v>
      </c>
      <c r="E536" s="6" t="s">
        <v>103</v>
      </c>
      <c r="F536" s="6">
        <v>95.2</v>
      </c>
      <c r="G536" s="6">
        <v>99.6</v>
      </c>
      <c r="H536" s="6">
        <v>74.400000000000006</v>
      </c>
      <c r="I536" s="6">
        <v>35.299999999999997</v>
      </c>
      <c r="J536" s="6">
        <v>1.9</v>
      </c>
      <c r="K536" s="6">
        <v>71.2</v>
      </c>
      <c r="L536" s="6">
        <v>12.3</v>
      </c>
      <c r="M536" s="6">
        <v>81.099999999999994</v>
      </c>
      <c r="N536" s="6">
        <v>0.92</v>
      </c>
      <c r="O536" s="6">
        <v>50.9</v>
      </c>
    </row>
    <row r="537" spans="1:18" x14ac:dyDescent="0.25">
      <c r="A537" s="34" t="s">
        <v>126</v>
      </c>
      <c r="B537" s="10">
        <v>45874</v>
      </c>
      <c r="C537" s="6" t="s">
        <v>101</v>
      </c>
      <c r="D537" s="6" t="s">
        <v>102</v>
      </c>
      <c r="E537" s="6" t="s">
        <v>103</v>
      </c>
      <c r="F537" s="6">
        <v>119.2</v>
      </c>
      <c r="G537" s="6">
        <v>122.5</v>
      </c>
      <c r="H537" s="6">
        <v>90.4</v>
      </c>
      <c r="I537" s="6">
        <v>32.700000000000003</v>
      </c>
      <c r="J537" s="6">
        <v>-18.899999999999999</v>
      </c>
      <c r="K537" s="6">
        <v>98</v>
      </c>
      <c r="L537" s="6">
        <v>-45.7</v>
      </c>
      <c r="M537" s="6">
        <v>79.400000000000006</v>
      </c>
      <c r="N537" s="6">
        <v>1.1399999999999999</v>
      </c>
      <c r="O537" s="6">
        <v>53.9</v>
      </c>
    </row>
    <row r="538" spans="1:18" x14ac:dyDescent="0.25">
      <c r="A538" s="34" t="s">
        <v>126</v>
      </c>
      <c r="B538" s="10">
        <v>45874</v>
      </c>
      <c r="C538" s="6" t="s">
        <v>101</v>
      </c>
      <c r="D538" s="6" t="s">
        <v>102</v>
      </c>
      <c r="E538" s="6" t="s">
        <v>103</v>
      </c>
      <c r="F538" s="6">
        <v>105</v>
      </c>
      <c r="G538" s="6">
        <v>107.2</v>
      </c>
      <c r="H538" s="6">
        <v>82.9</v>
      </c>
      <c r="I538" s="6">
        <v>37</v>
      </c>
      <c r="J538" s="6">
        <v>-13.7</v>
      </c>
      <c r="K538" s="6">
        <v>93.9</v>
      </c>
      <c r="L538" s="6">
        <v>-28.1</v>
      </c>
      <c r="M538" s="6">
        <v>78.8</v>
      </c>
      <c r="N538" s="6">
        <v>1.05</v>
      </c>
      <c r="O538" s="6">
        <v>55.1</v>
      </c>
    </row>
    <row r="539" spans="1:18" x14ac:dyDescent="0.25">
      <c r="A539" s="34" t="s">
        <v>126</v>
      </c>
      <c r="B539" s="10">
        <v>45874</v>
      </c>
      <c r="C539" s="6" t="s">
        <v>101</v>
      </c>
      <c r="D539" s="6" t="s">
        <v>102</v>
      </c>
      <c r="E539" s="6" t="s">
        <v>103</v>
      </c>
      <c r="F539" s="6">
        <v>112.7</v>
      </c>
      <c r="G539" s="6">
        <v>122.5</v>
      </c>
      <c r="H539" s="6">
        <v>87.9</v>
      </c>
      <c r="I539" s="6">
        <v>21.6</v>
      </c>
      <c r="J539" s="6">
        <v>-14.9</v>
      </c>
      <c r="K539" s="6">
        <v>56.6</v>
      </c>
      <c r="L539" s="6">
        <v>-34.9</v>
      </c>
      <c r="M539" s="6">
        <v>79.3</v>
      </c>
      <c r="N539" s="6">
        <v>1.1100000000000001</v>
      </c>
      <c r="O539" s="6">
        <v>40.9</v>
      </c>
    </row>
    <row r="540" spans="1:18" x14ac:dyDescent="0.25">
      <c r="A540" s="34" t="s">
        <v>126</v>
      </c>
      <c r="B540" s="10">
        <v>45874</v>
      </c>
      <c r="C540" s="6" t="s">
        <v>101</v>
      </c>
      <c r="D540" s="6" t="s">
        <v>102</v>
      </c>
      <c r="E540" s="6" t="s">
        <v>103</v>
      </c>
      <c r="F540" s="6">
        <v>101.7</v>
      </c>
      <c r="G540" s="6">
        <v>105</v>
      </c>
      <c r="H540" s="6">
        <v>80.900000000000006</v>
      </c>
      <c r="I540" s="6">
        <v>30.4</v>
      </c>
      <c r="J540" s="6">
        <v>-17.399999999999999</v>
      </c>
      <c r="K540" s="6">
        <v>71</v>
      </c>
      <c r="L540" s="6">
        <v>-36.1</v>
      </c>
      <c r="M540" s="6">
        <v>78.2</v>
      </c>
      <c r="N540" s="6">
        <v>1.03</v>
      </c>
      <c r="O540" s="6">
        <v>48.3</v>
      </c>
    </row>
    <row r="541" spans="1:18" x14ac:dyDescent="0.25">
      <c r="A541" s="34" t="s">
        <v>126</v>
      </c>
      <c r="B541" s="10">
        <v>45874</v>
      </c>
      <c r="C541" s="6" t="s">
        <v>101</v>
      </c>
      <c r="D541" s="6" t="s">
        <v>102</v>
      </c>
      <c r="E541" s="6" t="s">
        <v>103</v>
      </c>
      <c r="F541" s="6">
        <v>106.1</v>
      </c>
      <c r="G541" s="6">
        <v>111.6</v>
      </c>
      <c r="H541" s="6">
        <v>82.3</v>
      </c>
      <c r="I541" s="6">
        <v>31.1</v>
      </c>
      <c r="J541" s="6">
        <v>-11</v>
      </c>
      <c r="K541" s="6">
        <v>75.7</v>
      </c>
      <c r="L541" s="6">
        <v>-22.8</v>
      </c>
      <c r="M541" s="6">
        <v>77.599999999999994</v>
      </c>
      <c r="N541" s="6">
        <v>1.06</v>
      </c>
      <c r="O541" s="6">
        <v>49.4</v>
      </c>
    </row>
    <row r="542" spans="1:18" x14ac:dyDescent="0.25">
      <c r="A542" s="34" t="s">
        <v>126</v>
      </c>
      <c r="B542" s="10">
        <v>45874</v>
      </c>
      <c r="C542" s="6" t="s">
        <v>101</v>
      </c>
      <c r="D542" s="6" t="s">
        <v>102</v>
      </c>
      <c r="E542" s="6" t="s">
        <v>103</v>
      </c>
      <c r="F542" s="6">
        <v>114.9</v>
      </c>
      <c r="G542" s="6">
        <v>121.4</v>
      </c>
      <c r="H542" s="6">
        <v>86.7</v>
      </c>
      <c r="I542" s="6">
        <v>24</v>
      </c>
      <c r="J542" s="6">
        <v>-13.3</v>
      </c>
      <c r="K542" s="6">
        <v>62.2</v>
      </c>
      <c r="L542" s="6">
        <v>-26.2</v>
      </c>
      <c r="M542" s="6">
        <v>80.400000000000006</v>
      </c>
      <c r="N542" s="6">
        <v>1.08</v>
      </c>
      <c r="O542" s="6">
        <v>43.5</v>
      </c>
    </row>
    <row r="543" spans="1:18" x14ac:dyDescent="0.25">
      <c r="A543" s="34" t="s">
        <v>126</v>
      </c>
      <c r="B543" s="10">
        <v>45874</v>
      </c>
      <c r="C543" s="6" t="s">
        <v>107</v>
      </c>
      <c r="D543" s="6" t="s">
        <v>102</v>
      </c>
      <c r="E543" s="6" t="s">
        <v>106</v>
      </c>
      <c r="F543" s="6">
        <v>155.30000000000001</v>
      </c>
      <c r="G543" s="6">
        <v>163</v>
      </c>
      <c r="H543" s="6">
        <v>107.8</v>
      </c>
      <c r="I543" s="6">
        <v>17</v>
      </c>
      <c r="J543" s="6">
        <v>-9.1</v>
      </c>
      <c r="K543" s="6">
        <v>71.5</v>
      </c>
      <c r="L543" s="6">
        <v>-16.100000000000001</v>
      </c>
      <c r="M543" s="6">
        <v>84.8</v>
      </c>
      <c r="N543" s="6">
        <v>1.27</v>
      </c>
      <c r="O543" s="6">
        <v>42</v>
      </c>
    </row>
    <row r="544" spans="1:18" x14ac:dyDescent="0.25">
      <c r="A544" s="34" t="s">
        <v>126</v>
      </c>
      <c r="B544" s="10">
        <v>45874</v>
      </c>
      <c r="C544" s="6" t="s">
        <v>107</v>
      </c>
      <c r="D544" s="6" t="s">
        <v>102</v>
      </c>
      <c r="E544" s="6" t="s">
        <v>106</v>
      </c>
      <c r="F544" s="6">
        <v>146.6</v>
      </c>
      <c r="G544" s="6">
        <v>154.30000000000001</v>
      </c>
      <c r="H544" s="6">
        <v>104.7</v>
      </c>
      <c r="I544" s="6">
        <v>16.7</v>
      </c>
      <c r="J544" s="6">
        <v>-8.1999999999999993</v>
      </c>
      <c r="K544" s="6">
        <v>65</v>
      </c>
      <c r="L544" s="6">
        <v>-9</v>
      </c>
      <c r="M544" s="6">
        <v>85.9</v>
      </c>
      <c r="N544" s="6">
        <v>1.22</v>
      </c>
      <c r="O544" s="6">
        <v>40.4</v>
      </c>
    </row>
    <row r="545" spans="1:15" x14ac:dyDescent="0.25">
      <c r="A545" s="34" t="s">
        <v>126</v>
      </c>
      <c r="B545" s="10">
        <v>45874</v>
      </c>
      <c r="C545" s="6" t="s">
        <v>107</v>
      </c>
      <c r="D545" s="6" t="s">
        <v>102</v>
      </c>
      <c r="E545" s="6" t="s">
        <v>106</v>
      </c>
      <c r="F545" s="6">
        <v>158.6</v>
      </c>
      <c r="G545" s="6">
        <v>161.9</v>
      </c>
      <c r="H545" s="6">
        <v>112.5</v>
      </c>
      <c r="I545" s="6">
        <v>18.399999999999999</v>
      </c>
      <c r="J545" s="6">
        <v>-13.7</v>
      </c>
      <c r="K545" s="6">
        <v>86.5</v>
      </c>
      <c r="L545" s="6">
        <v>-34.799999999999997</v>
      </c>
      <c r="M545" s="6">
        <v>87.6</v>
      </c>
      <c r="N545" s="6">
        <v>1.28</v>
      </c>
      <c r="O545" s="6">
        <v>45.9</v>
      </c>
    </row>
    <row r="546" spans="1:15" x14ac:dyDescent="0.25">
      <c r="A546" s="34" t="s">
        <v>126</v>
      </c>
      <c r="B546" s="10">
        <v>45874</v>
      </c>
      <c r="C546" s="6" t="s">
        <v>107</v>
      </c>
      <c r="D546" s="6" t="s">
        <v>102</v>
      </c>
      <c r="E546" s="6" t="s">
        <v>106</v>
      </c>
      <c r="F546" s="6">
        <v>152.1</v>
      </c>
      <c r="G546" s="6">
        <v>154.30000000000001</v>
      </c>
      <c r="H546" s="6">
        <v>105.6</v>
      </c>
      <c r="I546" s="6">
        <v>28.3</v>
      </c>
      <c r="J546" s="6">
        <v>-8.3000000000000007</v>
      </c>
      <c r="K546" s="6">
        <v>116.7</v>
      </c>
      <c r="L546" s="6">
        <v>-19.8</v>
      </c>
      <c r="M546" s="6">
        <v>85.4</v>
      </c>
      <c r="N546" s="6">
        <v>1.24</v>
      </c>
      <c r="O546" s="6">
        <v>54</v>
      </c>
    </row>
    <row r="547" spans="1:15" x14ac:dyDescent="0.25">
      <c r="A547" s="34" t="s">
        <v>126</v>
      </c>
      <c r="B547" s="10">
        <v>45874</v>
      </c>
      <c r="C547" s="6" t="s">
        <v>107</v>
      </c>
      <c r="D547" s="6" t="s">
        <v>102</v>
      </c>
      <c r="E547" s="6" t="s">
        <v>106</v>
      </c>
      <c r="F547" s="6">
        <v>152.1</v>
      </c>
      <c r="G547" s="6">
        <v>157.5</v>
      </c>
      <c r="H547" s="6">
        <v>105.3</v>
      </c>
      <c r="I547" s="6">
        <v>26.5</v>
      </c>
      <c r="J547" s="6">
        <v>-10.7</v>
      </c>
      <c r="K547" s="6">
        <v>108.3</v>
      </c>
      <c r="L547" s="6">
        <v>-11.2</v>
      </c>
      <c r="M547" s="6">
        <v>84.8</v>
      </c>
      <c r="N547" s="6">
        <v>1.24</v>
      </c>
      <c r="O547" s="6">
        <v>52.1</v>
      </c>
    </row>
    <row r="548" spans="1:15" x14ac:dyDescent="0.25">
      <c r="A548" s="34" t="s">
        <v>126</v>
      </c>
      <c r="B548" s="10">
        <v>45874</v>
      </c>
      <c r="C548" s="6" t="s">
        <v>108</v>
      </c>
      <c r="D548" s="6" t="s">
        <v>102</v>
      </c>
      <c r="E548" s="6" t="s">
        <v>106</v>
      </c>
      <c r="F548" s="6">
        <v>149.9</v>
      </c>
      <c r="G548" s="6">
        <v>158.6</v>
      </c>
      <c r="H548" s="6">
        <v>111</v>
      </c>
      <c r="I548" s="6">
        <v>13.5</v>
      </c>
      <c r="J548" s="6">
        <v>-10.3</v>
      </c>
      <c r="K548" s="6">
        <v>60.1</v>
      </c>
      <c r="L548" s="6">
        <v>-6.5</v>
      </c>
      <c r="M548" s="6">
        <v>86.4</v>
      </c>
      <c r="N548" s="6">
        <v>1.28</v>
      </c>
      <c r="O548" s="6">
        <v>37.6</v>
      </c>
    </row>
    <row r="549" spans="1:15" x14ac:dyDescent="0.25">
      <c r="A549" s="34" t="s">
        <v>126</v>
      </c>
      <c r="B549" s="10">
        <v>45874</v>
      </c>
      <c r="C549" s="6" t="s">
        <v>108</v>
      </c>
      <c r="D549" s="6" t="s">
        <v>102</v>
      </c>
      <c r="E549" s="6" t="s">
        <v>106</v>
      </c>
      <c r="F549" s="6">
        <v>170.7</v>
      </c>
      <c r="G549" s="6">
        <v>177.2</v>
      </c>
      <c r="H549" s="6">
        <v>117.8</v>
      </c>
      <c r="I549" s="6">
        <v>18.600000000000001</v>
      </c>
      <c r="J549" s="6">
        <v>-11.7</v>
      </c>
      <c r="K549" s="6">
        <v>97.6</v>
      </c>
      <c r="L549" s="6">
        <v>-17.8</v>
      </c>
      <c r="M549" s="6">
        <v>85.9</v>
      </c>
      <c r="N549" s="6">
        <v>1.37</v>
      </c>
      <c r="O549" s="6">
        <v>47.5</v>
      </c>
    </row>
    <row r="550" spans="1:15" x14ac:dyDescent="0.25">
      <c r="A550" s="34" t="s">
        <v>126</v>
      </c>
      <c r="B550" s="10">
        <v>45874</v>
      </c>
      <c r="C550" s="6" t="s">
        <v>108</v>
      </c>
      <c r="D550" s="6" t="s">
        <v>102</v>
      </c>
      <c r="E550" s="6" t="s">
        <v>106</v>
      </c>
      <c r="F550" s="6">
        <v>170.7</v>
      </c>
      <c r="G550" s="6">
        <v>171.8</v>
      </c>
      <c r="H550" s="6">
        <v>118.1</v>
      </c>
      <c r="I550" s="6">
        <v>14</v>
      </c>
      <c r="J550" s="6">
        <v>-15</v>
      </c>
      <c r="K550" s="6">
        <v>74.2</v>
      </c>
      <c r="L550" s="6">
        <v>-45.4</v>
      </c>
      <c r="M550" s="6">
        <v>87</v>
      </c>
      <c r="N550" s="6">
        <v>1.36</v>
      </c>
      <c r="O550" s="6">
        <v>41.3</v>
      </c>
    </row>
    <row r="551" spans="1:15" x14ac:dyDescent="0.25">
      <c r="A551" s="34" t="s">
        <v>126</v>
      </c>
      <c r="B551" s="10">
        <v>45874</v>
      </c>
      <c r="C551" s="6" t="s">
        <v>108</v>
      </c>
      <c r="D551" s="6" t="s">
        <v>102</v>
      </c>
      <c r="E551" s="6" t="s">
        <v>106</v>
      </c>
      <c r="F551" s="6">
        <v>156.4</v>
      </c>
      <c r="G551" s="6">
        <v>161.9</v>
      </c>
      <c r="H551" s="6">
        <v>113.2</v>
      </c>
      <c r="I551" s="6">
        <v>15.2</v>
      </c>
      <c r="J551" s="6">
        <v>-11.4</v>
      </c>
      <c r="K551" s="6">
        <v>71.8</v>
      </c>
      <c r="L551" s="6">
        <v>-17.100000000000001</v>
      </c>
      <c r="M551" s="6">
        <v>85.8</v>
      </c>
      <c r="N551" s="6">
        <v>1.32</v>
      </c>
      <c r="O551" s="6">
        <v>41.2</v>
      </c>
    </row>
    <row r="552" spans="1:15" x14ac:dyDescent="0.25">
      <c r="A552" s="34" t="s">
        <v>126</v>
      </c>
      <c r="B552" s="10">
        <v>45874</v>
      </c>
      <c r="C552" s="6" t="s">
        <v>108</v>
      </c>
      <c r="D552" s="6" t="s">
        <v>102</v>
      </c>
      <c r="E552" s="6" t="s">
        <v>106</v>
      </c>
      <c r="F552" s="6">
        <v>161.9</v>
      </c>
      <c r="G552" s="6">
        <v>163</v>
      </c>
      <c r="H552" s="6">
        <v>113.8</v>
      </c>
      <c r="I552" s="6">
        <v>18.100000000000001</v>
      </c>
      <c r="J552" s="6">
        <v>-12.8</v>
      </c>
      <c r="K552" s="6">
        <v>87.4</v>
      </c>
      <c r="L552" s="6">
        <v>-36</v>
      </c>
      <c r="M552" s="6">
        <v>87.5</v>
      </c>
      <c r="N552" s="6">
        <v>1.3</v>
      </c>
      <c r="O552" s="6">
        <v>45.7</v>
      </c>
    </row>
    <row r="553" spans="1:15" x14ac:dyDescent="0.25">
      <c r="A553" s="34" t="s">
        <v>126</v>
      </c>
      <c r="B553" s="10">
        <v>45874</v>
      </c>
      <c r="C553" s="6" t="s">
        <v>109</v>
      </c>
      <c r="D553" s="6" t="s">
        <v>102</v>
      </c>
      <c r="E553" s="6" t="s">
        <v>106</v>
      </c>
      <c r="F553" s="6">
        <v>176.1</v>
      </c>
      <c r="G553" s="6">
        <v>177.2</v>
      </c>
      <c r="H553" s="6">
        <v>123.1</v>
      </c>
      <c r="I553" s="6">
        <v>13.5</v>
      </c>
      <c r="J553" s="6">
        <v>-14.6</v>
      </c>
      <c r="K553" s="6">
        <v>79.5</v>
      </c>
      <c r="L553" s="6">
        <v>-52.6</v>
      </c>
      <c r="M553" s="6">
        <v>89.5</v>
      </c>
      <c r="N553" s="6">
        <v>1.38</v>
      </c>
      <c r="O553" s="6">
        <v>42</v>
      </c>
    </row>
    <row r="554" spans="1:15" x14ac:dyDescent="0.25">
      <c r="A554" s="34" t="s">
        <v>126</v>
      </c>
      <c r="B554" s="10">
        <v>45874</v>
      </c>
      <c r="C554" s="6" t="s">
        <v>109</v>
      </c>
      <c r="D554" s="6" t="s">
        <v>102</v>
      </c>
      <c r="E554" s="6" t="s">
        <v>106</v>
      </c>
      <c r="F554" s="6">
        <v>149.9</v>
      </c>
      <c r="G554" s="6">
        <v>159.69999999999999</v>
      </c>
      <c r="H554" s="6">
        <v>114.2</v>
      </c>
      <c r="I554" s="6">
        <v>13.2</v>
      </c>
      <c r="J554" s="6">
        <v>-6.7</v>
      </c>
      <c r="K554" s="6">
        <v>63.1</v>
      </c>
      <c r="L554" s="6">
        <v>15.1</v>
      </c>
      <c r="M554" s="6">
        <v>86.4</v>
      </c>
      <c r="N554" s="6">
        <v>1.32</v>
      </c>
      <c r="O554" s="6">
        <v>37.9</v>
      </c>
    </row>
    <row r="555" spans="1:15" x14ac:dyDescent="0.25">
      <c r="A555" s="34" t="s">
        <v>126</v>
      </c>
      <c r="B555" s="10">
        <v>45874</v>
      </c>
      <c r="C555" s="6" t="s">
        <v>109</v>
      </c>
      <c r="D555" s="6" t="s">
        <v>102</v>
      </c>
      <c r="E555" s="6" t="s">
        <v>106</v>
      </c>
      <c r="F555" s="6">
        <v>170.7</v>
      </c>
      <c r="G555" s="6">
        <v>179.4</v>
      </c>
      <c r="H555" s="6">
        <v>117.7</v>
      </c>
      <c r="I555" s="6">
        <v>13.7</v>
      </c>
      <c r="J555" s="6">
        <v>-14.2</v>
      </c>
      <c r="K555" s="6">
        <v>71</v>
      </c>
      <c r="L555" s="6">
        <v>-31.3</v>
      </c>
      <c r="M555" s="6">
        <v>85.3</v>
      </c>
      <c r="N555" s="6">
        <v>1.38</v>
      </c>
      <c r="O555" s="6">
        <v>40</v>
      </c>
    </row>
    <row r="556" spans="1:15" x14ac:dyDescent="0.25">
      <c r="A556" s="34" t="s">
        <v>126</v>
      </c>
      <c r="B556" s="10">
        <v>45874</v>
      </c>
      <c r="C556" s="6" t="s">
        <v>109</v>
      </c>
      <c r="D556" s="6" t="s">
        <v>102</v>
      </c>
      <c r="E556" s="6" t="s">
        <v>106</v>
      </c>
      <c r="F556" s="6">
        <v>176.1</v>
      </c>
      <c r="G556" s="6">
        <v>177.2</v>
      </c>
      <c r="H556" s="6">
        <v>122.4</v>
      </c>
      <c r="I556" s="6">
        <v>11.2</v>
      </c>
      <c r="J556" s="6">
        <v>-16.7</v>
      </c>
      <c r="K556" s="6">
        <v>65.5</v>
      </c>
      <c r="L556" s="6">
        <v>-47</v>
      </c>
      <c r="M556" s="6">
        <v>87.5</v>
      </c>
      <c r="N556" s="6">
        <v>1.4</v>
      </c>
      <c r="O556" s="6">
        <v>37.9</v>
      </c>
    </row>
    <row r="557" spans="1:15" x14ac:dyDescent="0.25">
      <c r="A557" s="34" t="s">
        <v>126</v>
      </c>
      <c r="B557" s="10">
        <v>45874</v>
      </c>
      <c r="C557" s="6" t="s">
        <v>109</v>
      </c>
      <c r="D557" s="6" t="s">
        <v>102</v>
      </c>
      <c r="E557" s="6" t="s">
        <v>106</v>
      </c>
      <c r="F557" s="6">
        <v>170.7</v>
      </c>
      <c r="G557" s="6">
        <v>177.2</v>
      </c>
      <c r="H557" s="6">
        <v>120.3</v>
      </c>
      <c r="I557" s="6">
        <v>14.6</v>
      </c>
      <c r="J557" s="6">
        <v>-12.5</v>
      </c>
      <c r="K557" s="6">
        <v>80.3</v>
      </c>
      <c r="L557" s="6">
        <v>-25.2</v>
      </c>
      <c r="M557" s="6">
        <v>88</v>
      </c>
      <c r="N557" s="6">
        <v>1.37</v>
      </c>
      <c r="O557" s="6">
        <v>42.4</v>
      </c>
    </row>
    <row r="558" spans="1:15" x14ac:dyDescent="0.25">
      <c r="A558" s="34" t="s">
        <v>126</v>
      </c>
      <c r="B558" s="10">
        <v>45874</v>
      </c>
      <c r="C558" s="6" t="s">
        <v>109</v>
      </c>
      <c r="D558" s="6" t="s">
        <v>102</v>
      </c>
      <c r="E558" s="6" t="s">
        <v>106</v>
      </c>
      <c r="F558" s="6">
        <v>177.2</v>
      </c>
      <c r="G558" s="6">
        <v>182.7</v>
      </c>
      <c r="H558" s="6">
        <v>123.4</v>
      </c>
      <c r="I558" s="6">
        <v>14</v>
      </c>
      <c r="J558" s="6">
        <v>-12.2</v>
      </c>
      <c r="K558" s="6">
        <v>82.6</v>
      </c>
      <c r="L558" s="6">
        <v>-33.700000000000003</v>
      </c>
      <c r="M558" s="6">
        <v>86.4</v>
      </c>
      <c r="N558" s="6">
        <v>1.43</v>
      </c>
      <c r="O558" s="6">
        <v>42.6</v>
      </c>
    </row>
    <row r="559" spans="1:15" x14ac:dyDescent="0.25">
      <c r="A559" s="34" t="s">
        <v>126</v>
      </c>
      <c r="B559" s="10">
        <v>45874</v>
      </c>
      <c r="C559" s="6" t="s">
        <v>109</v>
      </c>
      <c r="D559" s="6" t="s">
        <v>102</v>
      </c>
      <c r="E559" s="6" t="s">
        <v>106</v>
      </c>
      <c r="F559" s="6">
        <v>157.5</v>
      </c>
      <c r="G559" s="6">
        <v>170.7</v>
      </c>
      <c r="H559" s="6">
        <v>121.1</v>
      </c>
      <c r="I559" s="6">
        <v>7.3</v>
      </c>
      <c r="J559" s="6">
        <v>-10.1</v>
      </c>
      <c r="K559" s="6">
        <v>41.8</v>
      </c>
      <c r="L559" s="6">
        <v>-6.8</v>
      </c>
      <c r="M559" s="6">
        <v>89.1</v>
      </c>
      <c r="N559" s="6">
        <v>1.36</v>
      </c>
      <c r="O559" s="6">
        <v>29.2</v>
      </c>
    </row>
    <row r="560" spans="1:15" x14ac:dyDescent="0.25">
      <c r="A560" s="34" t="s">
        <v>126</v>
      </c>
      <c r="B560" s="10">
        <v>45874</v>
      </c>
      <c r="C560" s="6" t="s">
        <v>109</v>
      </c>
      <c r="D560" s="6" t="s">
        <v>102</v>
      </c>
      <c r="E560" s="6" t="s">
        <v>106</v>
      </c>
      <c r="F560" s="6">
        <v>175</v>
      </c>
      <c r="G560" s="6">
        <v>176.1</v>
      </c>
      <c r="H560" s="6">
        <v>122</v>
      </c>
      <c r="I560" s="6">
        <v>10.6</v>
      </c>
      <c r="J560" s="6">
        <v>-16.600000000000001</v>
      </c>
      <c r="K560" s="6">
        <v>61.8</v>
      </c>
      <c r="L560" s="6">
        <v>-50.9</v>
      </c>
      <c r="M560" s="6">
        <v>86.4</v>
      </c>
      <c r="N560" s="6">
        <v>1.41</v>
      </c>
      <c r="O560" s="6">
        <v>36.700000000000003</v>
      </c>
    </row>
    <row r="561" spans="1:15" x14ac:dyDescent="0.25">
      <c r="A561" s="34" t="s">
        <v>126</v>
      </c>
      <c r="B561" s="10">
        <v>45874</v>
      </c>
      <c r="C561" s="6" t="s">
        <v>109</v>
      </c>
      <c r="D561" s="6" t="s">
        <v>102</v>
      </c>
      <c r="E561" s="6" t="s">
        <v>106</v>
      </c>
      <c r="F561" s="6">
        <v>161.9</v>
      </c>
      <c r="G561" s="6">
        <v>164.1</v>
      </c>
      <c r="H561" s="6">
        <v>119.8</v>
      </c>
      <c r="I561" s="6">
        <v>6.7</v>
      </c>
      <c r="J561" s="6">
        <v>-18.899999999999999</v>
      </c>
      <c r="K561" s="6">
        <v>38.299999999999997</v>
      </c>
      <c r="L561" s="6">
        <v>-50.8</v>
      </c>
      <c r="M561" s="6">
        <v>86.4</v>
      </c>
      <c r="N561" s="6">
        <v>1.39</v>
      </c>
      <c r="O561" s="6">
        <v>27.9</v>
      </c>
    </row>
    <row r="562" spans="1:15" x14ac:dyDescent="0.25">
      <c r="A562" s="34" t="s">
        <v>126</v>
      </c>
      <c r="B562" s="10">
        <v>45874</v>
      </c>
      <c r="C562" s="6" t="s">
        <v>109</v>
      </c>
      <c r="D562" s="6" t="s">
        <v>102</v>
      </c>
      <c r="E562" s="6" t="s">
        <v>106</v>
      </c>
      <c r="F562" s="6">
        <v>159.69999999999999</v>
      </c>
      <c r="G562" s="6">
        <v>166.3</v>
      </c>
      <c r="H562" s="6">
        <v>114.4</v>
      </c>
      <c r="I562" s="6">
        <v>15.8</v>
      </c>
      <c r="J562" s="6">
        <v>-8.3000000000000007</v>
      </c>
      <c r="K562" s="6">
        <v>76.099999999999994</v>
      </c>
      <c r="L562" s="6">
        <v>-7</v>
      </c>
      <c r="M562" s="6">
        <v>85.8</v>
      </c>
      <c r="N562" s="6">
        <v>1.33</v>
      </c>
      <c r="O562" s="6">
        <v>41.8</v>
      </c>
    </row>
    <row r="563" spans="1:15" x14ac:dyDescent="0.25">
      <c r="A563" s="34" t="s">
        <v>126</v>
      </c>
      <c r="B563" s="10">
        <v>45874</v>
      </c>
      <c r="C563" s="6" t="s">
        <v>110</v>
      </c>
      <c r="D563" s="6" t="s">
        <v>102</v>
      </c>
      <c r="E563" s="6" t="s">
        <v>106</v>
      </c>
      <c r="F563" s="6">
        <v>161.9</v>
      </c>
      <c r="G563" s="6">
        <v>169.6</v>
      </c>
      <c r="H563" s="6">
        <v>117.4</v>
      </c>
      <c r="I563" s="6">
        <v>13.8</v>
      </c>
      <c r="J563" s="6">
        <v>-9.8000000000000007</v>
      </c>
      <c r="K563" s="6">
        <v>70.5</v>
      </c>
      <c r="L563" s="6">
        <v>-4.7</v>
      </c>
      <c r="M563" s="6">
        <v>86.8</v>
      </c>
      <c r="N563" s="6">
        <v>1.35</v>
      </c>
      <c r="O563" s="6">
        <v>39.700000000000003</v>
      </c>
    </row>
    <row r="564" spans="1:15" x14ac:dyDescent="0.25">
      <c r="A564" s="34" t="s">
        <v>126</v>
      </c>
      <c r="B564" s="10">
        <v>45874</v>
      </c>
      <c r="C564" s="6" t="s">
        <v>110</v>
      </c>
      <c r="D564" s="6" t="s">
        <v>102</v>
      </c>
      <c r="E564" s="6" t="s">
        <v>106</v>
      </c>
      <c r="F564" s="6">
        <v>153.19999999999999</v>
      </c>
      <c r="G564" s="6">
        <v>169.6</v>
      </c>
      <c r="H564" s="6">
        <v>123.8</v>
      </c>
      <c r="I564" s="6">
        <v>3.5</v>
      </c>
      <c r="J564" s="6">
        <v>-9.6999999999999993</v>
      </c>
      <c r="K564" s="6">
        <v>24.5</v>
      </c>
      <c r="L564" s="6">
        <v>-18.100000000000001</v>
      </c>
      <c r="M564" s="6">
        <v>89.1</v>
      </c>
      <c r="N564" s="6">
        <v>1.39</v>
      </c>
      <c r="O564" s="6">
        <v>20.3</v>
      </c>
    </row>
    <row r="565" spans="1:15" x14ac:dyDescent="0.25">
      <c r="A565" s="34" t="s">
        <v>126</v>
      </c>
      <c r="B565" s="10">
        <v>45874</v>
      </c>
      <c r="C565" s="6" t="s">
        <v>110</v>
      </c>
      <c r="D565" s="6" t="s">
        <v>102</v>
      </c>
      <c r="E565" s="6" t="s">
        <v>106</v>
      </c>
      <c r="F565" s="6">
        <v>171.8</v>
      </c>
      <c r="G565" s="6">
        <v>182.7</v>
      </c>
      <c r="H565" s="6">
        <v>121</v>
      </c>
      <c r="I565" s="6">
        <v>10.8</v>
      </c>
      <c r="J565" s="6">
        <v>-11.8</v>
      </c>
      <c r="K565" s="6">
        <v>60.3</v>
      </c>
      <c r="L565" s="6">
        <v>-16.899999999999999</v>
      </c>
      <c r="M565" s="6">
        <v>86.8</v>
      </c>
      <c r="N565" s="6">
        <v>1.39</v>
      </c>
      <c r="O565" s="6">
        <v>36.1</v>
      </c>
    </row>
    <row r="566" spans="1:15" x14ac:dyDescent="0.25">
      <c r="A566" s="34" t="s">
        <v>126</v>
      </c>
      <c r="B566" s="10">
        <v>45874</v>
      </c>
      <c r="C566" s="6" t="s">
        <v>110</v>
      </c>
      <c r="D566" s="6" t="s">
        <v>102</v>
      </c>
      <c r="E566" s="6" t="s">
        <v>106</v>
      </c>
      <c r="F566" s="6">
        <v>172.9</v>
      </c>
      <c r="G566" s="6">
        <v>181.6</v>
      </c>
      <c r="H566" s="6">
        <v>118.4</v>
      </c>
      <c r="I566" s="6">
        <v>14.6</v>
      </c>
      <c r="J566" s="6">
        <v>-12.6</v>
      </c>
      <c r="K566" s="6">
        <v>76.8</v>
      </c>
      <c r="L566" s="6">
        <v>-27.9</v>
      </c>
      <c r="M566" s="6">
        <v>86.2</v>
      </c>
      <c r="N566" s="6">
        <v>1.37</v>
      </c>
      <c r="O566" s="6">
        <v>41.4</v>
      </c>
    </row>
    <row r="567" spans="1:15" x14ac:dyDescent="0.25">
      <c r="A567" s="34" t="s">
        <v>126</v>
      </c>
      <c r="B567" s="10">
        <v>45874</v>
      </c>
      <c r="C567" s="6" t="s">
        <v>110</v>
      </c>
      <c r="D567" s="6" t="s">
        <v>102</v>
      </c>
      <c r="E567" s="6" t="s">
        <v>106</v>
      </c>
      <c r="F567" s="6">
        <v>169.6</v>
      </c>
      <c r="G567" s="6">
        <v>177.2</v>
      </c>
      <c r="H567" s="6">
        <v>118.7</v>
      </c>
      <c r="I567" s="6">
        <v>13.7</v>
      </c>
      <c r="J567" s="6">
        <v>-12</v>
      </c>
      <c r="K567" s="6">
        <v>72.400000000000006</v>
      </c>
      <c r="L567" s="6">
        <v>-27.5</v>
      </c>
      <c r="M567" s="6">
        <v>87.3</v>
      </c>
      <c r="N567" s="6">
        <v>1.36</v>
      </c>
      <c r="O567" s="6">
        <v>40.1</v>
      </c>
    </row>
    <row r="568" spans="1:15" x14ac:dyDescent="0.25">
      <c r="A568" s="34" t="s">
        <v>126</v>
      </c>
      <c r="B568" s="10">
        <v>45874</v>
      </c>
      <c r="C568" s="6" t="s">
        <v>110</v>
      </c>
      <c r="D568" s="6" t="s">
        <v>102</v>
      </c>
      <c r="E568" s="6" t="s">
        <v>106</v>
      </c>
      <c r="F568" s="6">
        <v>171.8</v>
      </c>
      <c r="G568" s="6">
        <v>181.6</v>
      </c>
      <c r="H568" s="6">
        <v>121.3</v>
      </c>
      <c r="I568" s="6">
        <v>11.6</v>
      </c>
      <c r="J568" s="6">
        <v>-10.199999999999999</v>
      </c>
      <c r="K568" s="6">
        <v>65</v>
      </c>
      <c r="L568" s="6">
        <v>-10.7</v>
      </c>
      <c r="M568" s="6">
        <v>87.9</v>
      </c>
      <c r="N568" s="6">
        <v>1.38</v>
      </c>
      <c r="O568" s="6">
        <v>37.700000000000003</v>
      </c>
    </row>
    <row r="569" spans="1:15" x14ac:dyDescent="0.25">
      <c r="A569" s="34" t="s">
        <v>126</v>
      </c>
      <c r="B569" s="10">
        <v>45874</v>
      </c>
      <c r="C569" s="6" t="s">
        <v>110</v>
      </c>
      <c r="D569" s="6" t="s">
        <v>102</v>
      </c>
      <c r="E569" s="6" t="s">
        <v>106</v>
      </c>
      <c r="F569" s="6">
        <v>146.6</v>
      </c>
      <c r="G569" s="6">
        <v>148.80000000000001</v>
      </c>
      <c r="H569" s="6">
        <v>111.6</v>
      </c>
      <c r="I569" s="6">
        <v>8.4</v>
      </c>
      <c r="J569" s="6">
        <v>-13.3</v>
      </c>
      <c r="K569" s="6">
        <v>35.6</v>
      </c>
      <c r="L569" s="6">
        <v>-33.6</v>
      </c>
      <c r="M569" s="6">
        <v>85.7</v>
      </c>
      <c r="N569" s="6">
        <v>1.3</v>
      </c>
      <c r="O569" s="6">
        <v>26.9</v>
      </c>
    </row>
    <row r="570" spans="1:15" x14ac:dyDescent="0.25">
      <c r="A570" s="34" t="s">
        <v>126</v>
      </c>
      <c r="B570" s="10">
        <v>45874</v>
      </c>
      <c r="C570" s="6" t="s">
        <v>110</v>
      </c>
      <c r="D570" s="6" t="s">
        <v>102</v>
      </c>
      <c r="E570" s="6" t="s">
        <v>106</v>
      </c>
      <c r="F570" s="6">
        <v>164.1</v>
      </c>
      <c r="G570" s="6">
        <v>170.7</v>
      </c>
      <c r="H570" s="6">
        <v>116.1</v>
      </c>
      <c r="I570" s="6">
        <v>14.2</v>
      </c>
      <c r="J570" s="6">
        <v>-10.1</v>
      </c>
      <c r="K570" s="6">
        <v>70.7</v>
      </c>
      <c r="L570" s="6">
        <v>-13.6</v>
      </c>
      <c r="M570" s="6">
        <v>88.6</v>
      </c>
      <c r="N570" s="6">
        <v>1.31</v>
      </c>
      <c r="O570" s="6">
        <v>39.9</v>
      </c>
    </row>
    <row r="571" spans="1:15" x14ac:dyDescent="0.25">
      <c r="A571" s="34" t="s">
        <v>126</v>
      </c>
      <c r="B571" s="10">
        <v>45874</v>
      </c>
      <c r="C571" s="6" t="s">
        <v>110</v>
      </c>
      <c r="D571" s="6" t="s">
        <v>102</v>
      </c>
      <c r="E571" s="6" t="s">
        <v>106</v>
      </c>
      <c r="F571" s="6">
        <v>168.5</v>
      </c>
      <c r="G571" s="6">
        <v>177.2</v>
      </c>
      <c r="H571" s="6">
        <v>119.3</v>
      </c>
      <c r="I571" s="6">
        <v>12.8</v>
      </c>
      <c r="J571" s="6">
        <v>-13.7</v>
      </c>
      <c r="K571" s="6">
        <v>68.5</v>
      </c>
      <c r="L571" s="6">
        <v>-23.5</v>
      </c>
      <c r="M571" s="6">
        <v>85.7</v>
      </c>
      <c r="N571" s="6">
        <v>1.39</v>
      </c>
      <c r="O571" s="6">
        <v>38.9</v>
      </c>
    </row>
    <row r="572" spans="1:15" x14ac:dyDescent="0.25">
      <c r="A572" s="34" t="s">
        <v>126</v>
      </c>
      <c r="B572" s="10">
        <v>45874</v>
      </c>
      <c r="C572" s="6" t="s">
        <v>110</v>
      </c>
      <c r="D572" s="6" t="s">
        <v>102</v>
      </c>
      <c r="E572" s="6" t="s">
        <v>106</v>
      </c>
      <c r="F572" s="6">
        <v>180.5</v>
      </c>
      <c r="G572" s="6">
        <v>178.3</v>
      </c>
      <c r="H572" s="6">
        <v>126.9</v>
      </c>
      <c r="I572" s="6">
        <v>9.9</v>
      </c>
      <c r="J572" s="6">
        <v>-15.5</v>
      </c>
      <c r="K572" s="6">
        <v>63</v>
      </c>
      <c r="L572" s="6">
        <v>-51.1</v>
      </c>
      <c r="M572" s="6">
        <v>87.2</v>
      </c>
      <c r="N572" s="6">
        <v>1.45</v>
      </c>
      <c r="O572" s="6">
        <v>36.200000000000003</v>
      </c>
    </row>
    <row r="573" spans="1:15" x14ac:dyDescent="0.25">
      <c r="A573" s="34" t="s">
        <v>126</v>
      </c>
      <c r="B573" s="10">
        <v>45874</v>
      </c>
      <c r="C573" s="6" t="s">
        <v>112</v>
      </c>
      <c r="D573" s="6" t="s">
        <v>102</v>
      </c>
      <c r="E573" s="6" t="s">
        <v>113</v>
      </c>
      <c r="F573" s="6">
        <v>175</v>
      </c>
      <c r="G573" s="6">
        <v>189.3</v>
      </c>
      <c r="H573" s="6">
        <v>135.69999999999999</v>
      </c>
      <c r="I573" s="6">
        <v>3.5</v>
      </c>
      <c r="J573" s="6">
        <v>-11.2</v>
      </c>
      <c r="K573" s="6">
        <v>31.1</v>
      </c>
      <c r="L573" s="6">
        <v>-10.4</v>
      </c>
      <c r="M573" s="6">
        <v>93.3</v>
      </c>
      <c r="N573" s="6">
        <v>1.45</v>
      </c>
      <c r="O573" s="6">
        <v>22.1</v>
      </c>
    </row>
    <row r="574" spans="1:15" x14ac:dyDescent="0.25">
      <c r="A574" s="34" t="s">
        <v>126</v>
      </c>
      <c r="B574" s="10">
        <v>45874</v>
      </c>
      <c r="C574" s="6" t="s">
        <v>112</v>
      </c>
      <c r="D574" s="6" t="s">
        <v>102</v>
      </c>
      <c r="E574" s="6" t="s">
        <v>113</v>
      </c>
      <c r="F574" s="6">
        <v>200.2</v>
      </c>
      <c r="G574" s="6">
        <v>210</v>
      </c>
      <c r="H574" s="6">
        <v>136.19999999999999</v>
      </c>
      <c r="I574" s="6">
        <v>11.3</v>
      </c>
      <c r="J574" s="6">
        <v>-10.9</v>
      </c>
      <c r="K574" s="6">
        <v>82.3</v>
      </c>
      <c r="L574" s="6">
        <v>-13.6</v>
      </c>
      <c r="M574" s="6">
        <v>92.7</v>
      </c>
      <c r="N574" s="6">
        <v>1.47</v>
      </c>
      <c r="O574" s="6">
        <v>39.700000000000003</v>
      </c>
    </row>
    <row r="575" spans="1:15" x14ac:dyDescent="0.25">
      <c r="A575" s="34" t="s">
        <v>126</v>
      </c>
      <c r="B575" s="10">
        <v>45874</v>
      </c>
      <c r="C575" s="6" t="s">
        <v>112</v>
      </c>
      <c r="D575" s="6" t="s">
        <v>102</v>
      </c>
      <c r="E575" s="6" t="s">
        <v>113</v>
      </c>
      <c r="F575" s="6">
        <v>167.4</v>
      </c>
      <c r="G575" s="6">
        <v>184.9</v>
      </c>
      <c r="H575" s="6">
        <v>135.30000000000001</v>
      </c>
      <c r="I575" s="6">
        <v>2</v>
      </c>
      <c r="J575" s="6">
        <v>-16.3</v>
      </c>
      <c r="K575" s="6">
        <v>23.9</v>
      </c>
      <c r="L575" s="6">
        <v>-31.2</v>
      </c>
      <c r="M575" s="6">
        <v>93.8</v>
      </c>
      <c r="N575" s="6">
        <v>1.44</v>
      </c>
      <c r="O575" s="6">
        <v>18.899999999999999</v>
      </c>
    </row>
    <row r="576" spans="1:15" x14ac:dyDescent="0.25">
      <c r="A576" s="34" t="s">
        <v>126</v>
      </c>
      <c r="B576" s="10">
        <v>45874</v>
      </c>
      <c r="C576" s="6" t="s">
        <v>112</v>
      </c>
      <c r="D576" s="6" t="s">
        <v>102</v>
      </c>
      <c r="E576" s="6" t="s">
        <v>113</v>
      </c>
      <c r="F576" s="6">
        <v>177.2</v>
      </c>
      <c r="G576" s="6">
        <v>188.2</v>
      </c>
      <c r="H576" s="6">
        <v>132.4</v>
      </c>
      <c r="I576" s="6">
        <v>4</v>
      </c>
      <c r="J576" s="6">
        <v>-10.7</v>
      </c>
      <c r="K576" s="6">
        <v>31.4</v>
      </c>
      <c r="L576" s="6">
        <v>-38.5</v>
      </c>
      <c r="M576" s="6">
        <v>91.6</v>
      </c>
      <c r="N576" s="6">
        <v>1.45</v>
      </c>
      <c r="O576" s="6">
        <v>22.5</v>
      </c>
    </row>
    <row r="577" spans="1:15" x14ac:dyDescent="0.25">
      <c r="A577" s="34" t="s">
        <v>126</v>
      </c>
      <c r="B577" s="10">
        <v>45874</v>
      </c>
      <c r="C577" s="6" t="s">
        <v>112</v>
      </c>
      <c r="D577" s="6" t="s">
        <v>102</v>
      </c>
      <c r="E577" s="6" t="s">
        <v>113</v>
      </c>
      <c r="F577" s="6">
        <v>166.3</v>
      </c>
      <c r="G577" s="6">
        <v>176.1</v>
      </c>
      <c r="H577" s="6">
        <v>113.5</v>
      </c>
      <c r="I577" s="6">
        <v>14.8</v>
      </c>
      <c r="J577" s="6">
        <v>-9</v>
      </c>
      <c r="K577" s="6">
        <v>67</v>
      </c>
      <c r="L577" s="6">
        <v>-24.3</v>
      </c>
      <c r="M577" s="6">
        <v>91.5</v>
      </c>
      <c r="N577" s="6">
        <v>1.24</v>
      </c>
      <c r="O577" s="6">
        <v>38.1</v>
      </c>
    </row>
    <row r="578" spans="1:15" x14ac:dyDescent="0.25">
      <c r="A578" s="34" t="s">
        <v>126</v>
      </c>
      <c r="B578" s="10">
        <v>45874</v>
      </c>
      <c r="C578" s="6" t="s">
        <v>112</v>
      </c>
      <c r="D578" s="6" t="s">
        <v>102</v>
      </c>
      <c r="E578" s="6" t="s">
        <v>113</v>
      </c>
      <c r="F578" s="6">
        <v>187.1</v>
      </c>
      <c r="G578" s="6">
        <v>202.4</v>
      </c>
      <c r="H578" s="6">
        <v>139.4</v>
      </c>
      <c r="I578" s="6">
        <v>2.9</v>
      </c>
      <c r="J578" s="6">
        <v>-15.2</v>
      </c>
      <c r="K578" s="6">
        <v>31.4</v>
      </c>
      <c r="L578" s="6">
        <v>-43.6</v>
      </c>
      <c r="M578" s="6">
        <v>94.9</v>
      </c>
      <c r="N578" s="6">
        <v>1.47</v>
      </c>
      <c r="O578" s="6">
        <v>22.3</v>
      </c>
    </row>
    <row r="579" spans="1:15" x14ac:dyDescent="0.25">
      <c r="A579" s="34" t="s">
        <v>126</v>
      </c>
      <c r="B579" s="10">
        <v>45874</v>
      </c>
      <c r="C579" s="6" t="s">
        <v>114</v>
      </c>
      <c r="D579" s="6" t="s">
        <v>102</v>
      </c>
      <c r="E579" s="6" t="s">
        <v>115</v>
      </c>
      <c r="F579" s="6">
        <v>214.4</v>
      </c>
      <c r="G579" s="6">
        <v>223.2</v>
      </c>
      <c r="H579" s="6">
        <v>147.4</v>
      </c>
      <c r="I579" s="6">
        <v>8.6</v>
      </c>
      <c r="J579" s="6">
        <v>-12.4</v>
      </c>
      <c r="K579" s="6">
        <v>74.7</v>
      </c>
      <c r="L579" s="6">
        <v>-46.3</v>
      </c>
      <c r="M579" s="6">
        <v>100</v>
      </c>
      <c r="N579" s="6">
        <v>1.47</v>
      </c>
      <c r="O579" s="6">
        <v>35.799999999999997</v>
      </c>
    </row>
    <row r="580" spans="1:15" x14ac:dyDescent="0.25">
      <c r="A580" s="34" t="s">
        <v>126</v>
      </c>
      <c r="B580" s="10">
        <v>45874</v>
      </c>
      <c r="C580" s="6" t="s">
        <v>114</v>
      </c>
      <c r="D580" s="6" t="s">
        <v>102</v>
      </c>
      <c r="E580" s="6" t="s">
        <v>115</v>
      </c>
      <c r="F580" s="6">
        <v>194.7</v>
      </c>
      <c r="G580" s="6">
        <v>203.5</v>
      </c>
      <c r="H580" s="6">
        <v>138.6</v>
      </c>
      <c r="I580" s="6">
        <v>7</v>
      </c>
      <c r="J580" s="6">
        <v>-13.5</v>
      </c>
      <c r="K580" s="6">
        <v>54.6</v>
      </c>
      <c r="L580" s="6">
        <v>-39.9</v>
      </c>
      <c r="M580" s="6">
        <v>98.1</v>
      </c>
      <c r="N580" s="6">
        <v>1.41</v>
      </c>
      <c r="O580" s="6">
        <v>30.9</v>
      </c>
    </row>
    <row r="581" spans="1:15" x14ac:dyDescent="0.25">
      <c r="A581" s="34" t="s">
        <v>126</v>
      </c>
      <c r="B581" s="10">
        <v>45874</v>
      </c>
      <c r="C581" s="6" t="s">
        <v>114</v>
      </c>
      <c r="D581" s="6" t="s">
        <v>102</v>
      </c>
      <c r="E581" s="6" t="s">
        <v>115</v>
      </c>
      <c r="F581" s="6">
        <v>191.5</v>
      </c>
      <c r="G581" s="6">
        <v>206.8</v>
      </c>
      <c r="H581" s="6">
        <v>138.69999999999999</v>
      </c>
      <c r="I581" s="6">
        <v>6.3</v>
      </c>
      <c r="J581" s="6">
        <v>-16</v>
      </c>
      <c r="K581" s="6">
        <v>49.6</v>
      </c>
      <c r="L581" s="6">
        <v>-56.4</v>
      </c>
      <c r="M581" s="6">
        <v>95.4</v>
      </c>
      <c r="N581" s="6">
        <v>1.46</v>
      </c>
      <c r="O581" s="6">
        <v>29</v>
      </c>
    </row>
    <row r="582" spans="1:15" x14ac:dyDescent="0.25">
      <c r="A582" s="34" t="s">
        <v>126</v>
      </c>
      <c r="B582" s="10">
        <v>45874</v>
      </c>
      <c r="C582" s="6" t="s">
        <v>114</v>
      </c>
      <c r="D582" s="6" t="s">
        <v>102</v>
      </c>
      <c r="E582" s="6" t="s">
        <v>115</v>
      </c>
      <c r="F582" s="6">
        <v>221</v>
      </c>
      <c r="G582" s="6">
        <v>229.7</v>
      </c>
      <c r="H582" s="6">
        <v>144.19999999999999</v>
      </c>
      <c r="I582" s="6">
        <v>11.5</v>
      </c>
      <c r="J582" s="6">
        <v>-13.1</v>
      </c>
      <c r="K582" s="6">
        <v>91.7</v>
      </c>
      <c r="L582" s="6">
        <v>-38.6</v>
      </c>
      <c r="M582" s="6">
        <v>97.6</v>
      </c>
      <c r="N582" s="6">
        <v>1.48</v>
      </c>
      <c r="O582" s="6">
        <v>40.6</v>
      </c>
    </row>
    <row r="583" spans="1:15" x14ac:dyDescent="0.25">
      <c r="A583" s="34" t="s">
        <v>126</v>
      </c>
      <c r="B583" s="10">
        <v>45874</v>
      </c>
      <c r="C583" s="6" t="s">
        <v>114</v>
      </c>
      <c r="D583" s="6" t="s">
        <v>102</v>
      </c>
      <c r="E583" s="6" t="s">
        <v>115</v>
      </c>
      <c r="F583" s="6">
        <v>218.8</v>
      </c>
      <c r="G583" s="6">
        <v>226.5</v>
      </c>
      <c r="H583" s="6">
        <v>144.9</v>
      </c>
      <c r="I583" s="6">
        <v>11</v>
      </c>
      <c r="J583" s="6">
        <v>-11.5</v>
      </c>
      <c r="K583" s="6">
        <v>88.7</v>
      </c>
      <c r="L583" s="6">
        <v>-14.1</v>
      </c>
      <c r="M583" s="6">
        <v>97.5</v>
      </c>
      <c r="N583" s="6">
        <v>1.49</v>
      </c>
      <c r="O583" s="6">
        <v>39.6</v>
      </c>
    </row>
    <row r="584" spans="1:15" x14ac:dyDescent="0.25">
      <c r="A584" s="34" t="s">
        <v>126</v>
      </c>
      <c r="B584" s="10">
        <v>45874</v>
      </c>
      <c r="C584" s="6" t="s">
        <v>116</v>
      </c>
      <c r="D584" s="6" t="s">
        <v>102</v>
      </c>
      <c r="E584" s="6" t="s">
        <v>115</v>
      </c>
      <c r="F584" s="6">
        <v>233</v>
      </c>
      <c r="G584" s="6">
        <v>240.7</v>
      </c>
      <c r="H584" s="6">
        <v>151.6</v>
      </c>
      <c r="I584" s="6">
        <v>9.1999999999999993</v>
      </c>
      <c r="J584" s="6">
        <v>-11.5</v>
      </c>
      <c r="K584" s="6">
        <v>74.599999999999994</v>
      </c>
      <c r="L584" s="6">
        <v>-21.9</v>
      </c>
      <c r="M584" s="6">
        <v>105.7</v>
      </c>
      <c r="N584" s="6">
        <v>1.43</v>
      </c>
      <c r="O584" s="6">
        <v>33.799999999999997</v>
      </c>
    </row>
    <row r="585" spans="1:15" x14ac:dyDescent="0.25">
      <c r="A585" s="34" t="s">
        <v>126</v>
      </c>
      <c r="B585" s="10">
        <v>45874</v>
      </c>
      <c r="C585" s="6" t="s">
        <v>116</v>
      </c>
      <c r="D585" s="6" t="s">
        <v>102</v>
      </c>
      <c r="E585" s="6" t="s">
        <v>115</v>
      </c>
      <c r="F585" s="6">
        <v>195.8</v>
      </c>
      <c r="G585" s="6">
        <v>204.6</v>
      </c>
      <c r="H585" s="6">
        <v>146.6</v>
      </c>
      <c r="I585" s="6">
        <v>7.2</v>
      </c>
      <c r="J585" s="6">
        <v>-15.9</v>
      </c>
      <c r="K585" s="6">
        <v>57.7</v>
      </c>
      <c r="L585" s="6">
        <v>-1.7</v>
      </c>
      <c r="M585" s="6">
        <v>103.6</v>
      </c>
      <c r="N585" s="6">
        <v>1.42</v>
      </c>
      <c r="O585" s="6">
        <v>29.8</v>
      </c>
    </row>
    <row r="586" spans="1:15" x14ac:dyDescent="0.25">
      <c r="A586" s="34" t="s">
        <v>126</v>
      </c>
      <c r="B586" s="10">
        <v>45874</v>
      </c>
      <c r="C586" s="6" t="s">
        <v>116</v>
      </c>
      <c r="D586" s="6" t="s">
        <v>102</v>
      </c>
      <c r="E586" s="6" t="s">
        <v>115</v>
      </c>
      <c r="F586" s="6">
        <v>200.2</v>
      </c>
      <c r="G586" s="6">
        <v>227.6</v>
      </c>
      <c r="H586" s="6">
        <v>149.30000000000001</v>
      </c>
      <c r="I586" s="6">
        <v>3.4</v>
      </c>
      <c r="J586" s="6">
        <v>-18</v>
      </c>
      <c r="K586" s="6">
        <v>35</v>
      </c>
      <c r="L586" s="6">
        <v>-44.1</v>
      </c>
      <c r="M586" s="6">
        <v>105.3</v>
      </c>
      <c r="N586" s="6">
        <v>1.42</v>
      </c>
      <c r="O586" s="6">
        <v>21.7</v>
      </c>
    </row>
    <row r="587" spans="1:15" x14ac:dyDescent="0.25">
      <c r="A587" s="34" t="s">
        <v>126</v>
      </c>
      <c r="B587" s="10">
        <v>45874</v>
      </c>
      <c r="C587" s="6" t="s">
        <v>116</v>
      </c>
      <c r="D587" s="6" t="s">
        <v>102</v>
      </c>
      <c r="E587" s="6" t="s">
        <v>115</v>
      </c>
      <c r="F587" s="6">
        <v>209</v>
      </c>
      <c r="G587" s="6">
        <v>218.8</v>
      </c>
      <c r="H587" s="6">
        <v>148.5</v>
      </c>
      <c r="I587" s="6">
        <v>8.1999999999999993</v>
      </c>
      <c r="J587" s="6">
        <v>-17.100000000000001</v>
      </c>
      <c r="K587" s="6">
        <v>67.8</v>
      </c>
      <c r="L587" s="6">
        <v>-16.899999999999999</v>
      </c>
      <c r="M587" s="6">
        <v>105.8</v>
      </c>
      <c r="N587" s="6">
        <v>1.4</v>
      </c>
      <c r="O587" s="6">
        <v>32.9</v>
      </c>
    </row>
    <row r="588" spans="1:15" x14ac:dyDescent="0.25">
      <c r="A588" s="34" t="s">
        <v>126</v>
      </c>
      <c r="B588" s="10">
        <v>45874</v>
      </c>
      <c r="C588" s="6" t="s">
        <v>116</v>
      </c>
      <c r="D588" s="6" t="s">
        <v>102</v>
      </c>
      <c r="E588" s="6" t="s">
        <v>115</v>
      </c>
      <c r="F588" s="6">
        <v>205.7</v>
      </c>
      <c r="G588" s="6">
        <v>217.7</v>
      </c>
      <c r="H588" s="6">
        <v>143.80000000000001</v>
      </c>
      <c r="I588" s="6">
        <v>9.5</v>
      </c>
      <c r="J588" s="6">
        <v>-12.9</v>
      </c>
      <c r="K588" s="6">
        <v>69.400000000000006</v>
      </c>
      <c r="L588" s="6">
        <v>3.7</v>
      </c>
      <c r="M588" s="6">
        <v>102</v>
      </c>
      <c r="N588" s="6">
        <v>1.41</v>
      </c>
      <c r="O588" s="6">
        <v>33.299999999999997</v>
      </c>
    </row>
    <row r="589" spans="1:15" x14ac:dyDescent="0.25">
      <c r="A589" s="34" t="s">
        <v>126</v>
      </c>
      <c r="B589" s="10">
        <v>45874</v>
      </c>
      <c r="C589" s="6" t="s">
        <v>116</v>
      </c>
      <c r="D589" s="6" t="s">
        <v>102</v>
      </c>
      <c r="E589" s="6" t="s">
        <v>115</v>
      </c>
      <c r="F589" s="6">
        <v>203.5</v>
      </c>
      <c r="G589" s="6">
        <v>215.5</v>
      </c>
      <c r="H589" s="6">
        <v>145.6</v>
      </c>
      <c r="I589" s="6">
        <v>5</v>
      </c>
      <c r="J589" s="6">
        <v>-14.3</v>
      </c>
      <c r="K589" s="6">
        <v>41.6</v>
      </c>
      <c r="L589" s="6">
        <v>-20.5</v>
      </c>
      <c r="M589" s="6">
        <v>103</v>
      </c>
      <c r="N589" s="6">
        <v>1.41</v>
      </c>
      <c r="O589" s="6">
        <v>24.3</v>
      </c>
    </row>
    <row r="590" spans="1:15" x14ac:dyDescent="0.25">
      <c r="A590" s="34" t="s">
        <v>126</v>
      </c>
      <c r="B590" s="10">
        <v>45874</v>
      </c>
      <c r="C590" s="6" t="s">
        <v>116</v>
      </c>
      <c r="D590" s="6" t="s">
        <v>102</v>
      </c>
      <c r="E590" s="6" t="s">
        <v>115</v>
      </c>
      <c r="F590" s="6">
        <v>219.9</v>
      </c>
      <c r="G590" s="6">
        <v>229.7</v>
      </c>
      <c r="H590" s="6">
        <v>145.80000000000001</v>
      </c>
      <c r="I590" s="6">
        <v>8.6999999999999993</v>
      </c>
      <c r="J590" s="6">
        <v>-15.1</v>
      </c>
      <c r="K590" s="6">
        <v>65.2</v>
      </c>
      <c r="L590" s="6">
        <v>-37.799999999999997</v>
      </c>
      <c r="M590" s="6">
        <v>99.7</v>
      </c>
      <c r="N590" s="6">
        <v>1.46</v>
      </c>
      <c r="O590" s="6">
        <v>31.8</v>
      </c>
    </row>
    <row r="591" spans="1:15" x14ac:dyDescent="0.25">
      <c r="A591" s="34" t="s">
        <v>126</v>
      </c>
      <c r="B591" s="10">
        <v>45874</v>
      </c>
      <c r="C591" s="6" t="s">
        <v>116</v>
      </c>
      <c r="D591" s="6" t="s">
        <v>102</v>
      </c>
      <c r="E591" s="6" t="s">
        <v>115</v>
      </c>
      <c r="F591" s="6">
        <v>199.1</v>
      </c>
      <c r="G591" s="6">
        <v>212.2</v>
      </c>
      <c r="H591" s="6">
        <v>138.80000000000001</v>
      </c>
      <c r="I591" s="6">
        <v>8.1</v>
      </c>
      <c r="J591" s="6">
        <v>-18.600000000000001</v>
      </c>
      <c r="K591" s="6">
        <v>56.2</v>
      </c>
      <c r="L591" s="6">
        <v>-29.1</v>
      </c>
      <c r="M591" s="6">
        <v>98.1</v>
      </c>
      <c r="N591" s="6">
        <v>1.41</v>
      </c>
      <c r="O591" s="6">
        <v>30.1</v>
      </c>
    </row>
    <row r="592" spans="1:15" x14ac:dyDescent="0.25">
      <c r="A592" s="34" t="s">
        <v>126</v>
      </c>
      <c r="B592" s="10">
        <v>45874</v>
      </c>
      <c r="C592" s="6" t="s">
        <v>116</v>
      </c>
      <c r="D592" s="6" t="s">
        <v>102</v>
      </c>
      <c r="E592" s="6" t="s">
        <v>115</v>
      </c>
      <c r="F592" s="6">
        <v>206.8</v>
      </c>
      <c r="G592" s="6">
        <v>214.4</v>
      </c>
      <c r="H592" s="6">
        <v>149.9</v>
      </c>
      <c r="I592" s="6">
        <v>9.1</v>
      </c>
      <c r="J592" s="6">
        <v>-15.4</v>
      </c>
      <c r="K592" s="6">
        <v>73.599999999999994</v>
      </c>
      <c r="L592" s="6">
        <v>-3.5</v>
      </c>
      <c r="M592" s="6">
        <v>104.1</v>
      </c>
      <c r="N592" s="6">
        <v>1.44</v>
      </c>
      <c r="O592" s="6">
        <v>34</v>
      </c>
    </row>
    <row r="593" spans="1:18" x14ac:dyDescent="0.25">
      <c r="A593" s="34" t="s">
        <v>126</v>
      </c>
      <c r="B593" s="10">
        <v>45874</v>
      </c>
      <c r="C593" s="6" t="s">
        <v>116</v>
      </c>
      <c r="D593" s="6" t="s">
        <v>102</v>
      </c>
      <c r="E593" s="6" t="s">
        <v>115</v>
      </c>
      <c r="F593" s="6">
        <v>203.5</v>
      </c>
      <c r="G593" s="6">
        <v>218.8</v>
      </c>
      <c r="H593" s="6">
        <v>143.9</v>
      </c>
      <c r="I593" s="6">
        <v>7.7</v>
      </c>
      <c r="J593" s="6">
        <v>-20.3</v>
      </c>
      <c r="K593" s="6">
        <v>60</v>
      </c>
      <c r="L593" s="6">
        <v>-33.1</v>
      </c>
      <c r="M593" s="6">
        <v>101.4</v>
      </c>
      <c r="N593" s="6">
        <v>1.42</v>
      </c>
      <c r="O593" s="6">
        <v>31.1</v>
      </c>
    </row>
    <row r="594" spans="1:18" x14ac:dyDescent="0.25">
      <c r="A594" s="34" t="s">
        <v>126</v>
      </c>
      <c r="B594" s="10">
        <v>45874</v>
      </c>
      <c r="C594" s="6" t="s">
        <v>116</v>
      </c>
      <c r="D594" s="6" t="s">
        <v>102</v>
      </c>
      <c r="E594" s="6" t="s">
        <v>115</v>
      </c>
      <c r="F594" s="6">
        <v>214.4</v>
      </c>
      <c r="G594" s="6">
        <v>226.5</v>
      </c>
      <c r="H594" s="6">
        <v>148.6</v>
      </c>
      <c r="I594" s="6">
        <v>6</v>
      </c>
      <c r="J594" s="6">
        <v>-15</v>
      </c>
      <c r="K594" s="6">
        <v>49.4</v>
      </c>
      <c r="L594" s="6">
        <v>-35.299999999999997</v>
      </c>
      <c r="M594" s="6">
        <v>103</v>
      </c>
      <c r="N594" s="6">
        <v>1.44</v>
      </c>
      <c r="O594" s="6">
        <v>26.6</v>
      </c>
    </row>
    <row r="595" spans="1:18" x14ac:dyDescent="0.25">
      <c r="A595" s="34" t="s">
        <v>126</v>
      </c>
      <c r="B595" s="10">
        <v>45874</v>
      </c>
      <c r="C595" s="6" t="s">
        <v>116</v>
      </c>
      <c r="D595" s="6" t="s">
        <v>102</v>
      </c>
      <c r="E595" s="6" t="s">
        <v>115</v>
      </c>
      <c r="F595" s="6">
        <v>196.9</v>
      </c>
      <c r="G595" s="6">
        <v>214.4</v>
      </c>
      <c r="H595" s="6">
        <v>144.1</v>
      </c>
      <c r="I595" s="6">
        <v>4</v>
      </c>
      <c r="J595" s="6">
        <v>-19.100000000000001</v>
      </c>
      <c r="K595" s="6">
        <v>35.799999999999997</v>
      </c>
      <c r="L595" s="6">
        <v>-44.8</v>
      </c>
      <c r="M595" s="6">
        <v>103</v>
      </c>
      <c r="N595" s="6">
        <v>1.4</v>
      </c>
      <c r="O595" s="6">
        <v>22.4</v>
      </c>
    </row>
    <row r="596" spans="1:18" x14ac:dyDescent="0.25">
      <c r="A596" s="34" t="s">
        <v>126</v>
      </c>
      <c r="B596" s="10">
        <v>45874</v>
      </c>
      <c r="C596" s="6" t="s">
        <v>116</v>
      </c>
      <c r="D596" s="6" t="s">
        <v>102</v>
      </c>
      <c r="E596" s="6" t="s">
        <v>115</v>
      </c>
      <c r="F596" s="6">
        <v>219.9</v>
      </c>
      <c r="G596" s="6">
        <v>235.2</v>
      </c>
      <c r="H596" s="6">
        <v>152.5</v>
      </c>
      <c r="I596" s="6">
        <v>5.5</v>
      </c>
      <c r="J596" s="6">
        <v>-14.9</v>
      </c>
      <c r="K596" s="6">
        <v>48.8</v>
      </c>
      <c r="L596" s="6">
        <v>-58.7</v>
      </c>
      <c r="M596" s="6">
        <v>104.1</v>
      </c>
      <c r="N596" s="6">
        <v>1.46</v>
      </c>
      <c r="O596" s="6">
        <v>26</v>
      </c>
    </row>
    <row r="597" spans="1:18" x14ac:dyDescent="0.25">
      <c r="A597" s="34" t="s">
        <v>126</v>
      </c>
      <c r="B597" s="10">
        <v>45874</v>
      </c>
      <c r="C597" s="6" t="s">
        <v>116</v>
      </c>
      <c r="D597" s="6" t="s">
        <v>102</v>
      </c>
      <c r="E597" s="6" t="s">
        <v>115</v>
      </c>
      <c r="F597" s="6">
        <v>202.4</v>
      </c>
      <c r="G597" s="6">
        <v>213.3</v>
      </c>
      <c r="H597" s="6">
        <v>146.69999999999999</v>
      </c>
      <c r="I597" s="6">
        <v>6.6</v>
      </c>
      <c r="J597" s="6">
        <v>-16.5</v>
      </c>
      <c r="K597" s="6">
        <v>54</v>
      </c>
      <c r="L597" s="6">
        <v>-12.9</v>
      </c>
      <c r="M597" s="6">
        <v>105.2</v>
      </c>
      <c r="N597" s="6">
        <v>1.39</v>
      </c>
      <c r="O597" s="6">
        <v>28.8</v>
      </c>
    </row>
    <row r="598" spans="1:18" x14ac:dyDescent="0.25">
      <c r="A598" s="34" t="s">
        <v>126</v>
      </c>
      <c r="B598" s="10">
        <v>45874</v>
      </c>
      <c r="C598" s="6" t="s">
        <v>116</v>
      </c>
      <c r="D598" s="6" t="s">
        <v>102</v>
      </c>
      <c r="E598" s="6" t="s">
        <v>115</v>
      </c>
      <c r="F598" s="6">
        <v>196.9</v>
      </c>
      <c r="G598" s="6">
        <v>203.5</v>
      </c>
      <c r="H598" s="6">
        <v>143.1</v>
      </c>
      <c r="I598" s="6">
        <v>11.6</v>
      </c>
      <c r="J598" s="6">
        <v>-11.7</v>
      </c>
      <c r="K598" s="6">
        <v>82.5</v>
      </c>
      <c r="L598" s="6">
        <v>14.8</v>
      </c>
      <c r="M598" s="6">
        <v>101.3</v>
      </c>
      <c r="N598" s="6">
        <v>1.41</v>
      </c>
      <c r="O598" s="6">
        <v>36.799999999999997</v>
      </c>
    </row>
    <row r="599" spans="1:18" x14ac:dyDescent="0.25">
      <c r="A599" s="34" t="s">
        <v>126</v>
      </c>
      <c r="B599" s="10">
        <v>45874</v>
      </c>
      <c r="C599" s="6" t="s">
        <v>116</v>
      </c>
      <c r="D599" s="6" t="s">
        <v>102</v>
      </c>
      <c r="E599" s="6" t="s">
        <v>115</v>
      </c>
      <c r="F599" s="6">
        <v>207.9</v>
      </c>
      <c r="G599" s="6">
        <v>216.6</v>
      </c>
      <c r="H599" s="6">
        <v>140.69999999999999</v>
      </c>
      <c r="I599" s="6">
        <v>11.1</v>
      </c>
      <c r="J599" s="6">
        <v>-14.7</v>
      </c>
      <c r="K599" s="6">
        <v>77.900000000000006</v>
      </c>
      <c r="L599" s="6">
        <v>-14.2</v>
      </c>
      <c r="M599" s="6">
        <v>101.3</v>
      </c>
      <c r="N599" s="6">
        <v>1.39</v>
      </c>
      <c r="O599" s="6">
        <v>36.299999999999997</v>
      </c>
    </row>
    <row r="600" spans="1:18" x14ac:dyDescent="0.25">
      <c r="A600" s="34" t="s">
        <v>126</v>
      </c>
      <c r="B600" s="10">
        <v>45874</v>
      </c>
      <c r="C600" s="6" t="s">
        <v>116</v>
      </c>
      <c r="D600" s="6" t="s">
        <v>102</v>
      </c>
      <c r="E600" s="6" t="s">
        <v>115</v>
      </c>
      <c r="F600" s="6">
        <v>206.8</v>
      </c>
      <c r="G600" s="6">
        <v>218.8</v>
      </c>
      <c r="H600" s="6">
        <v>148.6</v>
      </c>
      <c r="I600" s="6">
        <v>5.6</v>
      </c>
      <c r="J600" s="6">
        <v>-13.8</v>
      </c>
      <c r="K600" s="6">
        <v>44.9</v>
      </c>
      <c r="L600" s="6">
        <v>-10.4</v>
      </c>
      <c r="M600" s="6">
        <v>100.8</v>
      </c>
      <c r="N600" s="6">
        <v>1.47</v>
      </c>
      <c r="O600" s="6">
        <v>24.8</v>
      </c>
    </row>
    <row r="601" spans="1:18" x14ac:dyDescent="0.25">
      <c r="A601" s="34" t="s">
        <v>126</v>
      </c>
      <c r="B601" s="10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4" t="s">
        <v>126</v>
      </c>
      <c r="B602" s="10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4" t="s">
        <v>126</v>
      </c>
      <c r="B603" s="10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4" t="s">
        <v>126</v>
      </c>
      <c r="B604" s="10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4" t="s">
        <v>126</v>
      </c>
      <c r="B605" s="10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4" t="s">
        <v>126</v>
      </c>
      <c r="B606" s="10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4" t="s">
        <v>126</v>
      </c>
      <c r="B607" s="10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4" t="s">
        <v>126</v>
      </c>
      <c r="B608" s="10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4" t="s">
        <v>126</v>
      </c>
      <c r="B609" s="10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4" t="s">
        <v>126</v>
      </c>
      <c r="B610" s="10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4" t="s">
        <v>126</v>
      </c>
      <c r="B611" s="10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4" t="s">
        <v>126</v>
      </c>
      <c r="B612" s="10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4" t="s">
        <v>126</v>
      </c>
      <c r="B613" s="10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4" t="s">
        <v>126</v>
      </c>
      <c r="B614" s="10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4" t="s">
        <v>126</v>
      </c>
      <c r="B615" s="10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4" t="s">
        <v>126</v>
      </c>
      <c r="B616" s="10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4" t="s">
        <v>126</v>
      </c>
      <c r="B617" s="10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4" t="s">
        <v>126</v>
      </c>
      <c r="B618" s="10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4" t="s">
        <v>126</v>
      </c>
      <c r="B619" s="10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4" t="s">
        <v>126</v>
      </c>
      <c r="B620" s="10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4" t="s">
        <v>126</v>
      </c>
      <c r="B621" s="10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4" t="s">
        <v>126</v>
      </c>
      <c r="B622" s="10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4" t="s">
        <v>126</v>
      </c>
      <c r="B623" s="10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4" t="s">
        <v>126</v>
      </c>
      <c r="B624" s="10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4" t="s">
        <v>126</v>
      </c>
      <c r="B625" s="10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4" t="s">
        <v>126</v>
      </c>
      <c r="B626" s="10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4" t="s">
        <v>126</v>
      </c>
      <c r="B627" s="10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4" t="s">
        <v>126</v>
      </c>
      <c r="B628" s="10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4" t="s">
        <v>126</v>
      </c>
      <c r="B629" s="10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4" t="s">
        <v>126</v>
      </c>
      <c r="B630" s="10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4" t="s">
        <v>126</v>
      </c>
      <c r="B631" s="10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4" t="s">
        <v>126</v>
      </c>
      <c r="B632" s="10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4" t="s">
        <v>126</v>
      </c>
      <c r="B633" s="10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4" t="s">
        <v>126</v>
      </c>
      <c r="B634" s="10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4" t="s">
        <v>126</v>
      </c>
      <c r="B635" s="10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4" t="s">
        <v>126</v>
      </c>
      <c r="B636" s="10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4" t="s">
        <v>126</v>
      </c>
      <c r="B637" s="10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4" t="s">
        <v>126</v>
      </c>
      <c r="B638" s="10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4" t="s">
        <v>126</v>
      </c>
      <c r="B639" s="10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4" t="s">
        <v>126</v>
      </c>
      <c r="B640" s="10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4" t="s">
        <v>126</v>
      </c>
      <c r="B641" s="10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4" t="s">
        <v>126</v>
      </c>
      <c r="B642" s="10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4" t="s">
        <v>126</v>
      </c>
      <c r="B643" s="10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4" t="s">
        <v>126</v>
      </c>
      <c r="B644" s="10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4" t="s">
        <v>126</v>
      </c>
      <c r="B645" s="10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4" t="s">
        <v>126</v>
      </c>
      <c r="B646" s="10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4" t="s">
        <v>126</v>
      </c>
      <c r="B647" s="10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4" t="s">
        <v>126</v>
      </c>
      <c r="B648" s="10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4" t="s">
        <v>126</v>
      </c>
      <c r="B649" s="10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4" t="s">
        <v>126</v>
      </c>
      <c r="B650" s="10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4" t="s">
        <v>126</v>
      </c>
      <c r="B651" s="10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4" t="s">
        <v>126</v>
      </c>
      <c r="B652" s="10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4" t="s">
        <v>126</v>
      </c>
      <c r="B653" s="10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4" t="s">
        <v>126</v>
      </c>
      <c r="B654" s="10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4" t="s">
        <v>126</v>
      </c>
      <c r="B655" s="10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4" t="s">
        <v>126</v>
      </c>
      <c r="B656" s="10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4" t="s">
        <v>126</v>
      </c>
      <c r="B657" s="10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4" t="s">
        <v>126</v>
      </c>
      <c r="B658" s="10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4" t="s">
        <v>126</v>
      </c>
      <c r="B659" s="10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4" t="s">
        <v>126</v>
      </c>
      <c r="B660" s="10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4" t="s">
        <v>126</v>
      </c>
      <c r="B661" s="10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4" t="s">
        <v>126</v>
      </c>
      <c r="B662" s="10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4" t="s">
        <v>126</v>
      </c>
      <c r="B663" s="10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4" t="s">
        <v>126</v>
      </c>
      <c r="B664" s="10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4" t="s">
        <v>126</v>
      </c>
      <c r="B665" s="10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4" t="s">
        <v>126</v>
      </c>
      <c r="B666" s="10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4" t="s">
        <v>126</v>
      </c>
      <c r="B667" s="10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4" t="s">
        <v>126</v>
      </c>
      <c r="B668" s="10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4" t="s">
        <v>126</v>
      </c>
      <c r="B669" s="10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4" t="s">
        <v>126</v>
      </c>
      <c r="B670" s="10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4" t="s">
        <v>126</v>
      </c>
      <c r="B671" s="10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4" t="s">
        <v>126</v>
      </c>
      <c r="B672" s="10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4" t="s">
        <v>126</v>
      </c>
      <c r="B673" s="10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4" t="s">
        <v>126</v>
      </c>
      <c r="B674" s="10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4" t="s">
        <v>126</v>
      </c>
      <c r="B675" s="10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4" t="s">
        <v>126</v>
      </c>
      <c r="B676" s="10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4" t="s">
        <v>126</v>
      </c>
      <c r="B677" s="10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4" t="s">
        <v>126</v>
      </c>
      <c r="B678" s="10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4" t="s">
        <v>126</v>
      </c>
      <c r="B679" s="10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4" t="s">
        <v>126</v>
      </c>
      <c r="B680" s="10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4" t="s">
        <v>126</v>
      </c>
      <c r="B681" s="10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4" t="s">
        <v>126</v>
      </c>
      <c r="B682" s="10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4" t="s">
        <v>126</v>
      </c>
      <c r="B683" s="10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4" t="s">
        <v>126</v>
      </c>
      <c r="B684" s="10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4" t="s">
        <v>126</v>
      </c>
      <c r="B685" s="10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4" t="s">
        <v>126</v>
      </c>
      <c r="B686" s="10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4" t="s">
        <v>126</v>
      </c>
      <c r="B687" s="10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4" t="s">
        <v>126</v>
      </c>
      <c r="B688" s="10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4" t="s">
        <v>126</v>
      </c>
      <c r="B689" s="10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4" t="s">
        <v>126</v>
      </c>
      <c r="B690" s="10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4" t="s">
        <v>126</v>
      </c>
      <c r="B691" s="10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4" t="s">
        <v>126</v>
      </c>
      <c r="B692" s="10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4" t="s">
        <v>126</v>
      </c>
      <c r="B693" s="10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4" t="s">
        <v>126</v>
      </c>
      <c r="B694" s="10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4" t="s">
        <v>126</v>
      </c>
      <c r="B695" s="10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4" t="s">
        <v>126</v>
      </c>
      <c r="B696" s="10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4" t="s">
        <v>126</v>
      </c>
      <c r="B697" s="10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4" t="s">
        <v>126</v>
      </c>
      <c r="B698" s="10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4" t="s">
        <v>126</v>
      </c>
      <c r="B699" s="10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4" t="s">
        <v>126</v>
      </c>
      <c r="B700" s="10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4" t="s">
        <v>126</v>
      </c>
      <c r="B701" s="10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4" t="s">
        <v>126</v>
      </c>
      <c r="B702" s="10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4" t="s">
        <v>126</v>
      </c>
      <c r="B703" s="10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4" t="s">
        <v>126</v>
      </c>
      <c r="B704" s="10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4" t="s">
        <v>126</v>
      </c>
      <c r="B705" s="10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4" t="s">
        <v>126</v>
      </c>
      <c r="B706" s="10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4" t="s">
        <v>126</v>
      </c>
      <c r="B707" s="10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4" t="s">
        <v>126</v>
      </c>
      <c r="B708" s="10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4" t="s">
        <v>126</v>
      </c>
      <c r="B709" s="10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4" t="s">
        <v>126</v>
      </c>
      <c r="B710" s="10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4" t="s">
        <v>126</v>
      </c>
      <c r="B711" s="10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4" t="s">
        <v>126</v>
      </c>
      <c r="B712" s="10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4" t="s">
        <v>126</v>
      </c>
      <c r="B713" s="10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4" t="s">
        <v>126</v>
      </c>
      <c r="B714" s="10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4" t="s">
        <v>126</v>
      </c>
      <c r="B715" s="10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4" t="s">
        <v>126</v>
      </c>
      <c r="B716" s="10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4" t="s">
        <v>126</v>
      </c>
      <c r="B717" s="10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4" t="s">
        <v>126</v>
      </c>
      <c r="B718" s="10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4" t="s">
        <v>126</v>
      </c>
      <c r="B719" s="10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4" t="s">
        <v>126</v>
      </c>
      <c r="B720" s="10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4" t="s">
        <v>126</v>
      </c>
      <c r="B721" s="10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4" t="s">
        <v>126</v>
      </c>
      <c r="B722" s="10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4" t="s">
        <v>126</v>
      </c>
      <c r="B723" s="10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4" t="s">
        <v>126</v>
      </c>
      <c r="B724" s="10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4" t="s">
        <v>126</v>
      </c>
      <c r="B725" s="10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4" t="s">
        <v>126</v>
      </c>
      <c r="B726" s="10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4" t="s">
        <v>126</v>
      </c>
      <c r="B727" s="10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4" t="s">
        <v>126</v>
      </c>
      <c r="B728" s="10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4" t="s">
        <v>126</v>
      </c>
      <c r="B729" s="10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4" t="s">
        <v>126</v>
      </c>
      <c r="B730" s="10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4" t="s">
        <v>126</v>
      </c>
      <c r="B731" s="10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4" t="s">
        <v>126</v>
      </c>
      <c r="B732" s="10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4" t="s">
        <v>126</v>
      </c>
      <c r="B733" s="10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4" t="s">
        <v>126</v>
      </c>
      <c r="B734" s="10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4" t="s">
        <v>126</v>
      </c>
      <c r="B735" s="10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4" t="s">
        <v>126</v>
      </c>
      <c r="B736" s="10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4" t="s">
        <v>126</v>
      </c>
      <c r="B737" s="10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4" t="s">
        <v>126</v>
      </c>
      <c r="B738" s="10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4" t="s">
        <v>126</v>
      </c>
      <c r="B739" s="10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4" t="s">
        <v>126</v>
      </c>
      <c r="B740" s="10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4" t="s">
        <v>126</v>
      </c>
      <c r="B741" s="10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4" t="s">
        <v>126</v>
      </c>
      <c r="B742" s="10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4" t="s">
        <v>126</v>
      </c>
      <c r="B743" s="10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4" t="s">
        <v>126</v>
      </c>
      <c r="B744" s="10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4" t="s">
        <v>126</v>
      </c>
      <c r="B745" s="10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4" t="s">
        <v>126</v>
      </c>
      <c r="B746" s="10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4" t="s">
        <v>126</v>
      </c>
      <c r="B747" s="10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4" t="s">
        <v>126</v>
      </c>
      <c r="B748" s="10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4" t="s">
        <v>126</v>
      </c>
      <c r="B749" s="10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4" t="s">
        <v>126</v>
      </c>
      <c r="B750" s="10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4" t="s">
        <v>126</v>
      </c>
      <c r="B751" s="10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4" t="s">
        <v>126</v>
      </c>
      <c r="B752" s="10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4" t="s">
        <v>126</v>
      </c>
      <c r="B753" s="10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4" t="s">
        <v>126</v>
      </c>
      <c r="B754" s="10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4" t="s">
        <v>126</v>
      </c>
      <c r="B755" s="10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4" t="s">
        <v>126</v>
      </c>
      <c r="B756" s="10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4" t="s">
        <v>126</v>
      </c>
      <c r="B757" s="10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4" t="s">
        <v>126</v>
      </c>
      <c r="B758" s="10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4" t="s">
        <v>126</v>
      </c>
      <c r="B759" s="10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4" t="s">
        <v>126</v>
      </c>
      <c r="B760" s="10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4" t="s">
        <v>126</v>
      </c>
      <c r="B761" s="10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4" t="s">
        <v>126</v>
      </c>
      <c r="B762" s="10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4" t="s">
        <v>126</v>
      </c>
      <c r="B763" s="10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4" t="s">
        <v>126</v>
      </c>
      <c r="B764" s="10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4" t="s">
        <v>126</v>
      </c>
      <c r="B765" s="10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4" t="s">
        <v>126</v>
      </c>
      <c r="B766" s="10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4" t="s">
        <v>126</v>
      </c>
      <c r="B767" s="10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4" t="s">
        <v>126</v>
      </c>
      <c r="B768" s="10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4" t="s">
        <v>126</v>
      </c>
      <c r="B769" s="10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4" t="s">
        <v>126</v>
      </c>
      <c r="B770" s="10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4" t="s">
        <v>126</v>
      </c>
      <c r="B771" s="10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4" t="s">
        <v>126</v>
      </c>
      <c r="B772" s="10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4" t="s">
        <v>126</v>
      </c>
      <c r="B773" s="10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4" t="s">
        <v>126</v>
      </c>
      <c r="B774" s="10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4" t="s">
        <v>126</v>
      </c>
      <c r="B775" s="10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4" t="s">
        <v>126</v>
      </c>
      <c r="B776" s="10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4" t="s">
        <v>126</v>
      </c>
      <c r="B777" s="10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4" t="s">
        <v>126</v>
      </c>
      <c r="B778" s="10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4" t="s">
        <v>126</v>
      </c>
      <c r="B779" s="10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4" t="s">
        <v>126</v>
      </c>
      <c r="B780" s="10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4" t="s">
        <v>126</v>
      </c>
      <c r="B781" s="10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4" t="s">
        <v>126</v>
      </c>
      <c r="B782" s="10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4" t="s">
        <v>126</v>
      </c>
      <c r="B783" s="10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4" t="s">
        <v>126</v>
      </c>
      <c r="B784" s="10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4" t="s">
        <v>126</v>
      </c>
      <c r="B785" s="10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4" t="s">
        <v>126</v>
      </c>
      <c r="B786" s="10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4" t="s">
        <v>126</v>
      </c>
      <c r="B787" s="10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4" t="s">
        <v>126</v>
      </c>
      <c r="B788" s="10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4" t="s">
        <v>126</v>
      </c>
      <c r="B789" s="10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4" t="s">
        <v>126</v>
      </c>
      <c r="B790" s="10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4" t="s">
        <v>126</v>
      </c>
      <c r="B791" s="10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4" t="s">
        <v>126</v>
      </c>
      <c r="B792" s="10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4" t="s">
        <v>126</v>
      </c>
      <c r="B793" s="10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4" t="s">
        <v>126</v>
      </c>
      <c r="B794" s="10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4" t="s">
        <v>126</v>
      </c>
      <c r="B795" s="10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4" t="s">
        <v>126</v>
      </c>
      <c r="B796" s="10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4" t="s">
        <v>126</v>
      </c>
      <c r="B797" s="10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4" t="s">
        <v>126</v>
      </c>
      <c r="B798" s="10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4" t="s">
        <v>126</v>
      </c>
      <c r="B799" s="10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4" t="s">
        <v>126</v>
      </c>
      <c r="B800" s="10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4" t="s">
        <v>126</v>
      </c>
      <c r="B801" s="10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4" t="s">
        <v>126</v>
      </c>
      <c r="B802" s="10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4" t="s">
        <v>126</v>
      </c>
      <c r="B803" s="10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4" t="s">
        <v>126</v>
      </c>
      <c r="B804" s="10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9" t="s">
        <v>126</v>
      </c>
      <c r="B805" s="10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9" t="s">
        <v>126</v>
      </c>
      <c r="B806" s="10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9" t="s">
        <v>126</v>
      </c>
      <c r="B807" s="10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9" t="s">
        <v>126</v>
      </c>
      <c r="B808" s="10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9" t="s">
        <v>126</v>
      </c>
      <c r="B809" s="10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9" t="s">
        <v>126</v>
      </c>
      <c r="B810" s="10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9" t="s">
        <v>126</v>
      </c>
      <c r="B811" s="10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9" t="s">
        <v>126</v>
      </c>
      <c r="B812" s="10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9" t="s">
        <v>126</v>
      </c>
      <c r="B813" s="10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9" t="s">
        <v>126</v>
      </c>
      <c r="B814" s="10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9" t="s">
        <v>126</v>
      </c>
      <c r="B815" s="10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9" t="s">
        <v>126</v>
      </c>
      <c r="B816" s="10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9" t="s">
        <v>126</v>
      </c>
      <c r="B817" s="10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9" t="s">
        <v>126</v>
      </c>
      <c r="B818" s="10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9" t="s">
        <v>126</v>
      </c>
      <c r="B819" s="10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9" t="s">
        <v>126</v>
      </c>
      <c r="B820" s="10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9" t="s">
        <v>126</v>
      </c>
      <c r="B821" s="10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9" t="s">
        <v>126</v>
      </c>
      <c r="B822" s="10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9" t="s">
        <v>126</v>
      </c>
      <c r="B823" s="10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9" t="s">
        <v>126</v>
      </c>
      <c r="B824" s="10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9" t="s">
        <v>126</v>
      </c>
      <c r="B825" s="10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9" t="s">
        <v>126</v>
      </c>
      <c r="B826" s="10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9" t="s">
        <v>126</v>
      </c>
      <c r="B827" s="10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9" t="s">
        <v>126</v>
      </c>
      <c r="B828" s="10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9" t="s">
        <v>126</v>
      </c>
      <c r="B829" s="10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9" t="s">
        <v>126</v>
      </c>
      <c r="B830" s="10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9" t="s">
        <v>126</v>
      </c>
      <c r="B831" s="10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9" t="s">
        <v>126</v>
      </c>
      <c r="B832" s="10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9" t="s">
        <v>126</v>
      </c>
      <c r="B833" s="10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9" t="s">
        <v>126</v>
      </c>
      <c r="B834" s="10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9" t="s">
        <v>126</v>
      </c>
      <c r="B835" s="10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9" t="s">
        <v>126</v>
      </c>
      <c r="B836" s="10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9" t="s">
        <v>126</v>
      </c>
      <c r="B837" s="10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9" t="s">
        <v>126</v>
      </c>
      <c r="B838" s="10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9" t="s">
        <v>126</v>
      </c>
      <c r="B839" s="10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9" t="s">
        <v>126</v>
      </c>
      <c r="B840" s="10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9" t="s">
        <v>126</v>
      </c>
      <c r="B841" s="10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9" t="s">
        <v>126</v>
      </c>
      <c r="B842" s="10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9" t="s">
        <v>126</v>
      </c>
      <c r="B843" s="10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9" t="s">
        <v>126</v>
      </c>
      <c r="B844" s="10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9" t="s">
        <v>126</v>
      </c>
      <c r="B845" s="10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9" t="s">
        <v>126</v>
      </c>
      <c r="B846" s="10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9" t="s">
        <v>126</v>
      </c>
      <c r="B847" s="10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9" t="s">
        <v>126</v>
      </c>
      <c r="B848" s="10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9" t="s">
        <v>126</v>
      </c>
      <c r="B849" s="10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9" t="s">
        <v>126</v>
      </c>
      <c r="B850" s="10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9" t="s">
        <v>126</v>
      </c>
      <c r="B851" s="10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9" t="s">
        <v>126</v>
      </c>
      <c r="B852" s="10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9" t="s">
        <v>126</v>
      </c>
      <c r="B853" s="10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9" t="s">
        <v>126</v>
      </c>
      <c r="B854" s="10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9" t="s">
        <v>126</v>
      </c>
      <c r="B855" s="10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9" t="s">
        <v>126</v>
      </c>
      <c r="B856" s="10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9" t="s">
        <v>126</v>
      </c>
      <c r="B857" s="10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9" t="s">
        <v>126</v>
      </c>
      <c r="B858" s="10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9" t="s">
        <v>126</v>
      </c>
      <c r="B859" s="10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9" t="s">
        <v>126</v>
      </c>
      <c r="B860" s="10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9" t="s">
        <v>126</v>
      </c>
      <c r="B861" s="10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9" t="s">
        <v>126</v>
      </c>
      <c r="B862" s="10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9" t="s">
        <v>126</v>
      </c>
      <c r="B863" s="10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9" t="s">
        <v>126</v>
      </c>
      <c r="B864" s="10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9" t="s">
        <v>126</v>
      </c>
      <c r="B865" s="10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9" t="s">
        <v>126</v>
      </c>
      <c r="B866" s="10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9" t="s">
        <v>126</v>
      </c>
      <c r="B867" s="10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9" t="s">
        <v>126</v>
      </c>
      <c r="B868" s="10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9" t="s">
        <v>126</v>
      </c>
      <c r="B869" s="10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9" t="s">
        <v>126</v>
      </c>
      <c r="B870" s="10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9" t="s">
        <v>126</v>
      </c>
      <c r="B871" s="10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9" t="s">
        <v>126</v>
      </c>
      <c r="B872" s="10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9" t="s">
        <v>126</v>
      </c>
      <c r="B873" s="10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9" t="s">
        <v>126</v>
      </c>
      <c r="B874" s="10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9" t="s">
        <v>126</v>
      </c>
      <c r="B875" s="10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9" t="s">
        <v>126</v>
      </c>
      <c r="B876" s="10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9" t="s">
        <v>126</v>
      </c>
      <c r="B877" s="10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9" t="s">
        <v>126</v>
      </c>
      <c r="B878" s="10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9" t="s">
        <v>126</v>
      </c>
      <c r="B879" s="10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9" t="s">
        <v>126</v>
      </c>
      <c r="B880" s="10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9" t="s">
        <v>126</v>
      </c>
      <c r="B881" s="10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9" t="s">
        <v>126</v>
      </c>
      <c r="B882" s="10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9" t="s">
        <v>126</v>
      </c>
      <c r="B883" s="10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9" t="s">
        <v>126</v>
      </c>
      <c r="B884" s="10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90" t="s">
        <v>126</v>
      </c>
      <c r="B885" s="10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90" t="s">
        <v>126</v>
      </c>
      <c r="B886" s="10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90" t="s">
        <v>126</v>
      </c>
      <c r="B887" s="10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90" t="s">
        <v>126</v>
      </c>
      <c r="B888" s="10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90" t="s">
        <v>126</v>
      </c>
      <c r="B889" s="10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90" t="s">
        <v>126</v>
      </c>
      <c r="B890" s="10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90" t="s">
        <v>126</v>
      </c>
      <c r="B891" s="10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90" t="s">
        <v>126</v>
      </c>
      <c r="B892" s="10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90" t="s">
        <v>126</v>
      </c>
      <c r="B893" s="10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90" t="s">
        <v>126</v>
      </c>
      <c r="B894" s="10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90" t="s">
        <v>126</v>
      </c>
      <c r="B895" s="10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90" t="s">
        <v>126</v>
      </c>
      <c r="B896" s="10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90" t="s">
        <v>126</v>
      </c>
      <c r="B897" s="10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90" t="s">
        <v>126</v>
      </c>
      <c r="B898" s="10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90" t="s">
        <v>126</v>
      </c>
      <c r="B899" s="10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90" t="s">
        <v>126</v>
      </c>
      <c r="B900" s="10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90" t="s">
        <v>126</v>
      </c>
      <c r="B901" s="10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90" t="s">
        <v>126</v>
      </c>
      <c r="B902" s="10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90" t="s">
        <v>126</v>
      </c>
      <c r="B903" s="10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90" t="s">
        <v>126</v>
      </c>
      <c r="B904" s="10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90" t="s">
        <v>126</v>
      </c>
      <c r="B905" s="10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90" t="s">
        <v>126</v>
      </c>
      <c r="B906" s="10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90" t="s">
        <v>126</v>
      </c>
      <c r="B907" s="10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90" t="s">
        <v>126</v>
      </c>
      <c r="B908" s="10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90" t="s">
        <v>126</v>
      </c>
      <c r="B909" s="10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90" t="s">
        <v>126</v>
      </c>
      <c r="B910" s="10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90" t="s">
        <v>126</v>
      </c>
      <c r="B911" s="10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90" t="s">
        <v>126</v>
      </c>
      <c r="B912" s="10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90" t="s">
        <v>126</v>
      </c>
      <c r="B913" s="10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90" t="s">
        <v>126</v>
      </c>
      <c r="B914" s="10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90" t="s">
        <v>126</v>
      </c>
      <c r="B915" s="10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90" t="s">
        <v>126</v>
      </c>
      <c r="B916" s="10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90" t="s">
        <v>126</v>
      </c>
      <c r="B917" s="10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90" t="s">
        <v>126</v>
      </c>
      <c r="B918" s="10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90" t="s">
        <v>126</v>
      </c>
      <c r="B919" s="10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90" t="s">
        <v>126</v>
      </c>
      <c r="B920" s="10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90" t="s">
        <v>126</v>
      </c>
      <c r="B921" s="10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90" t="s">
        <v>126</v>
      </c>
      <c r="B922" s="10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90" t="s">
        <v>126</v>
      </c>
      <c r="B923" s="10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90" t="s">
        <v>126</v>
      </c>
      <c r="B924" s="10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90" t="s">
        <v>126</v>
      </c>
      <c r="B925" s="10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90" t="s">
        <v>126</v>
      </c>
      <c r="B926" s="10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90" t="s">
        <v>126</v>
      </c>
      <c r="B927" s="10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90" t="s">
        <v>126</v>
      </c>
      <c r="B928" s="10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90" t="s">
        <v>126</v>
      </c>
      <c r="B929" s="10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90" t="s">
        <v>126</v>
      </c>
      <c r="B930" s="10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90" t="s">
        <v>126</v>
      </c>
      <c r="B931" s="10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90" t="s">
        <v>126</v>
      </c>
      <c r="B932" s="10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90" t="s">
        <v>126</v>
      </c>
      <c r="B933" s="10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90" t="s">
        <v>126</v>
      </c>
      <c r="B934" s="10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90" t="s">
        <v>126</v>
      </c>
      <c r="B935" s="10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90" t="s">
        <v>126</v>
      </c>
      <c r="B936" s="10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90" t="s">
        <v>126</v>
      </c>
      <c r="B937" s="10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90" t="s">
        <v>126</v>
      </c>
      <c r="B938" s="10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90" t="s">
        <v>126</v>
      </c>
      <c r="B939" s="10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90" t="s">
        <v>126</v>
      </c>
      <c r="B940" s="10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90" t="s">
        <v>126</v>
      </c>
      <c r="B941" s="10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90" t="s">
        <v>126</v>
      </c>
      <c r="B942" s="10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90" t="s">
        <v>126</v>
      </c>
      <c r="B943" s="10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90" t="s">
        <v>126</v>
      </c>
      <c r="B944" s="10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90" t="s">
        <v>126</v>
      </c>
      <c r="B945" s="10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90" t="s">
        <v>126</v>
      </c>
      <c r="B946" s="10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90" t="s">
        <v>126</v>
      </c>
      <c r="B947" s="10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90" t="s">
        <v>126</v>
      </c>
      <c r="B948" s="10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90" t="s">
        <v>126</v>
      </c>
      <c r="B949" s="10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90" t="s">
        <v>126</v>
      </c>
      <c r="B950" s="10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90" t="s">
        <v>126</v>
      </c>
      <c r="B951" s="10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90" t="s">
        <v>126</v>
      </c>
      <c r="B952" s="10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90" t="s">
        <v>126</v>
      </c>
      <c r="B953" s="10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90" t="s">
        <v>126</v>
      </c>
      <c r="B954" s="10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90" t="s">
        <v>126</v>
      </c>
      <c r="B955" s="10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90" t="s">
        <v>126</v>
      </c>
      <c r="B956" s="10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90" t="s">
        <v>126</v>
      </c>
      <c r="B957" s="10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90" t="s">
        <v>126</v>
      </c>
      <c r="B958" s="10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90" t="s">
        <v>126</v>
      </c>
      <c r="B959" s="10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90" t="s">
        <v>126</v>
      </c>
      <c r="B960" s="10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90" t="s">
        <v>126</v>
      </c>
      <c r="B961" s="10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90" t="s">
        <v>126</v>
      </c>
      <c r="B962" s="10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90" t="s">
        <v>126</v>
      </c>
      <c r="B963" s="10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90" t="s">
        <v>126</v>
      </c>
      <c r="B964" s="10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90" t="s">
        <v>126</v>
      </c>
      <c r="B965" s="10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90" t="s">
        <v>126</v>
      </c>
      <c r="B966" s="10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90" t="s">
        <v>126</v>
      </c>
      <c r="B967" s="10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90" t="s">
        <v>126</v>
      </c>
      <c r="B968" s="10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90" t="s">
        <v>126</v>
      </c>
      <c r="B969" s="10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90" t="s">
        <v>126</v>
      </c>
      <c r="B970" s="10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90" t="s">
        <v>126</v>
      </c>
      <c r="B971" s="10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90" t="s">
        <v>126</v>
      </c>
      <c r="B972" s="10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90" t="s">
        <v>126</v>
      </c>
      <c r="B973" s="10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90" t="s">
        <v>126</v>
      </c>
      <c r="B974" s="10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90" t="s">
        <v>126</v>
      </c>
      <c r="B975" s="10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90" t="s">
        <v>126</v>
      </c>
      <c r="B976" s="10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90" t="s">
        <v>126</v>
      </c>
      <c r="B977" s="10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90" t="s">
        <v>126</v>
      </c>
      <c r="B978" s="10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90" t="s">
        <v>126</v>
      </c>
      <c r="B979" s="10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90" t="s">
        <v>126</v>
      </c>
      <c r="B980" s="10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90" t="s">
        <v>126</v>
      </c>
      <c r="B981" s="10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90" t="s">
        <v>126</v>
      </c>
      <c r="B982" s="10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90" t="s">
        <v>126</v>
      </c>
      <c r="B983" s="10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90" t="s">
        <v>126</v>
      </c>
      <c r="B984" s="10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90" t="s">
        <v>126</v>
      </c>
      <c r="B985" s="10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90" t="s">
        <v>126</v>
      </c>
      <c r="B986" s="10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90" t="s">
        <v>126</v>
      </c>
      <c r="B987" s="10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90" t="s">
        <v>126</v>
      </c>
      <c r="B988" s="10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90" t="s">
        <v>126</v>
      </c>
      <c r="B989" s="10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90" t="s">
        <v>126</v>
      </c>
      <c r="B990" s="10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90" t="s">
        <v>126</v>
      </c>
      <c r="B991" s="10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90" t="s">
        <v>126</v>
      </c>
      <c r="B992" s="10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90" t="s">
        <v>126</v>
      </c>
      <c r="B993" s="10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90" t="s">
        <v>126</v>
      </c>
      <c r="B994" s="10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90" t="s">
        <v>126</v>
      </c>
      <c r="B995" s="10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90" t="s">
        <v>126</v>
      </c>
      <c r="B996" s="10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90" t="s">
        <v>126</v>
      </c>
      <c r="B997" s="10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90" t="s">
        <v>126</v>
      </c>
      <c r="B998" s="10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90" t="s">
        <v>126</v>
      </c>
      <c r="B999" s="10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90" t="s">
        <v>126</v>
      </c>
      <c r="B1000" s="10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90" t="s">
        <v>126</v>
      </c>
      <c r="B1001" s="10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90" t="s">
        <v>126</v>
      </c>
      <c r="B1002" s="10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90" t="s">
        <v>126</v>
      </c>
      <c r="B1003" s="10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90" t="s">
        <v>126</v>
      </c>
      <c r="B1004" s="10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90" t="s">
        <v>126</v>
      </c>
      <c r="B1005" s="10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90" t="s">
        <v>126</v>
      </c>
      <c r="B1006" s="10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90" t="s">
        <v>126</v>
      </c>
      <c r="B1007" s="10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90" t="s">
        <v>126</v>
      </c>
      <c r="B1008" s="10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90" t="s">
        <v>126</v>
      </c>
      <c r="B1009" s="10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90" t="s">
        <v>126</v>
      </c>
      <c r="B1010" s="10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90" t="s">
        <v>126</v>
      </c>
      <c r="B1011" s="10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1" t="s">
        <v>126</v>
      </c>
      <c r="B1012" s="10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1" t="s">
        <v>126</v>
      </c>
      <c r="B1013" s="10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1" t="s">
        <v>126</v>
      </c>
      <c r="B1014" s="10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1" t="s">
        <v>126</v>
      </c>
      <c r="B1015" s="10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1" t="s">
        <v>126</v>
      </c>
      <c r="B1016" s="10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1" t="s">
        <v>126</v>
      </c>
      <c r="B1017" s="10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1" t="s">
        <v>126</v>
      </c>
      <c r="B1018" s="10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1" t="s">
        <v>126</v>
      </c>
      <c r="B1019" s="10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1" t="s">
        <v>126</v>
      </c>
      <c r="B1020" s="10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1" t="s">
        <v>126</v>
      </c>
      <c r="B1021" s="10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1" t="s">
        <v>126</v>
      </c>
      <c r="B1022" s="10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1" t="s">
        <v>126</v>
      </c>
      <c r="B1023" s="10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1" t="s">
        <v>126</v>
      </c>
      <c r="B1024" s="10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1" t="s">
        <v>126</v>
      </c>
      <c r="B1025" s="10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1" t="s">
        <v>126</v>
      </c>
      <c r="B1026" s="10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1" t="s">
        <v>126</v>
      </c>
      <c r="B1027" s="10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1" t="s">
        <v>126</v>
      </c>
      <c r="B1028" s="10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1" t="s">
        <v>126</v>
      </c>
      <c r="B1029" s="10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1" t="s">
        <v>126</v>
      </c>
      <c r="B1030" s="10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1" t="s">
        <v>126</v>
      </c>
      <c r="B1031" s="10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1" t="s">
        <v>126</v>
      </c>
      <c r="B1032" s="10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1" t="s">
        <v>126</v>
      </c>
      <c r="B1033" s="10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1" t="s">
        <v>126</v>
      </c>
      <c r="B1034" s="10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1" t="s">
        <v>126</v>
      </c>
      <c r="B1035" s="10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1" t="s">
        <v>126</v>
      </c>
      <c r="B1036" s="10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1" t="s">
        <v>126</v>
      </c>
      <c r="B1037" s="10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1" t="s">
        <v>126</v>
      </c>
      <c r="B1038" s="10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1" t="s">
        <v>126</v>
      </c>
      <c r="B1039" s="10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1" t="s">
        <v>126</v>
      </c>
      <c r="B1040" s="10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1" t="s">
        <v>126</v>
      </c>
      <c r="B1041" s="10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1" t="s">
        <v>126</v>
      </c>
      <c r="B1042" s="10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1" t="s">
        <v>126</v>
      </c>
      <c r="B1043" s="10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1" t="s">
        <v>126</v>
      </c>
      <c r="B1044" s="10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1" t="s">
        <v>126</v>
      </c>
      <c r="B1045" s="10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1" t="s">
        <v>126</v>
      </c>
      <c r="B1046" s="10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1" t="s">
        <v>126</v>
      </c>
      <c r="B1047" s="10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1" t="s">
        <v>126</v>
      </c>
      <c r="B1048" s="10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1" t="s">
        <v>126</v>
      </c>
      <c r="B1049" s="10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1" t="s">
        <v>126</v>
      </c>
      <c r="B1050" s="10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1" t="s">
        <v>126</v>
      </c>
      <c r="B1051" s="10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1" t="s">
        <v>126</v>
      </c>
      <c r="B1052" s="10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1" t="s">
        <v>126</v>
      </c>
      <c r="B1053" s="10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1" t="s">
        <v>126</v>
      </c>
      <c r="B1054" s="10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1" t="s">
        <v>126</v>
      </c>
      <c r="B1055" s="10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1" t="s">
        <v>126</v>
      </c>
      <c r="B1056" s="10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1" t="s">
        <v>126</v>
      </c>
      <c r="B1057" s="10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1" t="s">
        <v>126</v>
      </c>
      <c r="B1058" s="10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1" t="s">
        <v>126</v>
      </c>
      <c r="B1059" s="10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1" t="s">
        <v>126</v>
      </c>
      <c r="B1060" s="10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1" t="s">
        <v>126</v>
      </c>
      <c r="B1061" s="10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1" t="s">
        <v>126</v>
      </c>
      <c r="B1062" s="10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1" t="s">
        <v>126</v>
      </c>
      <c r="B1063" s="10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1" t="s">
        <v>126</v>
      </c>
      <c r="B1064" s="10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1" t="s">
        <v>126</v>
      </c>
      <c r="B1065" s="10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1" t="s">
        <v>126</v>
      </c>
      <c r="B1066" s="10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1" t="s">
        <v>126</v>
      </c>
      <c r="B1067" s="10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1" t="s">
        <v>126</v>
      </c>
      <c r="B1068" s="10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1" t="s">
        <v>126</v>
      </c>
      <c r="B1069" s="10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1" t="s">
        <v>126</v>
      </c>
      <c r="B1070" s="10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1" t="s">
        <v>126</v>
      </c>
      <c r="B1071" s="10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1" t="s">
        <v>126</v>
      </c>
      <c r="B1072" s="10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1" t="s">
        <v>126</v>
      </c>
      <c r="B1073" s="10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1" t="s">
        <v>126</v>
      </c>
      <c r="B1074" s="10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1" t="s">
        <v>126</v>
      </c>
      <c r="B1075" s="10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1" t="s">
        <v>126</v>
      </c>
      <c r="B1076" s="10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1" t="s">
        <v>126</v>
      </c>
      <c r="B1077" s="10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1" t="s">
        <v>126</v>
      </c>
      <c r="B1078" s="10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1" t="s">
        <v>126</v>
      </c>
      <c r="B1079" s="10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1" t="s">
        <v>126</v>
      </c>
      <c r="B1080" s="10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1" t="s">
        <v>126</v>
      </c>
      <c r="B1081" s="10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1" t="s">
        <v>126</v>
      </c>
      <c r="B1082" s="10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1" t="s">
        <v>126</v>
      </c>
      <c r="B1083" s="10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1" t="s">
        <v>126</v>
      </c>
      <c r="B1084" s="10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1" t="s">
        <v>126</v>
      </c>
      <c r="B1085" s="10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1" t="s">
        <v>126</v>
      </c>
      <c r="B1086" s="10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1" t="s">
        <v>126</v>
      </c>
      <c r="B1087" s="10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1" t="s">
        <v>126</v>
      </c>
      <c r="B1088" s="10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20" x14ac:dyDescent="0.25">
      <c r="A1" s="34" t="s">
        <v>125</v>
      </c>
      <c r="B1" s="6" t="s">
        <v>24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6" t="s">
        <v>16</v>
      </c>
      <c r="C2" s="6" t="s">
        <v>116</v>
      </c>
      <c r="D2" s="6" t="s">
        <v>102</v>
      </c>
      <c r="E2" s="6" t="s">
        <v>115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20" x14ac:dyDescent="0.25">
      <c r="A3" s="34" t="s">
        <v>126</v>
      </c>
      <c r="B3" s="6" t="s">
        <v>16</v>
      </c>
      <c r="C3" s="6" t="s">
        <v>114</v>
      </c>
      <c r="D3" s="6" t="s">
        <v>102</v>
      </c>
      <c r="E3" s="6" t="s">
        <v>115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20" x14ac:dyDescent="0.25">
      <c r="A4" s="34" t="s">
        <v>126</v>
      </c>
      <c r="B4" s="6" t="s">
        <v>16</v>
      </c>
      <c r="C4" s="6" t="s">
        <v>97</v>
      </c>
      <c r="D4" s="6" t="s">
        <v>98</v>
      </c>
      <c r="E4" s="6" t="s">
        <v>99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20" x14ac:dyDescent="0.25">
      <c r="A5" s="34" t="s">
        <v>126</v>
      </c>
      <c r="B5" s="6" t="s">
        <v>16</v>
      </c>
      <c r="C5" s="6" t="s">
        <v>97</v>
      </c>
      <c r="D5" s="6" t="s">
        <v>98</v>
      </c>
      <c r="E5" s="6" t="s">
        <v>99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20" x14ac:dyDescent="0.25">
      <c r="A6" s="34" t="s">
        <v>126</v>
      </c>
      <c r="B6" s="6" t="s">
        <v>16</v>
      </c>
      <c r="C6" s="6" t="s">
        <v>116</v>
      </c>
      <c r="D6" s="6" t="s">
        <v>102</v>
      </c>
      <c r="E6" s="6" t="s">
        <v>115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20" x14ac:dyDescent="0.25">
      <c r="A7" s="34" t="s">
        <v>126</v>
      </c>
      <c r="B7" s="6" t="s">
        <v>16</v>
      </c>
      <c r="C7" s="6" t="s">
        <v>108</v>
      </c>
      <c r="D7" s="6" t="s">
        <v>102</v>
      </c>
      <c r="E7" s="6" t="s">
        <v>106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20" x14ac:dyDescent="0.25">
      <c r="A8" s="34" t="s">
        <v>126</v>
      </c>
      <c r="B8" s="6" t="s">
        <v>16</v>
      </c>
      <c r="C8" s="6" t="s">
        <v>105</v>
      </c>
      <c r="D8" s="6" t="s">
        <v>102</v>
      </c>
      <c r="E8" s="6" t="s">
        <v>106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20" x14ac:dyDescent="0.25">
      <c r="A9" s="34" t="s">
        <v>126</v>
      </c>
      <c r="B9" s="6" t="s">
        <v>16</v>
      </c>
      <c r="C9" s="6" t="s">
        <v>108</v>
      </c>
      <c r="D9" s="6" t="s">
        <v>102</v>
      </c>
      <c r="E9" s="6" t="s">
        <v>106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20" x14ac:dyDescent="0.25">
      <c r="A10" s="34" t="s">
        <v>126</v>
      </c>
      <c r="B10" s="6" t="s">
        <v>16</v>
      </c>
      <c r="C10" s="6" t="s">
        <v>97</v>
      </c>
      <c r="D10" s="6" t="s">
        <v>98</v>
      </c>
      <c r="E10" s="6" t="s">
        <v>99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20" x14ac:dyDescent="0.25">
      <c r="A11" s="34" t="s">
        <v>126</v>
      </c>
      <c r="B11" s="6" t="s">
        <v>16</v>
      </c>
      <c r="C11" s="6" t="s">
        <v>116</v>
      </c>
      <c r="D11" s="6" t="s">
        <v>102</v>
      </c>
      <c r="E11" s="6" t="s">
        <v>115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20" x14ac:dyDescent="0.25">
      <c r="A12" s="34" t="s">
        <v>126</v>
      </c>
      <c r="B12" s="6" t="s">
        <v>16</v>
      </c>
      <c r="C12" s="6" t="s">
        <v>114</v>
      </c>
      <c r="D12" s="6" t="s">
        <v>102</v>
      </c>
      <c r="E12" s="6" t="s">
        <v>115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20" x14ac:dyDescent="0.25">
      <c r="A13" s="34" t="s">
        <v>126</v>
      </c>
      <c r="B13" s="6" t="s">
        <v>16</v>
      </c>
      <c r="C13" s="6" t="s">
        <v>97</v>
      </c>
      <c r="D13" s="6" t="s">
        <v>98</v>
      </c>
      <c r="E13" s="6" t="s">
        <v>99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20" x14ac:dyDescent="0.25">
      <c r="A14" s="34" t="s">
        <v>126</v>
      </c>
      <c r="B14" s="6" t="s">
        <v>16</v>
      </c>
      <c r="C14" s="6" t="s">
        <v>97</v>
      </c>
      <c r="D14" s="6" t="s">
        <v>98</v>
      </c>
      <c r="E14" s="6" t="s">
        <v>99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20" x14ac:dyDescent="0.25">
      <c r="A15" s="34" t="s">
        <v>126</v>
      </c>
      <c r="B15" s="6" t="s">
        <v>16</v>
      </c>
      <c r="C15" s="6" t="s">
        <v>116</v>
      </c>
      <c r="D15" s="6" t="s">
        <v>102</v>
      </c>
      <c r="E15" s="6" t="s">
        <v>115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20" x14ac:dyDescent="0.25">
      <c r="A16" s="34" t="s">
        <v>126</v>
      </c>
      <c r="B16" s="6" t="s">
        <v>16</v>
      </c>
      <c r="C16" s="6" t="s">
        <v>114</v>
      </c>
      <c r="D16" s="6" t="s">
        <v>102</v>
      </c>
      <c r="E16" s="6" t="s">
        <v>115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4" t="s">
        <v>126</v>
      </c>
      <c r="B17" s="6" t="s">
        <v>16</v>
      </c>
      <c r="C17" s="6" t="s">
        <v>104</v>
      </c>
      <c r="D17" s="6" t="s">
        <v>102</v>
      </c>
      <c r="E17" s="6" t="s">
        <v>103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4" t="s">
        <v>126</v>
      </c>
      <c r="B18" s="6" t="s">
        <v>16</v>
      </c>
      <c r="C18" s="6" t="s">
        <v>97</v>
      </c>
      <c r="D18" s="6" t="s">
        <v>98</v>
      </c>
      <c r="E18" s="6" t="s">
        <v>99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4" t="s">
        <v>126</v>
      </c>
      <c r="B19" s="6" t="s">
        <v>16</v>
      </c>
      <c r="C19" s="6" t="s">
        <v>116</v>
      </c>
      <c r="D19" s="6" t="s">
        <v>102</v>
      </c>
      <c r="E19" s="6" t="s">
        <v>115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4" t="s">
        <v>126</v>
      </c>
      <c r="B20" s="6" t="s">
        <v>16</v>
      </c>
      <c r="C20" s="6" t="s">
        <v>108</v>
      </c>
      <c r="D20" s="6" t="s">
        <v>102</v>
      </c>
      <c r="E20" s="6" t="s">
        <v>106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4" t="s">
        <v>126</v>
      </c>
      <c r="B21" s="6" t="s">
        <v>16</v>
      </c>
      <c r="C21" s="6" t="s">
        <v>97</v>
      </c>
      <c r="D21" s="6" t="s">
        <v>98</v>
      </c>
      <c r="E21" s="6" t="s">
        <v>99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4" t="s">
        <v>126</v>
      </c>
      <c r="B22" s="6" t="s">
        <v>16</v>
      </c>
      <c r="C22" s="6" t="s">
        <v>97</v>
      </c>
      <c r="D22" s="6" t="s">
        <v>98</v>
      </c>
      <c r="E22" s="6" t="s">
        <v>99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4" t="s">
        <v>126</v>
      </c>
      <c r="B23" s="6" t="s">
        <v>16</v>
      </c>
      <c r="C23" s="6" t="s">
        <v>116</v>
      </c>
      <c r="D23" s="6" t="s">
        <v>102</v>
      </c>
      <c r="E23" s="6" t="s">
        <v>115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4" t="s">
        <v>126</v>
      </c>
      <c r="B24" s="6" t="s">
        <v>16</v>
      </c>
      <c r="C24" s="6" t="s">
        <v>108</v>
      </c>
      <c r="D24" s="6" t="s">
        <v>102</v>
      </c>
      <c r="E24" s="6" t="s">
        <v>106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4" t="s">
        <v>126</v>
      </c>
      <c r="B25" s="6" t="s">
        <v>16</v>
      </c>
      <c r="C25" s="6" t="s">
        <v>108</v>
      </c>
      <c r="D25" s="6" t="s">
        <v>102</v>
      </c>
      <c r="E25" s="6" t="s">
        <v>106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4" t="s">
        <v>126</v>
      </c>
      <c r="B26" s="6" t="s">
        <v>16</v>
      </c>
      <c r="C26" s="6" t="s">
        <v>97</v>
      </c>
      <c r="D26" s="6" t="s">
        <v>98</v>
      </c>
      <c r="E26" s="6" t="s">
        <v>99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4" t="s">
        <v>126</v>
      </c>
      <c r="B27" s="6" t="s">
        <v>16</v>
      </c>
      <c r="C27" s="6" t="s">
        <v>105</v>
      </c>
      <c r="D27" s="6" t="s">
        <v>102</v>
      </c>
      <c r="E27" s="6" t="s">
        <v>106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4" t="s">
        <v>126</v>
      </c>
      <c r="B28" s="6" t="s">
        <v>16</v>
      </c>
      <c r="C28" s="6" t="s">
        <v>97</v>
      </c>
      <c r="D28" s="6" t="s">
        <v>98</v>
      </c>
      <c r="E28" s="6" t="s">
        <v>99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4" t="s">
        <v>126</v>
      </c>
      <c r="B29" s="6" t="s">
        <v>16</v>
      </c>
      <c r="C29" s="6" t="s">
        <v>97</v>
      </c>
      <c r="D29" s="6" t="s">
        <v>98</v>
      </c>
      <c r="E29" s="6" t="s">
        <v>99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4" t="s">
        <v>126</v>
      </c>
      <c r="B30" s="6" t="s">
        <v>16</v>
      </c>
      <c r="C30" s="6" t="s">
        <v>116</v>
      </c>
      <c r="D30" s="6" t="s">
        <v>102</v>
      </c>
      <c r="E30" s="6" t="s">
        <v>115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4" t="s">
        <v>126</v>
      </c>
      <c r="B31" s="6" t="s">
        <v>16</v>
      </c>
      <c r="C31" s="6" t="s">
        <v>104</v>
      </c>
      <c r="D31" s="6" t="s">
        <v>102</v>
      </c>
      <c r="E31" s="6" t="s">
        <v>103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4" t="s">
        <v>126</v>
      </c>
      <c r="B32" s="6" t="s">
        <v>16</v>
      </c>
      <c r="C32" s="6" t="s">
        <v>97</v>
      </c>
      <c r="D32" s="6" t="s">
        <v>98</v>
      </c>
      <c r="E32" s="6" t="s">
        <v>99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4" t="s">
        <v>126</v>
      </c>
      <c r="B33" s="6" t="s">
        <v>16</v>
      </c>
      <c r="C33" s="6" t="s">
        <v>116</v>
      </c>
      <c r="D33" s="6" t="s">
        <v>102</v>
      </c>
      <c r="E33" s="6" t="s">
        <v>115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4" t="s">
        <v>126</v>
      </c>
      <c r="B34" s="6" t="s">
        <v>16</v>
      </c>
      <c r="C34" s="6" t="s">
        <v>110</v>
      </c>
      <c r="D34" s="6" t="s">
        <v>102</v>
      </c>
      <c r="E34" s="6" t="s">
        <v>106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4" t="s">
        <v>126</v>
      </c>
      <c r="B35" s="6" t="s">
        <v>16</v>
      </c>
      <c r="C35" s="6" t="s">
        <v>97</v>
      </c>
      <c r="D35" s="6" t="s">
        <v>98</v>
      </c>
      <c r="E35" s="6" t="s">
        <v>99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4" t="s">
        <v>126</v>
      </c>
      <c r="B36" s="6" t="s">
        <v>16</v>
      </c>
      <c r="C36" s="6" t="s">
        <v>116</v>
      </c>
      <c r="D36" s="6" t="s">
        <v>102</v>
      </c>
      <c r="E36" s="6" t="s">
        <v>115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4" t="s">
        <v>126</v>
      </c>
      <c r="B37" s="6" t="s">
        <v>16</v>
      </c>
      <c r="C37" s="6" t="s">
        <v>110</v>
      </c>
      <c r="D37" s="6" t="s">
        <v>102</v>
      </c>
      <c r="E37" s="6" t="s">
        <v>106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4" t="s">
        <v>126</v>
      </c>
      <c r="B38" s="6" t="s">
        <v>16</v>
      </c>
      <c r="C38" s="6" t="s">
        <v>97</v>
      </c>
      <c r="D38" s="6" t="s">
        <v>98</v>
      </c>
      <c r="E38" s="6" t="s">
        <v>99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4" t="s">
        <v>126</v>
      </c>
      <c r="B39" s="6" t="s">
        <v>16</v>
      </c>
      <c r="C39" s="6" t="s">
        <v>116</v>
      </c>
      <c r="D39" s="6" t="s">
        <v>102</v>
      </c>
      <c r="E39" s="6" t="s">
        <v>115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4" t="s">
        <v>126</v>
      </c>
      <c r="B40" s="6" t="s">
        <v>16</v>
      </c>
      <c r="C40" s="6" t="s">
        <v>116</v>
      </c>
      <c r="D40" s="6" t="s">
        <v>102</v>
      </c>
      <c r="E40" s="6" t="s">
        <v>115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4" t="s">
        <v>126</v>
      </c>
      <c r="B41" s="6" t="s">
        <v>16</v>
      </c>
      <c r="C41" s="6" t="s">
        <v>97</v>
      </c>
      <c r="D41" s="6" t="s">
        <v>98</v>
      </c>
      <c r="E41" s="6" t="s">
        <v>99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4" t="s">
        <v>126</v>
      </c>
      <c r="B42" s="6" t="s">
        <v>16</v>
      </c>
      <c r="C42" s="6" t="s">
        <v>116</v>
      </c>
      <c r="D42" s="6" t="s">
        <v>102</v>
      </c>
      <c r="E42" s="6" t="s">
        <v>115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4" t="s">
        <v>126</v>
      </c>
      <c r="B43" s="6" t="s">
        <v>16</v>
      </c>
      <c r="C43" s="6" t="s">
        <v>116</v>
      </c>
      <c r="D43" s="6" t="s">
        <v>102</v>
      </c>
      <c r="E43" s="6" t="s">
        <v>115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4" t="s">
        <v>126</v>
      </c>
      <c r="B44" s="6" t="s">
        <v>16</v>
      </c>
      <c r="C44" s="6" t="s">
        <v>101</v>
      </c>
      <c r="D44" s="6" t="s">
        <v>102</v>
      </c>
      <c r="E44" s="6" t="s">
        <v>103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4" t="s">
        <v>126</v>
      </c>
      <c r="B45" s="6" t="s">
        <v>16</v>
      </c>
      <c r="C45" s="6" t="s">
        <v>109</v>
      </c>
      <c r="D45" s="6" t="s">
        <v>102</v>
      </c>
      <c r="E45" s="6" t="s">
        <v>106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4" t="s">
        <v>126</v>
      </c>
      <c r="B46" s="6" t="s">
        <v>16</v>
      </c>
      <c r="C46" s="6" t="s">
        <v>116</v>
      </c>
      <c r="D46" s="6" t="s">
        <v>102</v>
      </c>
      <c r="E46" s="6" t="s">
        <v>115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4" t="s">
        <v>126</v>
      </c>
      <c r="B47" s="6" t="s">
        <v>16</v>
      </c>
      <c r="C47" s="6" t="s">
        <v>112</v>
      </c>
      <c r="D47" s="6" t="s">
        <v>102</v>
      </c>
      <c r="E47" s="6" t="s">
        <v>113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4" t="s">
        <v>126</v>
      </c>
      <c r="B48" s="6" t="s">
        <v>16</v>
      </c>
      <c r="C48" s="6" t="s">
        <v>97</v>
      </c>
      <c r="D48" s="6" t="s">
        <v>98</v>
      </c>
      <c r="E48" s="6" t="s">
        <v>99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4" t="s">
        <v>126</v>
      </c>
      <c r="B49" s="6" t="s">
        <v>16</v>
      </c>
      <c r="C49" s="6" t="s">
        <v>116</v>
      </c>
      <c r="D49" s="6" t="s">
        <v>102</v>
      </c>
      <c r="E49" s="6" t="s">
        <v>115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4" t="s">
        <v>126</v>
      </c>
      <c r="B50" s="6" t="s">
        <v>16</v>
      </c>
      <c r="C50" s="6" t="s">
        <v>110</v>
      </c>
      <c r="D50" s="6" t="s">
        <v>102</v>
      </c>
      <c r="E50" s="6" t="s">
        <v>106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4" t="s">
        <v>126</v>
      </c>
      <c r="B51" s="6" t="s">
        <v>16</v>
      </c>
      <c r="C51" s="6" t="s">
        <v>112</v>
      </c>
      <c r="D51" s="6" t="s">
        <v>102</v>
      </c>
      <c r="E51" s="6" t="s">
        <v>113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4" t="s">
        <v>126</v>
      </c>
      <c r="B52" s="6" t="s">
        <v>16</v>
      </c>
      <c r="C52" s="6" t="s">
        <v>97</v>
      </c>
      <c r="D52" s="6" t="s">
        <v>98</v>
      </c>
      <c r="E52" s="6" t="s">
        <v>99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4" t="s">
        <v>126</v>
      </c>
      <c r="B53" s="6" t="s">
        <v>16</v>
      </c>
      <c r="C53" s="6" t="s">
        <v>116</v>
      </c>
      <c r="D53" s="6" t="s">
        <v>102</v>
      </c>
      <c r="E53" s="6" t="s">
        <v>115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4" t="s">
        <v>126</v>
      </c>
      <c r="B54" s="6" t="s">
        <v>16</v>
      </c>
      <c r="C54" s="6" t="s">
        <v>104</v>
      </c>
      <c r="D54" s="6" t="s">
        <v>102</v>
      </c>
      <c r="E54" s="6" t="s">
        <v>103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4" t="s">
        <v>126</v>
      </c>
      <c r="B55" s="11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4" t="s">
        <v>126</v>
      </c>
      <c r="B56" s="11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4" t="s">
        <v>126</v>
      </c>
      <c r="B57" s="11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4" t="s">
        <v>126</v>
      </c>
      <c r="B58" s="11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4" t="s">
        <v>126</v>
      </c>
      <c r="B59" s="11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4" t="s">
        <v>126</v>
      </c>
      <c r="B60" s="11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4" t="s">
        <v>126</v>
      </c>
      <c r="B61" s="11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4" t="s">
        <v>126</v>
      </c>
      <c r="B62" s="11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4" t="s">
        <v>126</v>
      </c>
      <c r="B63" s="11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4" t="s">
        <v>126</v>
      </c>
      <c r="B64" s="11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4" t="s">
        <v>126</v>
      </c>
      <c r="B65" s="11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4" t="s">
        <v>126</v>
      </c>
      <c r="B66" s="11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4" t="s">
        <v>126</v>
      </c>
      <c r="B67" s="11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4" t="s">
        <v>126</v>
      </c>
      <c r="B68" s="11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4" t="s">
        <v>126</v>
      </c>
      <c r="B69" s="11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4" t="s">
        <v>126</v>
      </c>
      <c r="B70" s="11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4" t="s">
        <v>126</v>
      </c>
      <c r="B71" s="11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4" t="s">
        <v>126</v>
      </c>
      <c r="B72" s="11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4" t="s">
        <v>126</v>
      </c>
      <c r="B73" s="11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4" t="s">
        <v>126</v>
      </c>
      <c r="B74" s="11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4" t="s">
        <v>126</v>
      </c>
      <c r="B75" s="11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4" t="s">
        <v>126</v>
      </c>
      <c r="B76" s="11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4" t="s">
        <v>126</v>
      </c>
      <c r="B77" s="11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4" t="s">
        <v>126</v>
      </c>
      <c r="B78" s="11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4" t="s">
        <v>126</v>
      </c>
      <c r="B79" s="11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4" t="s">
        <v>126</v>
      </c>
      <c r="B80" s="11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4" t="s">
        <v>126</v>
      </c>
      <c r="B81" s="11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4" t="s">
        <v>126</v>
      </c>
      <c r="B82" s="11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4" t="s">
        <v>126</v>
      </c>
      <c r="B83" s="11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4" t="s">
        <v>126</v>
      </c>
      <c r="B84" s="11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4" t="s">
        <v>126</v>
      </c>
      <c r="B85" s="11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4" t="s">
        <v>126</v>
      </c>
      <c r="B86" s="11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4" t="s">
        <v>126</v>
      </c>
      <c r="B87" s="11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4" t="s">
        <v>126</v>
      </c>
      <c r="B88" s="11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4" t="s">
        <v>126</v>
      </c>
      <c r="B89" s="11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4" t="s">
        <v>126</v>
      </c>
      <c r="B90" s="11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4" t="s">
        <v>126</v>
      </c>
      <c r="B91" s="11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4" t="s">
        <v>126</v>
      </c>
      <c r="B92" s="11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4" t="s">
        <v>126</v>
      </c>
      <c r="B93" s="11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4" t="s">
        <v>126</v>
      </c>
      <c r="B94" s="11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4" t="s">
        <v>126</v>
      </c>
      <c r="B95" s="11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4" t="s">
        <v>126</v>
      </c>
      <c r="B96" s="11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4" t="s">
        <v>126</v>
      </c>
      <c r="B97" s="11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4" t="s">
        <v>126</v>
      </c>
      <c r="B98" s="11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4" t="s">
        <v>126</v>
      </c>
      <c r="B99" s="11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4" t="s">
        <v>126</v>
      </c>
      <c r="B100" s="11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4" t="s">
        <v>126</v>
      </c>
      <c r="B101" s="11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4" t="s">
        <v>126</v>
      </c>
      <c r="B102" s="11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4" t="s">
        <v>126</v>
      </c>
      <c r="B103" s="11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4" t="s">
        <v>126</v>
      </c>
      <c r="B104" s="11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4" t="s">
        <v>126</v>
      </c>
      <c r="B105" s="11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4" t="s">
        <v>126</v>
      </c>
      <c r="B106" s="11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4" t="s">
        <v>126</v>
      </c>
      <c r="B107" s="11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4" t="s">
        <v>126</v>
      </c>
      <c r="B108" s="11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4" t="s">
        <v>126</v>
      </c>
      <c r="B109" s="11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4" t="s">
        <v>126</v>
      </c>
      <c r="B110" s="11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4" t="s">
        <v>126</v>
      </c>
      <c r="B111" s="11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4" t="s">
        <v>126</v>
      </c>
      <c r="B112" s="11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4" t="s">
        <v>126</v>
      </c>
      <c r="B113" s="11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4" t="s">
        <v>126</v>
      </c>
      <c r="B114" s="11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4" t="s">
        <v>126</v>
      </c>
      <c r="B115" s="11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4" t="s">
        <v>126</v>
      </c>
      <c r="B116" s="11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4" t="s">
        <v>126</v>
      </c>
      <c r="B117" s="11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4" t="s">
        <v>126</v>
      </c>
      <c r="B118" s="11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4" t="s">
        <v>126</v>
      </c>
      <c r="B119" s="11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4" t="s">
        <v>126</v>
      </c>
      <c r="B120" s="11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4" t="s">
        <v>126</v>
      </c>
      <c r="B121" s="11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4" t="s">
        <v>126</v>
      </c>
      <c r="B122" s="11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4" t="s">
        <v>126</v>
      </c>
      <c r="B123" s="11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4" t="s">
        <v>126</v>
      </c>
      <c r="B124" s="11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4" t="s">
        <v>126</v>
      </c>
      <c r="B125" s="11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2026-05-18T21:49:16Z</dcterms:modified>
  <cp:category/>
  <cp:contentStatus/>
</cp:coreProperties>
</file>