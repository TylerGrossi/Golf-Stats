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4" documentId="8_{6DCA8710-A319-417A-813F-7ECB0E9DF544}" xr6:coauthVersionLast="47" xr6:coauthVersionMax="47" xr10:uidLastSave="{F1E671FD-EA20-45C4-8255-61E60430F619}"/>
  <bookViews>
    <workbookView xWindow="32340" yWindow="2115" windowWidth="21600" windowHeight="11835" firstSheet="2" activeTab="1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Q1279" i="12" l="1" a="1"/>
  <c r="Q1278" i="12" a="1"/>
  <c r="Q1277" i="12" a="1"/>
  <c r="Q1276" i="12" a="1"/>
  <c r="Q1275" i="12" a="1"/>
  <c r="Q1274" i="12" a="1"/>
  <c r="Q1273" i="12" a="1"/>
  <c r="Q1272" i="12" a="1"/>
  <c r="Q1271" i="12" a="1"/>
  <c r="Q1270" i="12" a="1"/>
  <c r="Q1269" i="12" a="1"/>
  <c r="Q1268" i="12" a="1"/>
  <c r="Q1267" i="12" a="1"/>
  <c r="Q1266" i="12" a="1"/>
  <c r="Q1265" i="12" a="1"/>
  <c r="Q1264" i="12" a="1"/>
  <c r="Q1263" i="12" a="1"/>
  <c r="Q1262" i="12" a="1"/>
  <c r="Q1261" i="12" a="1"/>
  <c r="Q1260" i="12" a="1"/>
  <c r="Q1259" i="12" a="1"/>
  <c r="Q1258" i="12" a="1"/>
  <c r="Q1257" i="12" a="1"/>
  <c r="Q1256" i="12" a="1"/>
  <c r="Q1255" i="12" a="1"/>
  <c r="Q1254" i="12" a="1"/>
  <c r="Q1253" i="12" a="1"/>
  <c r="Q1252" i="12" a="1"/>
  <c r="Q1251" i="12" a="1"/>
  <c r="Q1250" i="12" a="1"/>
  <c r="Q1249" i="12" a="1"/>
  <c r="Q1248" i="12" a="1"/>
  <c r="Q1247" i="12" a="1"/>
  <c r="Q1246" i="12" a="1"/>
  <c r="Q1245" i="12" a="1"/>
  <c r="Q1244" i="12" a="1"/>
  <c r="Q1226" i="12" a="1"/>
  <c r="Q1227" i="12" a="1"/>
  <c r="Q1228" i="12" a="1"/>
  <c r="Q1229" i="12" a="1"/>
  <c r="Q1230" i="12" a="1"/>
  <c r="Q1231" i="12" a="1"/>
  <c r="Q1232" i="12" a="1"/>
  <c r="Q1233" i="12" a="1"/>
  <c r="Q1234" i="12" a="1"/>
  <c r="Q1235" i="12" a="1"/>
  <c r="Q1236" i="12" a="1"/>
  <c r="Q1237" i="12" a="1"/>
  <c r="Q1238" i="12" a="1"/>
  <c r="Q1239" i="12" a="1"/>
  <c r="Q1240" i="12" a="1"/>
  <c r="Q1241" i="12" a="1"/>
  <c r="Q1242" i="12" a="1"/>
  <c r="Q1243" i="12" a="1"/>
  <c r="Q1208" i="12" a="1"/>
  <c r="Q1209" i="12" a="1"/>
  <c r="Q1210" i="12" a="1"/>
  <c r="Q1211" i="12" a="1"/>
  <c r="Q1212" i="12" a="1"/>
  <c r="Q1213" i="12" a="1"/>
  <c r="Q1214" i="12" a="1"/>
  <c r="Q1215" i="12" a="1"/>
  <c r="Q1216" i="12" a="1"/>
  <c r="Q1217" i="12" a="1"/>
  <c r="Q1218" i="12" a="1"/>
  <c r="Q1219" i="12" a="1"/>
  <c r="Q1220" i="12" a="1"/>
  <c r="Q1221" i="12" a="1"/>
  <c r="Q1222" i="12" a="1"/>
  <c r="Q1223" i="12" a="1"/>
  <c r="Q1224" i="12" a="1"/>
  <c r="Q1225" i="12" a="1"/>
  <c r="Q1172" i="12" a="1"/>
  <c r="Q1173" i="12" a="1"/>
  <c r="Q1174" i="12" a="1"/>
  <c r="Q1175" i="12" a="1"/>
  <c r="Q1176" i="12" a="1"/>
  <c r="Q1177" i="12" a="1"/>
  <c r="Q1178" i="12" a="1"/>
  <c r="Q1179" i="12" a="1"/>
  <c r="Q1180" i="12" a="1"/>
  <c r="Q1181" i="12" a="1"/>
  <c r="Q1182" i="12" a="1"/>
  <c r="Q1183" i="12" a="1"/>
  <c r="Q1184" i="12" a="1"/>
  <c r="Q1185" i="12" a="1"/>
  <c r="Q1186" i="12" a="1"/>
  <c r="Q1187" i="12" a="1"/>
  <c r="Q1188" i="12" a="1"/>
  <c r="Q1189" i="12" a="1"/>
  <c r="Q1190" i="12" a="1"/>
  <c r="Q1191" i="12" a="1"/>
  <c r="Q1192" i="12" a="1"/>
  <c r="Q1193" i="12" a="1"/>
  <c r="Q1194" i="12" a="1"/>
  <c r="Q1195" i="12" a="1"/>
  <c r="Q1196" i="12" a="1"/>
  <c r="Q1197" i="12" a="1"/>
  <c r="Q1198" i="12" a="1"/>
  <c r="Q1199" i="12" a="1"/>
  <c r="Q1200" i="12" a="1"/>
  <c r="Q1201" i="12" a="1"/>
  <c r="Q1202" i="12" a="1"/>
  <c r="Q1203" i="12" a="1"/>
  <c r="Q1204" i="12" a="1"/>
  <c r="Q1205" i="12" a="1"/>
  <c r="Q1206" i="12" a="1"/>
  <c r="Q1207" i="12" a="1"/>
  <c r="Q1154" i="12" a="1"/>
  <c r="Q1155" i="12" a="1"/>
  <c r="Q1156" i="12" a="1"/>
  <c r="Q1157" i="12" a="1"/>
  <c r="Q1158" i="12" a="1"/>
  <c r="Q1159" i="12" a="1"/>
  <c r="Q1160" i="12" a="1"/>
  <c r="Q1161" i="12" a="1"/>
  <c r="Q1162" i="12" a="1"/>
  <c r="Q1163" i="12" a="1"/>
  <c r="Q1164" i="12" a="1"/>
  <c r="Q1165" i="12" a="1"/>
  <c r="Q1166" i="12" a="1"/>
  <c r="Q1167" i="12" a="1"/>
  <c r="Q1168" i="12" a="1"/>
  <c r="Q1169" i="12" a="1"/>
  <c r="Q1170" i="12" a="1"/>
  <c r="Q1171" i="12" a="1"/>
  <c r="Q1136" i="12" a="1"/>
  <c r="Q1137" i="12" a="1"/>
  <c r="Q1138" i="12" a="1"/>
  <c r="Q1139" i="12" a="1"/>
  <c r="Q1140" i="12" a="1"/>
  <c r="Q1141" i="12" a="1"/>
  <c r="Q1142" i="12" a="1"/>
  <c r="Q1143" i="12" a="1"/>
  <c r="Q1144" i="12" a="1"/>
  <c r="Q1145" i="12" a="1"/>
  <c r="Q1146" i="12" a="1"/>
  <c r="Q1147" i="12" a="1"/>
  <c r="Q1148" i="12" a="1"/>
  <c r="Q1149" i="12" a="1"/>
  <c r="Q1150" i="12" a="1"/>
  <c r="Q1151" i="12" a="1"/>
  <c r="Q1152" i="12" a="1"/>
  <c r="Q1153" i="12" a="1"/>
  <c r="Q1082" i="12" a="1"/>
  <c r="Q1083" i="12" a="1"/>
  <c r="Q1084" i="12" a="1"/>
  <c r="Q1085" i="12" a="1"/>
  <c r="Q1086" i="12" a="1"/>
  <c r="Q1087" i="12" a="1"/>
  <c r="Q1088" i="12" a="1"/>
  <c r="Q1089" i="12" a="1"/>
  <c r="Q1090" i="12" a="1"/>
  <c r="Q1091" i="12" a="1"/>
  <c r="Q1092" i="12" a="1"/>
  <c r="Q1093" i="12" a="1"/>
  <c r="Q1094" i="12" a="1"/>
  <c r="Q1095" i="12" a="1"/>
  <c r="Q1096" i="12" a="1"/>
  <c r="Q1097" i="12" a="1"/>
  <c r="Q1098" i="12" a="1"/>
  <c r="Q1099" i="12" a="1"/>
  <c r="Q1100" i="12" a="1"/>
  <c r="Q1101" i="12" a="1"/>
  <c r="Q1102" i="12" a="1"/>
  <c r="Q1103" i="12" a="1"/>
  <c r="Q1104" i="12" a="1"/>
  <c r="Q1105" i="12" a="1"/>
  <c r="Q1106" i="12" a="1"/>
  <c r="Q1107" i="12" a="1"/>
  <c r="Q1108" i="12" a="1"/>
  <c r="Q1109" i="12" a="1"/>
  <c r="Q1110" i="12" a="1"/>
  <c r="Q1111" i="12" a="1"/>
  <c r="Q1112" i="12" a="1"/>
  <c r="Q1113" i="12" a="1"/>
  <c r="Q1114" i="12" a="1"/>
  <c r="Q1115" i="12" a="1"/>
  <c r="Q1116" i="12" a="1"/>
  <c r="Q1117" i="12" a="1"/>
  <c r="Q1118" i="12" a="1"/>
  <c r="Q1119" i="12" a="1"/>
  <c r="Q1120" i="12" a="1"/>
  <c r="Q1121" i="12" a="1"/>
  <c r="Q1122" i="12" a="1"/>
  <c r="Q1123" i="12" a="1"/>
  <c r="Q1124" i="12" a="1"/>
  <c r="Q1125" i="12" a="1"/>
  <c r="Q1126" i="12" a="1"/>
  <c r="Q1127" i="12" a="1"/>
  <c r="Q1128" i="12" a="1"/>
  <c r="Q1129" i="12" a="1"/>
  <c r="Q1130" i="12" a="1"/>
  <c r="Q1131" i="12" a="1"/>
  <c r="Q1132" i="12" a="1"/>
  <c r="Q1133" i="12" a="1"/>
  <c r="Q1134" i="12" a="1"/>
  <c r="Q1135" i="12" a="1"/>
  <c r="Q848" i="12" a="1"/>
  <c r="Q849" i="12" a="1"/>
  <c r="Q850" i="12" a="1"/>
  <c r="Q851" i="12" a="1"/>
  <c r="Q852" i="12" a="1"/>
  <c r="Q853" i="12" a="1"/>
  <c r="Q854" i="12" a="1"/>
  <c r="Q855" i="12" a="1"/>
  <c r="Q856" i="12" a="1"/>
  <c r="Q857" i="12" a="1"/>
  <c r="Q858" i="12" a="1"/>
  <c r="Q859" i="12" a="1"/>
  <c r="Q860" i="12" a="1"/>
  <c r="Q861" i="12" a="1"/>
  <c r="Q862" i="12" a="1"/>
  <c r="Q863" i="12" a="1"/>
  <c r="Q864" i="12" a="1"/>
  <c r="Q865" i="12" a="1"/>
  <c r="Q866" i="12" a="1"/>
  <c r="Q867" i="12" a="1"/>
  <c r="Q868" i="12" a="1"/>
  <c r="Q869" i="12" a="1"/>
  <c r="Q870" i="12" a="1"/>
  <c r="Q871" i="12" a="1"/>
  <c r="Q872" i="12" a="1"/>
  <c r="Q873" i="12" a="1"/>
  <c r="Q874" i="12" a="1"/>
  <c r="Q875" i="12" a="1"/>
  <c r="Q876" i="12" a="1"/>
  <c r="Q877" i="12" a="1"/>
  <c r="Q878" i="12" a="1"/>
  <c r="Q879" i="12" a="1"/>
  <c r="Q880" i="12" a="1"/>
  <c r="Q881" i="12" a="1"/>
  <c r="Q882" i="12" a="1"/>
  <c r="Q883" i="12" a="1"/>
  <c r="Q884" i="12" a="1"/>
  <c r="Q885" i="12" a="1"/>
  <c r="Q886" i="12" a="1"/>
  <c r="Q887" i="12" a="1"/>
  <c r="Q888" i="12" a="1"/>
  <c r="Q889" i="12" a="1"/>
  <c r="Q890" i="12" a="1"/>
  <c r="Q891" i="12" a="1"/>
  <c r="Q892" i="12" a="1"/>
  <c r="Q893" i="12" a="1"/>
  <c r="Q894" i="12" a="1"/>
  <c r="Q895" i="12" a="1"/>
  <c r="Q896" i="12" a="1"/>
  <c r="Q897" i="12" a="1"/>
  <c r="Q898" i="12" a="1"/>
  <c r="Q899" i="12" a="1"/>
  <c r="Q900" i="12" a="1"/>
  <c r="Q901" i="12" a="1"/>
  <c r="Q902" i="12" a="1"/>
  <c r="Q903" i="12" a="1"/>
  <c r="Q904" i="12" a="1"/>
  <c r="Q905" i="12" a="1"/>
  <c r="Q906" i="12" a="1"/>
  <c r="Q907" i="12" a="1"/>
  <c r="Q908" i="12" a="1"/>
  <c r="Q909" i="12" a="1"/>
  <c r="Q910" i="12" a="1"/>
  <c r="Q911" i="12" a="1"/>
  <c r="Q912" i="12" a="1"/>
  <c r="Q913" i="12" a="1"/>
  <c r="Q914" i="12" a="1"/>
  <c r="Q915" i="12" a="1"/>
  <c r="Q916" i="12" a="1"/>
  <c r="Q917" i="12" a="1"/>
  <c r="Q918" i="12" a="1"/>
  <c r="Q919" i="12" a="1"/>
  <c r="Q920" i="12" a="1"/>
  <c r="Q921" i="12" a="1"/>
  <c r="Q922" i="12" a="1"/>
  <c r="Q923" i="12" a="1"/>
  <c r="Q924" i="12" a="1"/>
  <c r="Q925" i="12" a="1"/>
  <c r="Q926" i="12" a="1"/>
  <c r="Q927" i="12" a="1"/>
  <c r="Q928" i="12" a="1"/>
  <c r="Q929" i="12" a="1"/>
  <c r="Q930" i="12" a="1"/>
  <c r="Q931" i="12" a="1"/>
  <c r="Q932" i="12" a="1"/>
  <c r="Q933" i="12" a="1"/>
  <c r="Q934" i="12" a="1"/>
  <c r="Q935" i="12" a="1"/>
  <c r="Q936" i="12" a="1"/>
  <c r="Q937" i="12" a="1"/>
  <c r="Q938" i="12" a="1"/>
  <c r="Q939" i="12" a="1"/>
  <c r="Q940" i="12" a="1"/>
  <c r="Q941" i="12" a="1"/>
  <c r="Q942" i="12" a="1"/>
  <c r="Q943" i="12" a="1"/>
  <c r="Q944" i="12" a="1"/>
  <c r="Q945" i="12" a="1"/>
  <c r="Q946" i="12" a="1"/>
  <c r="Q947" i="12" a="1"/>
  <c r="Q948" i="12" a="1"/>
  <c r="Q949" i="12" a="1"/>
  <c r="Q950" i="12" a="1"/>
  <c r="Q951" i="12" a="1"/>
  <c r="Q952" i="12" a="1"/>
  <c r="Q953" i="12" a="1"/>
  <c r="Q954" i="12" a="1"/>
  <c r="Q955" i="12" a="1"/>
  <c r="Q956" i="12" a="1"/>
  <c r="Q957" i="12" a="1"/>
  <c r="Q958" i="12" a="1"/>
  <c r="Q959" i="12" a="1"/>
  <c r="Q960" i="12" a="1"/>
  <c r="Q961" i="12" a="1"/>
  <c r="Q962" i="12" a="1"/>
  <c r="Q963" i="12" a="1"/>
  <c r="Q964" i="12" a="1"/>
  <c r="Q965" i="12" a="1"/>
  <c r="Q966" i="12" a="1"/>
  <c r="Q967" i="12" a="1"/>
  <c r="Q968" i="12" a="1"/>
  <c r="Q969" i="12" a="1"/>
  <c r="Q970" i="12" a="1"/>
  <c r="Q971" i="12" a="1"/>
  <c r="Q972" i="12" a="1"/>
  <c r="Q973" i="12" a="1"/>
  <c r="Q974" i="12" a="1"/>
  <c r="Q975" i="12" a="1"/>
  <c r="Q976" i="12" a="1"/>
  <c r="Q977" i="12" a="1"/>
  <c r="Q978" i="12" a="1"/>
  <c r="Q979" i="12" a="1"/>
  <c r="Q980" i="12" a="1"/>
  <c r="Q981" i="12" a="1"/>
  <c r="Q982" i="12" a="1"/>
  <c r="Q983" i="12" a="1"/>
  <c r="Q984" i="12" a="1"/>
  <c r="Q985" i="12" a="1"/>
  <c r="Q986" i="12" a="1"/>
  <c r="Q987" i="12" a="1"/>
  <c r="Q988" i="12" a="1"/>
  <c r="Q989" i="12" a="1"/>
  <c r="Q990" i="12" a="1"/>
  <c r="Q991" i="12" a="1"/>
  <c r="Q992" i="12" a="1"/>
  <c r="Q993" i="12" a="1"/>
  <c r="Q994" i="12" a="1"/>
  <c r="Q995" i="12" a="1"/>
  <c r="Q996" i="12" a="1"/>
  <c r="Q997" i="12" a="1"/>
  <c r="Q998" i="12" a="1"/>
  <c r="Q999" i="12" a="1"/>
  <c r="Q1000" i="12" a="1"/>
  <c r="Q1001" i="12" a="1"/>
  <c r="Q1002" i="12" a="1"/>
  <c r="Q1003" i="12" a="1"/>
  <c r="Q1004" i="12" a="1"/>
  <c r="Q1005" i="12" a="1"/>
  <c r="Q1006" i="12" a="1"/>
  <c r="Q1007" i="12" a="1"/>
  <c r="Q1008" i="12" a="1"/>
  <c r="Q1009" i="12" a="1"/>
  <c r="Q1010" i="12" a="1"/>
  <c r="Q1011" i="12" a="1"/>
  <c r="Q1012" i="12" a="1"/>
  <c r="Q1013" i="12" a="1"/>
  <c r="Q1014" i="12" a="1"/>
  <c r="Q1015" i="12" a="1"/>
  <c r="Q1016" i="12" a="1"/>
  <c r="Q1017" i="12" a="1"/>
  <c r="Q1018" i="12" a="1"/>
  <c r="Q1019" i="12" a="1"/>
  <c r="Q1020" i="12" a="1"/>
  <c r="Q1021" i="12" a="1"/>
  <c r="Q1022" i="12" a="1"/>
  <c r="Q1023" i="12" a="1"/>
  <c r="Q1024" i="12" a="1"/>
  <c r="Q1025" i="12" a="1"/>
  <c r="Q1026" i="12" a="1"/>
  <c r="Q1027" i="12" a="1"/>
  <c r="Q1028" i="12" a="1"/>
  <c r="Q1029" i="12" a="1"/>
  <c r="Q1030" i="12" a="1"/>
  <c r="Q1031" i="12" a="1"/>
  <c r="Q1032" i="12" a="1"/>
  <c r="Q1033" i="12" a="1"/>
  <c r="Q1034" i="12" a="1"/>
  <c r="Q1035" i="12" a="1"/>
  <c r="Q1036" i="12" a="1"/>
  <c r="Q1037" i="12" a="1"/>
  <c r="Q1038" i="12" a="1"/>
  <c r="Q1039" i="12" a="1"/>
  <c r="Q1040" i="12" a="1"/>
  <c r="Q1041" i="12" a="1"/>
  <c r="Q1042" i="12" a="1"/>
  <c r="Q1043" i="12" a="1"/>
  <c r="Q1044" i="12" a="1"/>
  <c r="Q1045" i="12" a="1"/>
  <c r="Q1046" i="12" a="1"/>
  <c r="Q1047" i="12" a="1"/>
  <c r="Q1048" i="12" a="1"/>
  <c r="Q1049" i="12" a="1"/>
  <c r="Q1050" i="12" a="1"/>
  <c r="Q1051" i="12" a="1"/>
  <c r="Q1052" i="12" a="1"/>
  <c r="Q1053" i="12" a="1"/>
  <c r="Q1054" i="12" a="1"/>
  <c r="Q1055" i="12" a="1"/>
  <c r="Q1056" i="12" a="1"/>
  <c r="Q1057" i="12" a="1"/>
  <c r="Q1058" i="12" a="1"/>
  <c r="Q1059" i="12" a="1"/>
  <c r="Q1060" i="12" a="1"/>
  <c r="Q1061" i="12" a="1"/>
  <c r="Q1062" i="12" a="1"/>
  <c r="Q1063" i="12" a="1"/>
  <c r="Q1064" i="12" a="1"/>
  <c r="Q1065" i="12" a="1"/>
  <c r="Q1066" i="12" a="1"/>
  <c r="Q1067" i="12" a="1"/>
  <c r="Q1068" i="12" a="1"/>
  <c r="Q1069" i="12" a="1"/>
  <c r="Q1070" i="12" a="1"/>
  <c r="Q1071" i="12" a="1"/>
  <c r="Q1072" i="12" a="1"/>
  <c r="Q1073" i="12" a="1"/>
  <c r="Q1074" i="12" a="1"/>
  <c r="Q1075" i="12" a="1"/>
  <c r="Q1076" i="12" a="1"/>
  <c r="Q1077" i="12" a="1"/>
  <c r="Q1078" i="12" a="1"/>
  <c r="Q1079" i="12" a="1"/>
  <c r="Q1080" i="12" a="1"/>
  <c r="Q1081" i="12" a="1"/>
  <c r="Q830" i="12" a="1"/>
  <c r="Q831" i="12" a="1"/>
  <c r="Q832" i="12" a="1"/>
  <c r="Q833" i="12" a="1"/>
  <c r="Q834" i="12" a="1"/>
  <c r="Q835" i="12" a="1"/>
  <c r="Q836" i="12" a="1"/>
  <c r="Q837" i="12" a="1"/>
  <c r="Q838" i="12" a="1"/>
  <c r="Q839" i="12" a="1"/>
  <c r="Q840" i="12" a="1"/>
  <c r="Q841" i="12" a="1"/>
  <c r="Q842" i="12" a="1"/>
  <c r="Q843" i="12" a="1"/>
  <c r="Q844" i="12" a="1"/>
  <c r="Q845" i="12" a="1"/>
  <c r="Q846" i="12" a="1"/>
  <c r="Q847" i="12" a="1"/>
  <c r="Q758" i="12" a="1"/>
  <c r="Q759" i="12" a="1"/>
  <c r="Q760" i="12" a="1"/>
  <c r="Q761" i="12" a="1"/>
  <c r="Q762" i="12" a="1"/>
  <c r="Q763" i="12" a="1"/>
  <c r="Q764" i="12" a="1"/>
  <c r="Q765" i="12" a="1"/>
  <c r="Q766" i="12" a="1"/>
  <c r="Q767" i="12" a="1"/>
  <c r="Q768" i="12" a="1"/>
  <c r="Q769" i="12" a="1"/>
  <c r="Q770" i="12" a="1"/>
  <c r="Q771" i="12" a="1"/>
  <c r="Q772" i="12" a="1"/>
  <c r="Q773" i="12" a="1"/>
  <c r="Q774" i="12" a="1"/>
  <c r="Q775" i="12" a="1"/>
  <c r="Q776" i="12" a="1"/>
  <c r="Q777" i="12" a="1"/>
  <c r="Q778" i="12" a="1"/>
  <c r="Q779" i="12" a="1"/>
  <c r="Q780" i="12" a="1"/>
  <c r="Q781" i="12" a="1"/>
  <c r="Q782" i="12" a="1"/>
  <c r="Q783" i="12" a="1"/>
  <c r="Q784" i="12" a="1"/>
  <c r="Q785" i="12" a="1"/>
  <c r="Q786" i="12" a="1"/>
  <c r="Q787" i="12" a="1"/>
  <c r="Q788" i="12" a="1"/>
  <c r="Q789" i="12" a="1"/>
  <c r="Q790" i="12" a="1"/>
  <c r="Q791" i="12" a="1"/>
  <c r="Q792" i="12" a="1"/>
  <c r="Q793" i="12" a="1"/>
  <c r="Q794" i="12" a="1"/>
  <c r="Q795" i="12" a="1"/>
  <c r="Q796" i="12" a="1"/>
  <c r="Q797" i="12" a="1"/>
  <c r="Q798" i="12" a="1"/>
  <c r="Q799" i="12" a="1"/>
  <c r="Q800" i="12" a="1"/>
  <c r="Q801" i="12" a="1"/>
  <c r="Q802" i="12" a="1"/>
  <c r="Q803" i="12" a="1"/>
  <c r="Q804" i="12" a="1"/>
  <c r="Q805" i="12" a="1"/>
  <c r="Q806" i="12" a="1"/>
  <c r="Q807" i="12" a="1"/>
  <c r="Q808" i="12" a="1"/>
  <c r="Q809" i="12" a="1"/>
  <c r="Q810" i="12" a="1"/>
  <c r="Q811" i="12" a="1"/>
  <c r="Q812" i="12" a="1"/>
  <c r="Q813" i="12" a="1"/>
  <c r="Q814" i="12" a="1"/>
  <c r="Q815" i="12" a="1"/>
  <c r="Q816" i="12" a="1"/>
  <c r="Q817" i="12" a="1"/>
  <c r="Q818" i="12" a="1"/>
  <c r="Q819" i="12" a="1"/>
  <c r="Q820" i="12" a="1"/>
  <c r="Q821" i="12" a="1"/>
  <c r="Q822" i="12" a="1"/>
  <c r="Q823" i="12" a="1"/>
  <c r="Q824" i="12" a="1"/>
  <c r="Q825" i="12" a="1"/>
  <c r="Q826" i="12" a="1"/>
  <c r="Q827" i="12" a="1"/>
  <c r="Q828" i="12" a="1"/>
  <c r="Q829" i="12" a="1"/>
  <c r="Q3" i="12" a="1"/>
  <c r="Q4" i="12" a="1"/>
  <c r="Q5" i="12" a="1"/>
  <c r="Q6" i="12" a="1"/>
  <c r="Q7" i="12" a="1"/>
  <c r="Q8" i="12" a="1"/>
  <c r="Q9" i="12" a="1"/>
  <c r="Q10" i="12" a="1"/>
  <c r="Q11" i="12" a="1"/>
  <c r="Q12" i="12" a="1"/>
  <c r="Q13" i="12" a="1"/>
  <c r="Q14" i="12" a="1"/>
  <c r="Q15" i="12" a="1"/>
  <c r="Q16" i="12" a="1"/>
  <c r="Q17" i="12" a="1"/>
  <c r="Q18" i="12" a="1"/>
  <c r="Q19" i="12" a="1"/>
  <c r="Q20" i="12" a="1"/>
  <c r="Q21" i="12" a="1"/>
  <c r="Q22" i="12" a="1"/>
  <c r="Q23" i="12" a="1"/>
  <c r="Q24" i="12" a="1"/>
  <c r="Q25" i="12" a="1"/>
  <c r="Q26" i="12" a="1"/>
  <c r="Q27" i="12" a="1"/>
  <c r="Q28" i="12" a="1"/>
  <c r="Q29" i="12" a="1"/>
  <c r="Q30" i="12" a="1"/>
  <c r="Q31" i="12" a="1"/>
  <c r="Q32" i="12" a="1"/>
  <c r="Q33" i="12" a="1"/>
  <c r="Q34" i="12" a="1"/>
  <c r="Q35" i="12" a="1"/>
  <c r="Q36" i="12" a="1"/>
  <c r="Q37" i="12" a="1"/>
  <c r="Q38" i="12" a="1"/>
  <c r="Q39" i="12" a="1"/>
  <c r="Q40" i="12" a="1"/>
  <c r="Q41" i="12" a="1"/>
  <c r="Q42" i="12" a="1"/>
  <c r="Q43" i="12" a="1"/>
  <c r="Q44" i="12" a="1"/>
  <c r="Q45" i="12" a="1"/>
  <c r="Q46" i="12" a="1"/>
  <c r="Q47" i="12" a="1"/>
  <c r="Q48" i="12" a="1"/>
  <c r="Q49" i="12" a="1"/>
  <c r="Q50" i="12" a="1"/>
  <c r="Q51" i="12" a="1"/>
  <c r="Q52" i="12" a="1"/>
  <c r="Q53" i="12" a="1"/>
  <c r="Q54" i="12" a="1"/>
  <c r="Q55" i="12" a="1"/>
  <c r="Q56" i="12" a="1"/>
  <c r="Q57" i="12" a="1"/>
  <c r="Q58" i="12" a="1"/>
  <c r="Q59" i="12" a="1"/>
  <c r="Q60" i="12" a="1"/>
  <c r="Q61" i="12" a="1"/>
  <c r="Q62" i="12" a="1"/>
  <c r="Q63" i="12" a="1"/>
  <c r="Q64" i="12" a="1"/>
  <c r="Q65" i="12" a="1"/>
  <c r="Q66" i="12" a="1"/>
  <c r="Q67" i="12" a="1"/>
  <c r="Q68" i="12" a="1"/>
  <c r="Q69" i="12" a="1"/>
  <c r="Q70" i="12" a="1"/>
  <c r="Q71" i="12" a="1"/>
  <c r="Q72" i="12" a="1"/>
  <c r="Q73" i="12" a="1"/>
  <c r="Q74" i="12" a="1"/>
  <c r="Q75" i="12" a="1"/>
  <c r="Q76" i="12" a="1"/>
  <c r="Q77" i="12" a="1"/>
  <c r="Q78" i="12" a="1"/>
  <c r="Q79" i="12" a="1"/>
  <c r="Q80" i="12" a="1"/>
  <c r="Q81" i="12" a="1"/>
  <c r="Q82" i="12" a="1"/>
  <c r="Q83" i="12" a="1"/>
  <c r="Q84" i="12" a="1"/>
  <c r="Q85" i="12" a="1"/>
  <c r="Q86" i="12" a="1"/>
  <c r="Q87" i="12" a="1"/>
  <c r="Q88" i="12" a="1"/>
  <c r="Q89" i="12" a="1"/>
  <c r="Q90" i="12" a="1"/>
  <c r="Q91" i="12" a="1"/>
  <c r="Q92" i="12" a="1"/>
  <c r="Q93" i="12" a="1"/>
  <c r="Q94" i="12" a="1"/>
  <c r="Q95" i="12" a="1"/>
  <c r="Q96" i="12" a="1"/>
  <c r="Q97" i="12" a="1"/>
  <c r="Q98" i="12" a="1"/>
  <c r="Q99" i="12" a="1"/>
  <c r="Q100" i="12" a="1"/>
  <c r="Q101" i="12" a="1"/>
  <c r="Q102" i="12" a="1"/>
  <c r="Q103" i="12" a="1"/>
  <c r="Q104" i="12" a="1"/>
  <c r="Q105" i="12" a="1"/>
  <c r="Q106" i="12" a="1"/>
  <c r="Q107" i="12" a="1"/>
  <c r="Q108" i="12" a="1"/>
  <c r="Q109" i="12" a="1"/>
  <c r="Q110" i="12" a="1"/>
  <c r="Q111" i="12" a="1"/>
  <c r="Q112" i="12" a="1"/>
  <c r="Q113" i="12" a="1"/>
  <c r="Q114" i="12" a="1"/>
  <c r="Q115" i="12" a="1"/>
  <c r="Q116" i="12" a="1"/>
  <c r="Q117" i="12" a="1"/>
  <c r="Q118" i="12" a="1"/>
  <c r="Q119" i="12" a="1"/>
  <c r="Q120" i="12" a="1"/>
  <c r="Q121" i="12" a="1"/>
  <c r="Q122" i="12" a="1"/>
  <c r="Q123" i="12" a="1"/>
  <c r="Q124" i="12" a="1"/>
  <c r="Q125" i="12" a="1"/>
  <c r="Q126" i="12" a="1"/>
  <c r="Q127" i="12" a="1"/>
  <c r="Q128" i="12" a="1"/>
  <c r="Q129" i="12" a="1"/>
  <c r="Q130" i="12" a="1"/>
  <c r="Q131" i="12" a="1"/>
  <c r="Q132" i="12" a="1"/>
  <c r="Q133" i="12" a="1"/>
  <c r="Q134" i="12" a="1"/>
  <c r="Q135" i="12" a="1"/>
  <c r="Q136" i="12" a="1"/>
  <c r="Q137" i="12" a="1"/>
  <c r="Q138" i="12" a="1"/>
  <c r="Q139" i="12" a="1"/>
  <c r="Q140" i="12" a="1"/>
  <c r="Q141" i="12" a="1"/>
  <c r="Q142" i="12" a="1"/>
  <c r="Q143" i="12" a="1"/>
  <c r="Q144" i="12" a="1"/>
  <c r="Q145" i="12" a="1"/>
  <c r="Q146" i="12" a="1"/>
  <c r="Q147" i="12" a="1"/>
  <c r="Q148" i="12" a="1"/>
  <c r="Q149" i="12" a="1"/>
  <c r="Q150" i="12" a="1"/>
  <c r="Q151" i="12" a="1"/>
  <c r="Q152" i="12" a="1"/>
  <c r="Q153" i="12" a="1"/>
  <c r="Q154" i="12" a="1"/>
  <c r="Q155" i="12" a="1"/>
  <c r="Q156" i="12" a="1"/>
  <c r="Q157" i="12" a="1"/>
  <c r="Q158" i="12" a="1"/>
  <c r="Q159" i="12" a="1"/>
  <c r="Q160" i="12" a="1"/>
  <c r="Q161" i="12" a="1"/>
  <c r="Q162" i="12" a="1"/>
  <c r="Q163" i="12" a="1"/>
  <c r="Q164" i="12" a="1"/>
  <c r="Q165" i="12" a="1"/>
  <c r="Q166" i="12" a="1"/>
  <c r="Q167" i="12" a="1"/>
  <c r="Q168" i="12" a="1"/>
  <c r="Q169" i="12" a="1"/>
  <c r="Q170" i="12" a="1"/>
  <c r="Q171" i="12" a="1"/>
  <c r="Q172" i="12" a="1"/>
  <c r="Q173" i="12" a="1"/>
  <c r="Q174" i="12" a="1"/>
  <c r="Q175" i="12" a="1"/>
  <c r="Q176" i="12" a="1"/>
  <c r="Q177" i="12" a="1"/>
  <c r="Q178" i="12" a="1"/>
  <c r="Q179" i="12" a="1"/>
  <c r="Q180" i="12" a="1"/>
  <c r="Q181" i="12" a="1"/>
  <c r="Q182" i="12" a="1"/>
  <c r="Q183" i="12" a="1"/>
  <c r="Q184" i="12" a="1"/>
  <c r="Q185" i="12" a="1"/>
  <c r="Q186" i="12" a="1"/>
  <c r="Q187" i="12" a="1"/>
  <c r="Q188" i="12" a="1"/>
  <c r="Q189" i="12" a="1"/>
  <c r="Q190" i="12" a="1"/>
  <c r="Q191" i="12" a="1"/>
  <c r="Q192" i="12" a="1"/>
  <c r="Q193" i="12" a="1"/>
  <c r="Q194" i="12" a="1"/>
  <c r="Q195" i="12" a="1"/>
  <c r="Q196" i="12" a="1"/>
  <c r="Q197" i="12" a="1"/>
  <c r="Q198" i="12" a="1"/>
  <c r="Q199" i="12" a="1"/>
  <c r="Q200" i="12" a="1"/>
  <c r="Q201" i="12" a="1"/>
  <c r="Q202" i="12" a="1"/>
  <c r="Q203" i="12" a="1"/>
  <c r="Q204" i="12" a="1"/>
  <c r="Q205" i="12" a="1"/>
  <c r="Q206" i="12" a="1"/>
  <c r="Q207" i="12" a="1"/>
  <c r="Q208" i="12" a="1"/>
  <c r="Q209" i="12" a="1"/>
  <c r="Q210" i="12" a="1"/>
  <c r="Q211" i="12" a="1"/>
  <c r="Q212" i="12" a="1"/>
  <c r="Q213" i="12" a="1"/>
  <c r="Q214" i="12" a="1"/>
  <c r="Q215" i="12" a="1"/>
  <c r="Q216" i="12" a="1"/>
  <c r="Q217" i="12" a="1"/>
  <c r="Q218" i="12" a="1"/>
  <c r="Q219" i="12" a="1"/>
  <c r="Q220" i="12" a="1"/>
  <c r="Q221" i="12" a="1"/>
  <c r="Q222" i="12" a="1"/>
  <c r="Q223" i="12" a="1"/>
  <c r="Q224" i="12" a="1"/>
  <c r="Q225" i="12" a="1"/>
  <c r="Q226" i="12" a="1"/>
  <c r="Q227" i="12" a="1"/>
  <c r="Q228" i="12" a="1"/>
  <c r="Q229" i="12" a="1"/>
  <c r="Q230" i="12" a="1"/>
  <c r="Q231" i="12" a="1"/>
  <c r="Q232" i="12" a="1"/>
  <c r="Q233" i="12" a="1"/>
  <c r="Q234" i="12" a="1"/>
  <c r="Q235" i="12" a="1"/>
  <c r="Q236" i="12" a="1"/>
  <c r="Q237" i="12" a="1"/>
  <c r="Q238" i="12" a="1"/>
  <c r="Q239" i="12" a="1"/>
  <c r="Q240" i="12" a="1"/>
  <c r="Q241" i="12" a="1"/>
  <c r="Q242" i="12" a="1"/>
  <c r="Q243" i="12" a="1"/>
  <c r="Q244" i="12" a="1"/>
  <c r="Q245" i="12" a="1"/>
  <c r="Q246" i="12" a="1"/>
  <c r="Q247" i="12" a="1"/>
  <c r="Q248" i="12" a="1"/>
  <c r="Q249" i="12" a="1"/>
  <c r="Q250" i="12" a="1"/>
  <c r="Q251" i="12" a="1"/>
  <c r="Q252" i="12" a="1"/>
  <c r="Q253" i="12" a="1"/>
  <c r="Q254" i="12" a="1"/>
  <c r="Q255" i="12" a="1"/>
  <c r="Q256" i="12" a="1"/>
  <c r="Q257" i="12" a="1"/>
  <c r="Q258" i="12" a="1"/>
  <c r="Q259" i="12" a="1"/>
  <c r="Q260" i="12" a="1"/>
  <c r="Q261" i="12" a="1"/>
  <c r="Q262" i="12" a="1"/>
  <c r="Q263" i="12" a="1"/>
  <c r="Q264" i="12" a="1"/>
  <c r="Q265" i="12" a="1"/>
  <c r="Q266" i="12" a="1"/>
  <c r="Q267" i="12" a="1"/>
  <c r="Q268" i="12" a="1"/>
  <c r="Q269" i="12" a="1"/>
  <c r="Q270" i="12" a="1"/>
  <c r="Q271" i="12" a="1"/>
  <c r="Q272" i="12" a="1"/>
  <c r="Q273" i="12" a="1"/>
  <c r="Q274" i="12" a="1"/>
  <c r="Q275" i="12" a="1"/>
  <c r="Q276" i="12" a="1"/>
  <c r="Q277" i="12" a="1"/>
  <c r="Q278" i="12" a="1"/>
  <c r="Q279" i="12" a="1"/>
  <c r="Q280" i="12" a="1"/>
  <c r="Q281" i="12" a="1"/>
  <c r="Q282" i="12" a="1"/>
  <c r="Q283" i="12" a="1"/>
  <c r="Q284" i="12" a="1"/>
  <c r="Q285" i="12" a="1"/>
  <c r="Q286" i="12" a="1"/>
  <c r="Q287" i="12" a="1"/>
  <c r="Q288" i="12" a="1"/>
  <c r="Q289" i="12" a="1"/>
  <c r="Q290" i="12" a="1"/>
  <c r="Q291" i="12" a="1"/>
  <c r="Q292" i="12" a="1"/>
  <c r="Q293" i="12" a="1"/>
  <c r="Q294" i="12" a="1"/>
  <c r="Q295" i="12" a="1"/>
  <c r="Q296" i="12" a="1"/>
  <c r="Q297" i="12" a="1"/>
  <c r="Q298" i="12" a="1"/>
  <c r="Q299" i="12" a="1"/>
  <c r="Q300" i="12" a="1"/>
  <c r="Q301" i="12" a="1"/>
  <c r="Q302" i="12" a="1"/>
  <c r="Q303" i="12" a="1"/>
  <c r="Q304" i="12" a="1"/>
  <c r="Q305" i="12" a="1"/>
  <c r="Q306" i="12" a="1"/>
  <c r="Q307" i="12" a="1"/>
  <c r="Q308" i="12" a="1"/>
  <c r="Q309" i="12" a="1"/>
  <c r="Q310" i="12" a="1"/>
  <c r="Q311" i="12" a="1"/>
  <c r="Q312" i="12" a="1"/>
  <c r="Q313" i="12" a="1"/>
  <c r="Q314" i="12" a="1"/>
  <c r="Q315" i="12" a="1"/>
  <c r="Q316" i="12" a="1"/>
  <c r="Q317" i="12" a="1"/>
  <c r="Q318" i="12" a="1"/>
  <c r="Q319" i="12" a="1"/>
  <c r="Q320" i="12" a="1"/>
  <c r="Q321" i="12" a="1"/>
  <c r="Q322" i="12" a="1"/>
  <c r="Q323" i="12" a="1"/>
  <c r="Q324" i="12" a="1"/>
  <c r="Q325" i="12" a="1"/>
  <c r="Q326" i="12" a="1"/>
  <c r="Q327" i="12" a="1"/>
  <c r="Q328" i="12" a="1"/>
  <c r="Q329" i="12" a="1"/>
  <c r="Q330" i="12" a="1"/>
  <c r="Q331" i="12" a="1"/>
  <c r="Q332" i="12" a="1"/>
  <c r="Q333" i="12" a="1"/>
  <c r="Q334" i="12" a="1"/>
  <c r="Q335" i="12" a="1"/>
  <c r="Q336" i="12" a="1"/>
  <c r="Q337" i="12" a="1"/>
  <c r="Q338" i="12" a="1"/>
  <c r="Q339" i="12" a="1"/>
  <c r="Q340" i="12" a="1"/>
  <c r="Q341" i="12" a="1"/>
  <c r="Q342" i="12" a="1"/>
  <c r="Q343" i="12" a="1"/>
  <c r="Q344" i="12" a="1"/>
  <c r="Q345" i="12" a="1"/>
  <c r="Q346" i="12" a="1"/>
  <c r="Q347" i="12" a="1"/>
  <c r="Q348" i="12" a="1"/>
  <c r="Q349" i="12" a="1"/>
  <c r="Q350" i="12" a="1"/>
  <c r="Q351" i="12" a="1"/>
  <c r="Q352" i="12" a="1"/>
  <c r="Q353" i="12" a="1"/>
  <c r="Q354" i="12" a="1"/>
  <c r="Q355" i="12" a="1"/>
  <c r="Q356" i="12" a="1"/>
  <c r="Q357" i="12" a="1"/>
  <c r="Q358" i="12" a="1"/>
  <c r="Q359" i="12" a="1"/>
  <c r="Q360" i="12" a="1"/>
  <c r="Q361" i="12" a="1"/>
  <c r="Q362" i="12" a="1"/>
  <c r="Q363" i="12" a="1"/>
  <c r="Q364" i="12" a="1"/>
  <c r="Q365" i="12" a="1"/>
  <c r="Q366" i="12" a="1"/>
  <c r="Q367" i="12" a="1"/>
  <c r="Q368" i="12" a="1"/>
  <c r="Q369" i="12" a="1"/>
  <c r="Q370" i="12" a="1"/>
  <c r="Q371" i="12" a="1"/>
  <c r="Q372" i="12" a="1"/>
  <c r="Q373" i="12" a="1"/>
  <c r="Q374" i="12" a="1"/>
  <c r="Q375" i="12" a="1"/>
  <c r="Q376" i="12" a="1"/>
  <c r="Q377" i="12" a="1"/>
  <c r="Q378" i="12" a="1"/>
  <c r="Q379" i="12" a="1"/>
  <c r="Q380" i="12" a="1"/>
  <c r="Q381" i="12" a="1"/>
  <c r="Q382" i="12" a="1"/>
  <c r="Q383" i="12" a="1"/>
  <c r="Q384" i="12" a="1"/>
  <c r="Q385" i="12" a="1"/>
  <c r="Q386" i="12" a="1"/>
  <c r="Q387" i="12" a="1"/>
  <c r="Q388" i="12" a="1"/>
  <c r="Q389" i="12" a="1"/>
  <c r="Q390" i="12" a="1"/>
  <c r="Q391" i="12" a="1"/>
  <c r="Q392" i="12" a="1"/>
  <c r="Q393" i="12" a="1"/>
  <c r="Q394" i="12" a="1"/>
  <c r="Q395" i="12" a="1"/>
  <c r="Q396" i="12" a="1"/>
  <c r="Q397" i="12" a="1"/>
  <c r="Q398" i="12" a="1"/>
  <c r="Q399" i="12" a="1"/>
  <c r="Q400" i="12" a="1"/>
  <c r="Q401" i="12" a="1"/>
  <c r="Q402" i="12" a="1"/>
  <c r="Q403" i="12" a="1"/>
  <c r="Q404" i="12" a="1"/>
  <c r="Q405" i="12" a="1"/>
  <c r="Q406" i="12" a="1"/>
  <c r="Q407" i="12" a="1"/>
  <c r="Q408" i="12" a="1"/>
  <c r="Q409" i="12" a="1"/>
  <c r="Q410" i="12" a="1"/>
  <c r="Q411" i="12" a="1"/>
  <c r="Q412" i="12" a="1"/>
  <c r="Q413" i="12" a="1"/>
  <c r="Q414" i="12" a="1"/>
  <c r="Q415" i="12" a="1"/>
  <c r="Q416" i="12" a="1"/>
  <c r="Q417" i="12" a="1"/>
  <c r="Q418" i="12" a="1"/>
  <c r="Q419" i="12" a="1"/>
  <c r="Q420" i="12" a="1"/>
  <c r="Q421" i="12" a="1"/>
  <c r="Q422" i="12" a="1"/>
  <c r="Q423" i="12" a="1"/>
  <c r="Q424" i="12" a="1"/>
  <c r="Q425" i="12" a="1"/>
  <c r="Q426" i="12" a="1"/>
  <c r="Q427" i="12" a="1"/>
  <c r="Q428" i="12" a="1"/>
  <c r="Q429" i="12" a="1"/>
  <c r="Q430" i="12" a="1"/>
  <c r="Q431" i="12" a="1"/>
  <c r="Q432" i="12" a="1"/>
  <c r="Q433" i="12" a="1"/>
  <c r="Q434" i="12" a="1"/>
  <c r="Q435" i="12" a="1"/>
  <c r="Q436" i="12" a="1"/>
  <c r="Q437" i="12" a="1"/>
  <c r="Q438" i="12" a="1"/>
  <c r="Q439" i="12" a="1"/>
  <c r="Q440" i="12" a="1"/>
  <c r="Q441" i="12" a="1"/>
  <c r="Q442" i="12" a="1"/>
  <c r="Q443" i="12" a="1"/>
  <c r="Q444" i="12" a="1"/>
  <c r="Q445" i="12" a="1"/>
  <c r="Q446" i="12" a="1"/>
  <c r="Q447" i="12" a="1"/>
  <c r="Q448" i="12" a="1"/>
  <c r="Q449" i="12" a="1"/>
  <c r="Q450" i="12" a="1"/>
  <c r="Q451" i="12" a="1"/>
  <c r="Q452" i="12" a="1"/>
  <c r="Q453" i="12" a="1"/>
  <c r="Q454" i="12" a="1"/>
  <c r="Q455" i="12" a="1"/>
  <c r="Q456" i="12" a="1"/>
  <c r="Q457" i="12" a="1"/>
  <c r="Q458" i="12" a="1"/>
  <c r="Q459" i="12" a="1"/>
  <c r="Q460" i="12" a="1"/>
  <c r="Q461" i="12" a="1"/>
  <c r="Q462" i="12" a="1"/>
  <c r="Q463" i="12" a="1"/>
  <c r="Q464" i="12" a="1"/>
  <c r="Q465" i="12" a="1"/>
  <c r="Q466" i="12" a="1"/>
  <c r="Q467" i="12" a="1"/>
  <c r="Q468" i="12" a="1"/>
  <c r="Q469" i="12" a="1"/>
  <c r="Q470" i="12" a="1"/>
  <c r="Q471" i="12" a="1"/>
  <c r="Q472" i="12" a="1"/>
  <c r="Q473" i="12" a="1"/>
  <c r="Q474" i="12" a="1"/>
  <c r="Q475" i="12" a="1"/>
  <c r="Q476" i="12" a="1"/>
  <c r="Q477" i="12" a="1"/>
  <c r="Q478" i="12" a="1"/>
  <c r="Q479" i="12" a="1"/>
  <c r="Q480" i="12" a="1"/>
  <c r="Q481" i="12" a="1"/>
  <c r="Q482" i="12" a="1"/>
  <c r="Q483" i="12" a="1"/>
  <c r="Q484" i="12" a="1"/>
  <c r="Q485" i="12" a="1"/>
  <c r="Q486" i="12" a="1"/>
  <c r="Q487" i="12" a="1"/>
  <c r="Q488" i="12" a="1"/>
  <c r="Q489" i="12" a="1"/>
  <c r="Q490" i="12" a="1"/>
  <c r="Q491" i="12" a="1"/>
  <c r="Q492" i="12" a="1"/>
  <c r="Q493" i="12" a="1"/>
  <c r="Q494" i="12" a="1"/>
  <c r="Q495" i="12" a="1"/>
  <c r="Q496" i="12" a="1"/>
  <c r="Q497" i="12" a="1"/>
  <c r="Q498" i="12" a="1"/>
  <c r="Q499" i="12" a="1"/>
  <c r="Q500" i="12" a="1"/>
  <c r="Q501" i="12" a="1"/>
  <c r="Q502" i="12" a="1"/>
  <c r="Q503" i="12" a="1"/>
  <c r="Q504" i="12" a="1"/>
  <c r="Q505" i="12" a="1"/>
  <c r="Q506" i="12" a="1"/>
  <c r="Q507" i="12" a="1"/>
  <c r="Q508" i="12" a="1"/>
  <c r="Q509" i="12" a="1"/>
  <c r="Q510" i="12" a="1"/>
  <c r="Q511" i="12" a="1"/>
  <c r="Q512" i="12" a="1"/>
  <c r="Q513" i="12" a="1"/>
  <c r="Q514" i="12" a="1"/>
  <c r="Q515" i="12" a="1"/>
  <c r="Q516" i="12" a="1"/>
  <c r="Q517" i="12" a="1"/>
  <c r="Q518" i="12" a="1"/>
  <c r="Q519" i="12" a="1"/>
  <c r="Q520" i="12" a="1"/>
  <c r="Q521" i="12" a="1"/>
  <c r="Q522" i="12" a="1"/>
  <c r="Q523" i="12" a="1"/>
  <c r="Q524" i="12" a="1"/>
  <c r="Q525" i="12" a="1"/>
  <c r="Q526" i="12" a="1"/>
  <c r="Q527" i="12" a="1"/>
  <c r="Q528" i="12" a="1"/>
  <c r="Q529" i="12" a="1"/>
  <c r="Q530" i="12" a="1"/>
  <c r="Q531" i="12" a="1"/>
  <c r="Q532" i="12" a="1"/>
  <c r="Q533" i="12" a="1"/>
  <c r="Q534" i="12" a="1"/>
  <c r="Q535" i="12" a="1"/>
  <c r="Q536" i="12" a="1"/>
  <c r="Q537" i="12" a="1"/>
  <c r="Q538" i="12" a="1"/>
  <c r="Q539" i="12" a="1"/>
  <c r="Q540" i="12" a="1"/>
  <c r="Q541" i="12" a="1"/>
  <c r="Q542" i="12" a="1"/>
  <c r="Q543" i="12" a="1"/>
  <c r="Q544" i="12" a="1"/>
  <c r="Q545" i="12" a="1"/>
  <c r="Q546" i="12" a="1"/>
  <c r="Q547" i="12" a="1"/>
  <c r="Q548" i="12" a="1"/>
  <c r="Q549" i="12" a="1"/>
  <c r="Q550" i="12" a="1"/>
  <c r="Q551" i="12" a="1"/>
  <c r="Q552" i="12" a="1"/>
  <c r="Q553" i="12" a="1"/>
  <c r="Q554" i="12" a="1"/>
  <c r="Q555" i="12" a="1"/>
  <c r="Q556" i="12" a="1"/>
  <c r="Q557" i="12" a="1"/>
  <c r="Q558" i="12" a="1"/>
  <c r="Q559" i="12" a="1"/>
  <c r="Q560" i="12" a="1"/>
  <c r="Q561" i="12" a="1"/>
  <c r="Q562" i="12" a="1"/>
  <c r="Q563" i="12" a="1"/>
  <c r="Q564" i="12" a="1"/>
  <c r="Q565" i="12" a="1"/>
  <c r="Q566" i="12" a="1"/>
  <c r="Q567" i="12" a="1"/>
  <c r="Q568" i="12" a="1"/>
  <c r="Q569" i="12" a="1"/>
  <c r="Q570" i="12" a="1"/>
  <c r="Q571" i="12" a="1"/>
  <c r="Q572" i="12" a="1"/>
  <c r="Q573" i="12" a="1"/>
  <c r="Q574" i="12" a="1"/>
  <c r="Q575" i="12" a="1"/>
  <c r="Q576" i="12" a="1"/>
  <c r="Q577" i="12" a="1"/>
  <c r="Q578" i="12" a="1"/>
  <c r="Q579" i="12" a="1"/>
  <c r="Q580" i="12" a="1"/>
  <c r="Q581" i="12" a="1"/>
  <c r="Q582" i="12" a="1"/>
  <c r="Q583" i="12" a="1"/>
  <c r="Q584" i="12" a="1"/>
  <c r="Q585" i="12" a="1"/>
  <c r="Q586" i="12" a="1"/>
  <c r="Q587" i="12" a="1"/>
  <c r="Q588" i="12" a="1"/>
  <c r="Q589" i="12" a="1"/>
  <c r="Q590" i="12" a="1"/>
  <c r="Q591" i="12" a="1"/>
  <c r="Q592" i="12" a="1"/>
  <c r="Q593" i="12" a="1"/>
  <c r="Q594" i="12" a="1"/>
  <c r="Q595" i="12" a="1"/>
  <c r="Q596" i="12" a="1"/>
  <c r="Q597" i="12" a="1"/>
  <c r="Q598" i="12" a="1"/>
  <c r="Q599" i="12" a="1"/>
  <c r="Q600" i="12" a="1"/>
  <c r="Q601" i="12" a="1"/>
  <c r="Q602" i="12" a="1"/>
  <c r="Q603" i="12" a="1"/>
  <c r="Q604" i="12" a="1"/>
  <c r="Q605" i="12" a="1"/>
  <c r="Q606" i="12" a="1"/>
  <c r="Q607" i="12" a="1"/>
  <c r="Q608" i="12" a="1"/>
  <c r="Q609" i="12" a="1"/>
  <c r="Q610" i="12" a="1"/>
  <c r="Q611" i="12" a="1"/>
  <c r="Q612" i="12" a="1"/>
  <c r="Q613" i="12" a="1"/>
  <c r="Q614" i="12" a="1"/>
  <c r="Q615" i="12" a="1"/>
  <c r="Q616" i="12" a="1"/>
  <c r="Q617" i="12" a="1"/>
  <c r="Q618" i="12" a="1"/>
  <c r="Q619" i="12" a="1"/>
  <c r="Q620" i="12" a="1"/>
  <c r="Q621" i="12" a="1"/>
  <c r="Q622" i="12" a="1"/>
  <c r="Q623" i="12" a="1"/>
  <c r="Q624" i="12" a="1"/>
  <c r="Q625" i="12" a="1"/>
  <c r="Q626" i="12" a="1"/>
  <c r="Q627" i="12" a="1"/>
  <c r="Q628" i="12" a="1"/>
  <c r="Q629" i="12" a="1"/>
  <c r="Q630" i="12" a="1"/>
  <c r="Q631" i="12" a="1"/>
  <c r="Q632" i="12" a="1"/>
  <c r="Q633" i="12" a="1"/>
  <c r="Q634" i="12" a="1"/>
  <c r="Q635" i="12" a="1"/>
  <c r="Q636" i="12" a="1"/>
  <c r="Q637" i="12" a="1"/>
  <c r="Q638" i="12" a="1"/>
  <c r="Q639" i="12" a="1"/>
  <c r="Q640" i="12" a="1"/>
  <c r="Q641" i="12" a="1"/>
  <c r="Q642" i="12" a="1"/>
  <c r="Q643" i="12" a="1"/>
  <c r="Q644" i="12" a="1"/>
  <c r="Q645" i="12" a="1"/>
  <c r="Q646" i="12" a="1"/>
  <c r="Q647" i="12" a="1"/>
  <c r="Q648" i="12" a="1"/>
  <c r="Q649" i="12" a="1"/>
  <c r="Q650" i="12" a="1"/>
  <c r="Q651" i="12" a="1"/>
  <c r="Q652" i="12" a="1"/>
  <c r="Q653" i="12" a="1"/>
  <c r="Q654" i="12" a="1"/>
  <c r="Q655" i="12" a="1"/>
  <c r="Q656" i="12" a="1"/>
  <c r="Q657" i="12" a="1"/>
  <c r="Q658" i="12" a="1"/>
  <c r="Q659" i="12" a="1"/>
  <c r="Q660" i="12" a="1"/>
  <c r="Q661" i="12" a="1"/>
  <c r="Q662" i="12" a="1"/>
  <c r="Q663" i="12" a="1"/>
  <c r="Q664" i="12" a="1"/>
  <c r="Q665" i="12" a="1"/>
  <c r="Q666" i="12" a="1"/>
  <c r="Q667" i="12" a="1"/>
  <c r="Q668" i="12" a="1"/>
  <c r="Q669" i="12" a="1"/>
  <c r="Q670" i="12" a="1"/>
  <c r="Q671" i="12" a="1"/>
  <c r="Q672" i="12" a="1"/>
  <c r="Q673" i="12" a="1"/>
  <c r="Q674" i="12" a="1"/>
  <c r="Q675" i="12" a="1"/>
  <c r="Q676" i="12" a="1"/>
  <c r="Q677" i="12" a="1"/>
  <c r="Q678" i="12" a="1"/>
  <c r="Q679" i="12" a="1"/>
  <c r="Q680" i="12" a="1"/>
  <c r="Q681" i="12" a="1"/>
  <c r="Q682" i="12" a="1"/>
  <c r="Q683" i="12" a="1"/>
  <c r="Q684" i="12" a="1"/>
  <c r="Q685" i="12" a="1"/>
  <c r="Q686" i="12" a="1"/>
  <c r="Q687" i="12" a="1"/>
  <c r="Q688" i="12" a="1"/>
  <c r="Q689" i="12" a="1"/>
  <c r="Q690" i="12" a="1"/>
  <c r="Q691" i="12" a="1"/>
  <c r="Q692" i="12" a="1"/>
  <c r="Q693" i="12" a="1"/>
  <c r="Q694" i="12" a="1"/>
  <c r="Q695" i="12" a="1"/>
  <c r="Q696" i="12" a="1"/>
  <c r="Q697" i="12" a="1"/>
  <c r="Q698" i="12" a="1"/>
  <c r="Q699" i="12" a="1"/>
  <c r="Q700" i="12" a="1"/>
  <c r="Q701" i="12" a="1"/>
  <c r="Q702" i="12" a="1"/>
  <c r="Q703" i="12" a="1"/>
  <c r="Q704" i="12" a="1"/>
  <c r="Q705" i="12" a="1"/>
  <c r="Q706" i="12" a="1"/>
  <c r="Q707" i="12" a="1"/>
  <c r="Q708" i="12" a="1"/>
  <c r="Q709" i="12" a="1"/>
  <c r="Q710" i="12" a="1"/>
  <c r="Q711" i="12" a="1"/>
  <c r="Q712" i="12" a="1"/>
  <c r="Q713" i="12" a="1"/>
  <c r="Q714" i="12" a="1"/>
  <c r="Q715" i="12" a="1"/>
  <c r="Q716" i="12" a="1"/>
  <c r="Q717" i="12" a="1"/>
  <c r="Q718" i="12" a="1"/>
  <c r="Q719" i="12" a="1"/>
  <c r="Q720" i="12" a="1"/>
  <c r="Q721" i="12" a="1"/>
  <c r="Q722" i="12" a="1"/>
  <c r="Q723" i="12" a="1"/>
  <c r="Q724" i="12" a="1"/>
  <c r="Q725" i="12" a="1"/>
  <c r="Q726" i="12" a="1"/>
  <c r="Q727" i="12" a="1"/>
  <c r="Q728" i="12" a="1"/>
  <c r="Q729" i="12" a="1"/>
  <c r="Q730" i="12" a="1"/>
  <c r="Q731" i="12" a="1"/>
  <c r="Q732" i="12" a="1"/>
  <c r="Q733" i="12" a="1"/>
  <c r="Q734" i="12" a="1"/>
  <c r="Q735" i="12" a="1"/>
  <c r="Q736" i="12" a="1"/>
  <c r="Q737" i="12" a="1"/>
  <c r="Q738" i="12" a="1"/>
  <c r="Q739" i="12" a="1"/>
  <c r="Q740" i="12" a="1"/>
  <c r="Q741" i="12" a="1"/>
  <c r="Q742" i="12" a="1"/>
  <c r="Q743" i="12" a="1"/>
  <c r="Q744" i="12" a="1"/>
  <c r="Q745" i="12" a="1"/>
  <c r="Q746" i="12" a="1"/>
  <c r="Q747" i="12" a="1"/>
  <c r="Q748" i="12" a="1"/>
  <c r="Q749" i="12" a="1"/>
  <c r="Q750" i="12" a="1"/>
  <c r="Q751" i="12" a="1"/>
  <c r="Q752" i="12" a="1"/>
  <c r="Q753" i="12" a="1"/>
  <c r="Q754" i="12" a="1"/>
  <c r="Q755" i="12" a="1"/>
  <c r="Q756" i="12" a="1"/>
  <c r="Q757" i="12" a="1"/>
  <c r="Q2" i="12" a="1"/>
  <c r="D72" i="9"/>
  <c r="W72" i="9" s="1"/>
  <c r="D73" i="9"/>
  <c r="W73" i="9" s="1"/>
  <c r="D73" i="8"/>
  <c r="P1279" i="12" a="1"/>
  <c r="P1278" i="12" a="1"/>
  <c r="P1277" i="12" a="1"/>
  <c r="P1276" i="12" a="1"/>
  <c r="P1275" i="12" a="1"/>
  <c r="P1274" i="12" a="1"/>
  <c r="P1273" i="12" a="1"/>
  <c r="P1272" i="12" a="1"/>
  <c r="P1271" i="12" a="1"/>
  <c r="P1270" i="12" a="1"/>
  <c r="P1269" i="12" a="1"/>
  <c r="P1268" i="12" a="1"/>
  <c r="P1267" i="12" a="1"/>
  <c r="P1266" i="12" a="1"/>
  <c r="P1265" i="12" a="1"/>
  <c r="P1264" i="12" a="1"/>
  <c r="P1263" i="12" a="1"/>
  <c r="P1262" i="12" a="1"/>
  <c r="P1261" i="12" a="1"/>
  <c r="P1260" i="12" a="1"/>
  <c r="P1259" i="12" a="1"/>
  <c r="P1258" i="12" a="1"/>
  <c r="P1257" i="12" a="1"/>
  <c r="P1256" i="12" a="1"/>
  <c r="P1255" i="12" a="1"/>
  <c r="P1254" i="12" a="1"/>
  <c r="P1253" i="12" a="1"/>
  <c r="P1252" i="12" a="1"/>
  <c r="P1251" i="12" a="1"/>
  <c r="P1250" i="12" a="1"/>
  <c r="P1249" i="12" a="1"/>
  <c r="P1248" i="12" a="1"/>
  <c r="P1247" i="12" a="1"/>
  <c r="P1246" i="12" a="1"/>
  <c r="P1245" i="12" a="1"/>
  <c r="P1244" i="12" a="1"/>
  <c r="P1226" i="12" a="1"/>
  <c r="P1227" i="12" a="1"/>
  <c r="P1228" i="12" a="1"/>
  <c r="P1229" i="12" a="1"/>
  <c r="P1230" i="12" a="1"/>
  <c r="P1231" i="12" a="1"/>
  <c r="P1232" i="12" a="1"/>
  <c r="P1233" i="12" a="1"/>
  <c r="P1234" i="12" a="1"/>
  <c r="P1235" i="12" a="1"/>
  <c r="P1236" i="12" a="1"/>
  <c r="P1237" i="12" a="1"/>
  <c r="P1238" i="12" a="1"/>
  <c r="P1239" i="12" a="1"/>
  <c r="P1240" i="12" a="1"/>
  <c r="P1241" i="12" a="1"/>
  <c r="P1242" i="12" a="1"/>
  <c r="P1243" i="12" a="1"/>
  <c r="P1221" i="12" a="1"/>
  <c r="P1172" i="12" a="1"/>
  <c r="P1173" i="12" a="1"/>
  <c r="P1174" i="12" a="1"/>
  <c r="P1175" i="12" a="1"/>
  <c r="P1176" i="12" a="1"/>
  <c r="P1177" i="12" a="1"/>
  <c r="P1178" i="12" a="1"/>
  <c r="P1179" i="12" a="1"/>
  <c r="P1180" i="12" a="1"/>
  <c r="P1182" i="12" a="1"/>
  <c r="P1183" i="12" a="1"/>
  <c r="P1184" i="12" a="1"/>
  <c r="P1185" i="12" a="1"/>
  <c r="P1187" i="12" a="1"/>
  <c r="P1188" i="12" a="1"/>
  <c r="P1189" i="12" a="1"/>
  <c r="P1190" i="12" a="1"/>
  <c r="P1191" i="12" a="1"/>
  <c r="P1192" i="12" a="1"/>
  <c r="P1193" i="12" a="1"/>
  <c r="P1194" i="12" a="1"/>
  <c r="P1195" i="12" a="1"/>
  <c r="P1196" i="12" a="1"/>
  <c r="P1198" i="12" a="1"/>
  <c r="P1199" i="12" a="1"/>
  <c r="P1200" i="12" a="1"/>
  <c r="P1201" i="12" a="1"/>
  <c r="P1203" i="12" a="1"/>
  <c r="P1204" i="12" a="1"/>
  <c r="P1205" i="12" a="1"/>
  <c r="P1206" i="12" a="1"/>
  <c r="P1207" i="12" a="1"/>
  <c r="P1163" i="12" a="1"/>
  <c r="P1164" i="12" a="1"/>
  <c r="P1145" i="12" a="1"/>
  <c r="P1146" i="12" a="1"/>
  <c r="P1136" i="12" a="1"/>
  <c r="P1137" i="12" a="1"/>
  <c r="P1138" i="12" a="1"/>
  <c r="P1139" i="12" a="1"/>
  <c r="P1141" i="12" a="1"/>
  <c r="P1142" i="12" a="1"/>
  <c r="P1143" i="12" a="1"/>
  <c r="P1144" i="12" a="1"/>
  <c r="P1147" i="12" a="1"/>
  <c r="P1148" i="12" a="1"/>
  <c r="P1149" i="12" a="1"/>
  <c r="P1150" i="12" a="1"/>
  <c r="P1151" i="12" a="1"/>
  <c r="P1152" i="12" a="1"/>
  <c r="P1153" i="12" a="1"/>
  <c r="P1154" i="12" a="1"/>
  <c r="P1155" i="12" a="1"/>
  <c r="P1158" i="12" a="1"/>
  <c r="P1159" i="12" a="1"/>
  <c r="P1161" i="12" a="1"/>
  <c r="P1162" i="12" a="1"/>
  <c r="P1166" i="12" a="1"/>
  <c r="P1167" i="12" a="1"/>
  <c r="P1168" i="12" a="1"/>
  <c r="P1169" i="12" a="1"/>
  <c r="P1170" i="12" a="1"/>
  <c r="P1171" i="12" a="1"/>
  <c r="P1160" i="12" a="1"/>
  <c r="P1165" i="12" a="1"/>
  <c r="P1140" i="12" a="1"/>
  <c r="P1157" i="12" a="1"/>
  <c r="P1156" i="12" a="1"/>
  <c r="P1186" i="12" a="1"/>
  <c r="P1181" i="12" a="1"/>
  <c r="P1202" i="12" a="1"/>
  <c r="P1197" i="12" a="1"/>
  <c r="P1082" i="12" a="1"/>
  <c r="P1083" i="12" a="1"/>
  <c r="P1084" i="12" a="1"/>
  <c r="P1085" i="12" a="1"/>
  <c r="P1086" i="12" a="1"/>
  <c r="P1087" i="12" a="1"/>
  <c r="P1088" i="12" a="1"/>
  <c r="P1089" i="12" a="1"/>
  <c r="P1090" i="12" a="1"/>
  <c r="P1091" i="12" a="1"/>
  <c r="P1092" i="12" a="1"/>
  <c r="P1093" i="12" a="1"/>
  <c r="P1094" i="12" a="1"/>
  <c r="P1095" i="12" a="1"/>
  <c r="P1096" i="12" a="1"/>
  <c r="P1097" i="12" a="1"/>
  <c r="P1098" i="12" a="1"/>
  <c r="P1099" i="12" a="1"/>
  <c r="P1100" i="12" a="1"/>
  <c r="P1101" i="12" a="1"/>
  <c r="P1102" i="12" a="1"/>
  <c r="P1103" i="12" a="1"/>
  <c r="P1104" i="12" a="1"/>
  <c r="P1105" i="12" a="1"/>
  <c r="P1106" i="12" a="1"/>
  <c r="P1107" i="12" a="1"/>
  <c r="P1108" i="12" a="1"/>
  <c r="P1109" i="12" a="1"/>
  <c r="P1110" i="12" a="1"/>
  <c r="P1111" i="12" a="1"/>
  <c r="P1112" i="12" a="1"/>
  <c r="P1113" i="12" a="1"/>
  <c r="P1114" i="12" a="1"/>
  <c r="P1115" i="12" a="1"/>
  <c r="P1116" i="12" a="1"/>
  <c r="P1117" i="12" a="1"/>
  <c r="P1118" i="12" a="1"/>
  <c r="P1119" i="12" a="1"/>
  <c r="P1120" i="12" a="1"/>
  <c r="P1121" i="12" a="1"/>
  <c r="P1122" i="12" a="1"/>
  <c r="P1123" i="12" a="1"/>
  <c r="P1124" i="12" a="1"/>
  <c r="P1125" i="12" a="1"/>
  <c r="P1126" i="12" a="1"/>
  <c r="P1127" i="12" a="1"/>
  <c r="P1128" i="12" a="1"/>
  <c r="P1129" i="12" a="1"/>
  <c r="P1130" i="12" a="1"/>
  <c r="P1131" i="12" a="1"/>
  <c r="P1132" i="12" a="1"/>
  <c r="P1133" i="12" a="1"/>
  <c r="P1134" i="12" a="1"/>
  <c r="P1135" i="12" a="1"/>
  <c r="P848" i="12" a="1"/>
  <c r="P849" i="12" a="1"/>
  <c r="P850" i="12" a="1"/>
  <c r="P851" i="12" a="1"/>
  <c r="P852" i="12" a="1"/>
  <c r="P853" i="12" a="1"/>
  <c r="P854" i="12" a="1"/>
  <c r="P855" i="12" a="1"/>
  <c r="P856" i="12" a="1"/>
  <c r="P857" i="12" a="1"/>
  <c r="P858" i="12" a="1"/>
  <c r="P859" i="12" a="1"/>
  <c r="P860" i="12" a="1"/>
  <c r="P861" i="12" a="1"/>
  <c r="P862" i="12" a="1"/>
  <c r="P863" i="12" a="1"/>
  <c r="P864" i="12" a="1"/>
  <c r="P865" i="12" a="1"/>
  <c r="P866" i="12" a="1"/>
  <c r="P867" i="12" a="1"/>
  <c r="P868" i="12" a="1"/>
  <c r="P869" i="12" a="1"/>
  <c r="P870" i="12" a="1"/>
  <c r="P871" i="12" a="1"/>
  <c r="P872" i="12" a="1"/>
  <c r="P873" i="12" a="1"/>
  <c r="P874" i="12" a="1"/>
  <c r="P875" i="12" a="1"/>
  <c r="P876" i="12" a="1"/>
  <c r="P877" i="12" a="1"/>
  <c r="P878" i="12" a="1"/>
  <c r="P879" i="12" a="1"/>
  <c r="P880" i="12" a="1"/>
  <c r="P881" i="12" a="1"/>
  <c r="P882" i="12" a="1"/>
  <c r="P883" i="12" a="1"/>
  <c r="P884" i="12" a="1"/>
  <c r="P885" i="12" a="1"/>
  <c r="P886" i="12" a="1"/>
  <c r="P887" i="12" a="1"/>
  <c r="P888" i="12" a="1"/>
  <c r="P889" i="12" a="1"/>
  <c r="P890" i="12" a="1"/>
  <c r="P891" i="12" a="1"/>
  <c r="P892" i="12" a="1"/>
  <c r="P893" i="12" a="1"/>
  <c r="P894" i="12" a="1"/>
  <c r="P895" i="12" a="1"/>
  <c r="P896" i="12" a="1"/>
  <c r="P897" i="12" a="1"/>
  <c r="P898" i="12" a="1"/>
  <c r="P899" i="12" a="1"/>
  <c r="P900" i="12" a="1"/>
  <c r="P901" i="12" a="1"/>
  <c r="P902" i="12" a="1"/>
  <c r="P903" i="12" a="1"/>
  <c r="P904" i="12" a="1"/>
  <c r="P905" i="12" a="1"/>
  <c r="P906" i="12" a="1"/>
  <c r="P907" i="12" a="1"/>
  <c r="P908" i="12" a="1"/>
  <c r="P909" i="12" a="1"/>
  <c r="P910" i="12" a="1"/>
  <c r="P911" i="12" a="1"/>
  <c r="P912" i="12" a="1"/>
  <c r="P913" i="12" a="1"/>
  <c r="P914" i="12" a="1"/>
  <c r="P915" i="12" a="1"/>
  <c r="P916" i="12" a="1"/>
  <c r="P917" i="12" a="1"/>
  <c r="P918" i="12" a="1"/>
  <c r="P919" i="12" a="1"/>
  <c r="P920" i="12" a="1"/>
  <c r="P921" i="12" a="1"/>
  <c r="P922" i="12" a="1"/>
  <c r="P923" i="12" a="1"/>
  <c r="P924" i="12" a="1"/>
  <c r="P925" i="12" a="1"/>
  <c r="P926" i="12" a="1"/>
  <c r="P927" i="12" a="1"/>
  <c r="P928" i="12" a="1"/>
  <c r="P929" i="12" a="1"/>
  <c r="P930" i="12" a="1"/>
  <c r="P931" i="12" a="1"/>
  <c r="P932" i="12" a="1"/>
  <c r="P933" i="12" a="1"/>
  <c r="P934" i="12" a="1"/>
  <c r="P935" i="12" a="1"/>
  <c r="P936" i="12" a="1"/>
  <c r="P937" i="12" a="1"/>
  <c r="P938" i="12" a="1"/>
  <c r="P939" i="12" a="1"/>
  <c r="P940" i="12" a="1"/>
  <c r="P941" i="12" a="1"/>
  <c r="P942" i="12" a="1"/>
  <c r="P943" i="12" a="1"/>
  <c r="P944" i="12" a="1"/>
  <c r="P945" i="12" a="1"/>
  <c r="P946" i="12" a="1"/>
  <c r="P947" i="12" a="1"/>
  <c r="P948" i="12" a="1"/>
  <c r="P949" i="12" a="1"/>
  <c r="P950" i="12" a="1"/>
  <c r="P951" i="12" a="1"/>
  <c r="P952" i="12" a="1"/>
  <c r="P953" i="12" a="1"/>
  <c r="P954" i="12" a="1"/>
  <c r="P955" i="12" a="1"/>
  <c r="P956" i="12" a="1"/>
  <c r="P957" i="12" a="1"/>
  <c r="P958" i="12" a="1"/>
  <c r="P959" i="12" a="1"/>
  <c r="P960" i="12" a="1"/>
  <c r="P961" i="12" a="1"/>
  <c r="P962" i="12" a="1"/>
  <c r="P963" i="12" a="1"/>
  <c r="P964" i="12" a="1"/>
  <c r="P965" i="12" a="1"/>
  <c r="P966" i="12" a="1"/>
  <c r="P967" i="12" a="1"/>
  <c r="P968" i="12" a="1"/>
  <c r="P969" i="12" a="1"/>
  <c r="P970" i="12" a="1"/>
  <c r="P971" i="12" a="1"/>
  <c r="P972" i="12" a="1"/>
  <c r="P973" i="12" a="1"/>
  <c r="P974" i="12" a="1"/>
  <c r="P975" i="12" a="1"/>
  <c r="P976" i="12" a="1"/>
  <c r="P977" i="12" a="1"/>
  <c r="P978" i="12" a="1"/>
  <c r="P979" i="12" a="1"/>
  <c r="P980" i="12" a="1"/>
  <c r="P981" i="12" a="1"/>
  <c r="P982" i="12" a="1"/>
  <c r="P983" i="12" a="1"/>
  <c r="P984" i="12" a="1"/>
  <c r="P985" i="12" a="1"/>
  <c r="P986" i="12" a="1"/>
  <c r="P987" i="12" a="1"/>
  <c r="P988" i="12" a="1"/>
  <c r="P989" i="12" a="1"/>
  <c r="P990" i="12" a="1"/>
  <c r="P991" i="12" a="1"/>
  <c r="P992" i="12" a="1"/>
  <c r="P993" i="12" a="1"/>
  <c r="P994" i="12" a="1"/>
  <c r="P995" i="12" a="1"/>
  <c r="P996" i="12" a="1"/>
  <c r="P997" i="12" a="1"/>
  <c r="P998" i="12" a="1"/>
  <c r="P999" i="12" a="1"/>
  <c r="P1000" i="12" a="1"/>
  <c r="P1001" i="12" a="1"/>
  <c r="P1002" i="12" a="1"/>
  <c r="P1003" i="12" a="1"/>
  <c r="P1004" i="12" a="1"/>
  <c r="P1005" i="12" a="1"/>
  <c r="P1006" i="12" a="1"/>
  <c r="P1007" i="12" a="1"/>
  <c r="P1008" i="12" a="1"/>
  <c r="P1009" i="12" a="1"/>
  <c r="P1010" i="12" a="1"/>
  <c r="P1011" i="12" a="1"/>
  <c r="P1012" i="12" a="1"/>
  <c r="P1013" i="12" a="1"/>
  <c r="P1014" i="12" a="1"/>
  <c r="P1015" i="12" a="1"/>
  <c r="P1016" i="12" a="1"/>
  <c r="P1017" i="12" a="1"/>
  <c r="P1018" i="12" a="1"/>
  <c r="P1019" i="12" a="1"/>
  <c r="P1020" i="12" a="1"/>
  <c r="P1021" i="12" a="1"/>
  <c r="P1022" i="12" a="1"/>
  <c r="P1023" i="12" a="1"/>
  <c r="P1024" i="12" a="1"/>
  <c r="P1025" i="12" a="1"/>
  <c r="P1026" i="12" a="1"/>
  <c r="P1027" i="12" a="1"/>
  <c r="P1028" i="12" a="1"/>
  <c r="P1029" i="12" a="1"/>
  <c r="P1030" i="12" a="1"/>
  <c r="P1031" i="12" a="1"/>
  <c r="P1032" i="12" a="1"/>
  <c r="P1033" i="12" a="1"/>
  <c r="P1034" i="12" a="1"/>
  <c r="P1035" i="12" a="1"/>
  <c r="P1036" i="12" a="1"/>
  <c r="P1037" i="12" a="1"/>
  <c r="P1038" i="12" a="1"/>
  <c r="P1039" i="12" a="1"/>
  <c r="P1040" i="12" a="1"/>
  <c r="P1041" i="12" a="1"/>
  <c r="P1042" i="12" a="1"/>
  <c r="P1043" i="12" a="1"/>
  <c r="P1044" i="12" a="1"/>
  <c r="P1045" i="12" a="1"/>
  <c r="P1046" i="12" a="1"/>
  <c r="P1047" i="12" a="1"/>
  <c r="P1048" i="12" a="1"/>
  <c r="P1049" i="12" a="1"/>
  <c r="P1050" i="12" a="1"/>
  <c r="P1051" i="12" a="1"/>
  <c r="P1052" i="12" a="1"/>
  <c r="P1053" i="12" a="1"/>
  <c r="P1054" i="12" a="1"/>
  <c r="P1055" i="12" a="1"/>
  <c r="P1056" i="12" a="1"/>
  <c r="P1057" i="12" a="1"/>
  <c r="P1058" i="12" a="1"/>
  <c r="P1059" i="12" a="1"/>
  <c r="P1060" i="12" a="1"/>
  <c r="P1061" i="12" a="1"/>
  <c r="P1062" i="12" a="1"/>
  <c r="P1063" i="12" a="1"/>
  <c r="P1064" i="12" a="1"/>
  <c r="P1065" i="12" a="1"/>
  <c r="P1066" i="12" a="1"/>
  <c r="P1067" i="12" a="1"/>
  <c r="P1068" i="12" a="1"/>
  <c r="P1069" i="12" a="1"/>
  <c r="P1070" i="12" a="1"/>
  <c r="P1071" i="12" a="1"/>
  <c r="P1072" i="12" a="1"/>
  <c r="P1073" i="12" a="1"/>
  <c r="P1074" i="12" a="1"/>
  <c r="P1075" i="12" a="1"/>
  <c r="P1076" i="12" a="1"/>
  <c r="P1077" i="12" a="1"/>
  <c r="P1078" i="12" a="1"/>
  <c r="P1079" i="12" a="1"/>
  <c r="P1080" i="12" a="1"/>
  <c r="P1081" i="12" a="1"/>
  <c r="P830" i="12" a="1"/>
  <c r="P831" i="12" a="1"/>
  <c r="P832" i="12" a="1"/>
  <c r="P833" i="12" a="1"/>
  <c r="P834" i="12" a="1"/>
  <c r="P835" i="12" a="1"/>
  <c r="P836" i="12" a="1"/>
  <c r="P837" i="12" a="1"/>
  <c r="P838" i="12" a="1"/>
  <c r="P839" i="12" a="1"/>
  <c r="P840" i="12" a="1"/>
  <c r="P841" i="12" a="1"/>
  <c r="P842" i="12" a="1"/>
  <c r="P843" i="12" a="1"/>
  <c r="P844" i="12" a="1"/>
  <c r="P845" i="12" a="1"/>
  <c r="P846" i="12" a="1"/>
  <c r="P847" i="12" a="1"/>
  <c r="P758" i="12" a="1"/>
  <c r="P759" i="12" a="1"/>
  <c r="P760" i="12" a="1"/>
  <c r="P761" i="12" a="1"/>
  <c r="P762" i="12" a="1"/>
  <c r="P763" i="12" a="1"/>
  <c r="P764" i="12" a="1"/>
  <c r="P765" i="12" a="1"/>
  <c r="P766" i="12" a="1"/>
  <c r="P767" i="12" a="1"/>
  <c r="P768" i="12" a="1"/>
  <c r="P769" i="12" a="1"/>
  <c r="P770" i="12" a="1"/>
  <c r="P771" i="12" a="1"/>
  <c r="P772" i="12" a="1"/>
  <c r="P773" i="12" a="1"/>
  <c r="P774" i="12" a="1"/>
  <c r="P775" i="12" a="1"/>
  <c r="P776" i="12" a="1"/>
  <c r="P777" i="12" a="1"/>
  <c r="P778" i="12" a="1"/>
  <c r="P779" i="12" a="1"/>
  <c r="P780" i="12" a="1"/>
  <c r="P781" i="12" a="1"/>
  <c r="P782" i="12" a="1"/>
  <c r="P783" i="12" a="1"/>
  <c r="P784" i="12" a="1"/>
  <c r="P785" i="12" a="1"/>
  <c r="P786" i="12" a="1"/>
  <c r="P787" i="12" a="1"/>
  <c r="P788" i="12" a="1"/>
  <c r="P789" i="12" a="1"/>
  <c r="P790" i="12" a="1"/>
  <c r="P791" i="12" a="1"/>
  <c r="P792" i="12" a="1"/>
  <c r="P793" i="12" a="1"/>
  <c r="P794" i="12" a="1"/>
  <c r="P795" i="12" a="1"/>
  <c r="P796" i="12" a="1"/>
  <c r="P797" i="12" a="1"/>
  <c r="P798" i="12" a="1"/>
  <c r="P799" i="12" a="1"/>
  <c r="P800" i="12" a="1"/>
  <c r="P801" i="12" a="1"/>
  <c r="P802" i="12" a="1"/>
  <c r="P803" i="12" a="1"/>
  <c r="P804" i="12" a="1"/>
  <c r="P805" i="12" a="1"/>
  <c r="P806" i="12" a="1"/>
  <c r="P807" i="12" a="1"/>
  <c r="P808" i="12" a="1"/>
  <c r="P809" i="12" a="1"/>
  <c r="P810" i="12" a="1"/>
  <c r="P811" i="12" a="1"/>
  <c r="P812" i="12" a="1"/>
  <c r="P813" i="12" a="1"/>
  <c r="P814" i="12" a="1"/>
  <c r="P815" i="12" a="1"/>
  <c r="P816" i="12" a="1"/>
  <c r="P817" i="12" a="1"/>
  <c r="P818" i="12" a="1"/>
  <c r="P819" i="12" a="1"/>
  <c r="P820" i="12" a="1"/>
  <c r="P821" i="12" a="1"/>
  <c r="P822" i="12" a="1"/>
  <c r="P823" i="12" a="1"/>
  <c r="P824" i="12" a="1"/>
  <c r="P825" i="12" a="1"/>
  <c r="P826" i="12" a="1"/>
  <c r="P827" i="12" a="1"/>
  <c r="P828" i="12" a="1"/>
  <c r="P829" i="12" a="1"/>
  <c r="P740" i="12" a="1"/>
  <c r="P741" i="12" a="1"/>
  <c r="P742" i="12" a="1"/>
  <c r="P743" i="12" a="1"/>
  <c r="P744" i="12" a="1"/>
  <c r="P745" i="12" a="1"/>
  <c r="P746" i="12" a="1"/>
  <c r="P747" i="12" a="1"/>
  <c r="P748" i="12" a="1"/>
  <c r="P749" i="12" a="1"/>
  <c r="P750" i="12" a="1"/>
  <c r="P751" i="12" a="1"/>
  <c r="P752" i="12" a="1"/>
  <c r="P753" i="12" a="1"/>
  <c r="P754" i="12" a="1"/>
  <c r="P755" i="12" a="1"/>
  <c r="P756" i="12" a="1"/>
  <c r="P757" i="12" a="1"/>
  <c r="P722" i="12" a="1"/>
  <c r="P723" i="12" a="1"/>
  <c r="P724" i="12" a="1"/>
  <c r="P725" i="12" a="1"/>
  <c r="P726" i="12" a="1"/>
  <c r="P727" i="12" a="1"/>
  <c r="P728" i="12" a="1"/>
  <c r="P729" i="12" a="1"/>
  <c r="P730" i="12" a="1"/>
  <c r="P731" i="12" a="1"/>
  <c r="P732" i="12" a="1"/>
  <c r="P733" i="12" a="1"/>
  <c r="P734" i="12" a="1"/>
  <c r="P735" i="12" a="1"/>
  <c r="P736" i="12" a="1"/>
  <c r="P737" i="12" a="1"/>
  <c r="P738" i="12" a="1"/>
  <c r="P739" i="12" a="1"/>
  <c r="P704" i="12" a="1"/>
  <c r="P705" i="12" a="1"/>
  <c r="P706" i="12" a="1"/>
  <c r="P707" i="12" a="1"/>
  <c r="P708" i="12" a="1"/>
  <c r="P709" i="12" a="1"/>
  <c r="P710" i="12" a="1"/>
  <c r="P711" i="12" a="1"/>
  <c r="P712" i="12" a="1"/>
  <c r="P713" i="12" a="1"/>
  <c r="P714" i="12" a="1"/>
  <c r="P715" i="12" a="1"/>
  <c r="P716" i="12" a="1"/>
  <c r="P717" i="12" a="1"/>
  <c r="P718" i="12" a="1"/>
  <c r="P719" i="12" a="1"/>
  <c r="P720" i="12" a="1"/>
  <c r="P721" i="12" a="1"/>
  <c r="P686" i="12" a="1"/>
  <c r="P687" i="12" a="1"/>
  <c r="P688" i="12" a="1"/>
  <c r="P689" i="12" a="1"/>
  <c r="P690" i="12" a="1"/>
  <c r="P691" i="12" a="1"/>
  <c r="P692" i="12" a="1"/>
  <c r="P693" i="12" a="1"/>
  <c r="P694" i="12" a="1"/>
  <c r="P695" i="12" a="1"/>
  <c r="P696" i="12" a="1"/>
  <c r="P697" i="12" a="1"/>
  <c r="P698" i="12" a="1"/>
  <c r="P699" i="12" a="1"/>
  <c r="P700" i="12" a="1"/>
  <c r="P701" i="12" a="1"/>
  <c r="P702" i="12" a="1"/>
  <c r="P703" i="12" a="1"/>
  <c r="P668" i="12" a="1"/>
  <c r="P669" i="12" a="1"/>
  <c r="P670" i="12" a="1"/>
  <c r="P671" i="12" a="1"/>
  <c r="P672" i="12" a="1"/>
  <c r="P673" i="12" a="1"/>
  <c r="P674" i="12" a="1"/>
  <c r="P675" i="12" a="1"/>
  <c r="P676" i="12" a="1"/>
  <c r="P677" i="12" a="1"/>
  <c r="P678" i="12" a="1"/>
  <c r="P679" i="12" a="1"/>
  <c r="P680" i="12" a="1"/>
  <c r="P681" i="12" a="1"/>
  <c r="P682" i="12" a="1"/>
  <c r="P683" i="12" a="1"/>
  <c r="P684" i="12" a="1"/>
  <c r="P685" i="12" a="1"/>
  <c r="P650" i="12" a="1"/>
  <c r="P651" i="12" a="1"/>
  <c r="P652" i="12" a="1"/>
  <c r="P653" i="12" a="1"/>
  <c r="P654" i="12" a="1"/>
  <c r="P655" i="12" a="1"/>
  <c r="P656" i="12" a="1"/>
  <c r="P657" i="12" a="1"/>
  <c r="P658" i="12" a="1"/>
  <c r="P659" i="12" a="1"/>
  <c r="P660" i="12" a="1"/>
  <c r="P661" i="12" a="1"/>
  <c r="P662" i="12" a="1"/>
  <c r="P663" i="12" a="1"/>
  <c r="P664" i="12" a="1"/>
  <c r="P665" i="12" a="1"/>
  <c r="P666" i="12" a="1"/>
  <c r="P667" i="12" a="1"/>
  <c r="P632" i="12" a="1"/>
  <c r="P633" i="12" a="1"/>
  <c r="P634" i="12" a="1"/>
  <c r="P635" i="12" a="1"/>
  <c r="P636" i="12" a="1"/>
  <c r="P637" i="12" a="1"/>
  <c r="P638" i="12" a="1"/>
  <c r="P639" i="12" a="1"/>
  <c r="P640" i="12" a="1"/>
  <c r="P641" i="12" a="1"/>
  <c r="P642" i="12" a="1"/>
  <c r="P643" i="12" a="1"/>
  <c r="P644" i="12" a="1"/>
  <c r="P645" i="12" a="1"/>
  <c r="P646" i="12" a="1"/>
  <c r="P647" i="12" a="1"/>
  <c r="P648" i="12" a="1"/>
  <c r="P649" i="12" a="1"/>
  <c r="P614" i="12" a="1"/>
  <c r="P615" i="12" a="1"/>
  <c r="P616" i="12" a="1"/>
  <c r="P617" i="12" a="1"/>
  <c r="P618" i="12" a="1"/>
  <c r="P619" i="12" a="1"/>
  <c r="P620" i="12" a="1"/>
  <c r="P621" i="12" a="1"/>
  <c r="P622" i="12" a="1"/>
  <c r="P623" i="12" a="1"/>
  <c r="P624" i="12" a="1"/>
  <c r="P625" i="12" a="1"/>
  <c r="P626" i="12" a="1"/>
  <c r="P627" i="12" a="1"/>
  <c r="P628" i="12" a="1"/>
  <c r="P629" i="12" a="1"/>
  <c r="P630" i="12" a="1"/>
  <c r="P631" i="12" a="1"/>
  <c r="P596" i="12" a="1"/>
  <c r="P597" i="12" a="1"/>
  <c r="P598" i="12" a="1"/>
  <c r="P599" i="12" a="1"/>
  <c r="P600" i="12" a="1"/>
  <c r="P601" i="12" a="1"/>
  <c r="P602" i="12" a="1"/>
  <c r="P603" i="12" a="1"/>
  <c r="P604" i="12" a="1"/>
  <c r="P605" i="12" a="1"/>
  <c r="P606" i="12" a="1"/>
  <c r="P607" i="12" a="1"/>
  <c r="P608" i="12" a="1"/>
  <c r="P609" i="12" a="1"/>
  <c r="P610" i="12" a="1"/>
  <c r="P611" i="12" a="1"/>
  <c r="P612" i="12" a="1"/>
  <c r="P613" i="12" a="1"/>
  <c r="P578" i="12" a="1"/>
  <c r="P579" i="12" a="1"/>
  <c r="P580" i="12" a="1"/>
  <c r="P581" i="12" a="1"/>
  <c r="P582" i="12" a="1"/>
  <c r="P583" i="12" a="1"/>
  <c r="P584" i="12" a="1"/>
  <c r="P585" i="12" a="1"/>
  <c r="P586" i="12" a="1"/>
  <c r="P587" i="12" a="1"/>
  <c r="P588" i="12" a="1"/>
  <c r="P589" i="12" a="1"/>
  <c r="P590" i="12" a="1"/>
  <c r="P591" i="12" a="1"/>
  <c r="P592" i="12" a="1"/>
  <c r="P593" i="12" a="1"/>
  <c r="P594" i="12" a="1"/>
  <c r="P595" i="12" a="1"/>
  <c r="P470" i="12" a="1"/>
  <c r="P471" i="12" a="1"/>
  <c r="P472" i="12" a="1"/>
  <c r="P473" i="12" a="1"/>
  <c r="P474" i="12" a="1"/>
  <c r="P475" i="12" a="1"/>
  <c r="P476" i="12" a="1"/>
  <c r="P477" i="12" a="1"/>
  <c r="P478" i="12" a="1"/>
  <c r="P479" i="12" a="1"/>
  <c r="P480" i="12" a="1"/>
  <c r="P481" i="12" a="1"/>
  <c r="P482" i="12" a="1"/>
  <c r="P483" i="12" a="1"/>
  <c r="P484" i="12" a="1"/>
  <c r="P485" i="12" a="1"/>
  <c r="P486" i="12" a="1"/>
  <c r="P487" i="12" a="1"/>
  <c r="P488" i="12" a="1"/>
  <c r="P489" i="12" a="1"/>
  <c r="P490" i="12" a="1"/>
  <c r="P491" i="12" a="1"/>
  <c r="P492" i="12" a="1"/>
  <c r="P493" i="12" a="1"/>
  <c r="P494" i="12" a="1"/>
  <c r="P495" i="12" a="1"/>
  <c r="P496" i="12" a="1"/>
  <c r="P497" i="12" a="1"/>
  <c r="P498" i="12" a="1"/>
  <c r="P499" i="12" a="1"/>
  <c r="P500" i="12" a="1"/>
  <c r="P501" i="12" a="1"/>
  <c r="P502" i="12" a="1"/>
  <c r="P503" i="12" a="1"/>
  <c r="P504" i="12" a="1"/>
  <c r="P505" i="12" a="1"/>
  <c r="P506" i="12" a="1"/>
  <c r="P507" i="12" a="1"/>
  <c r="P508" i="12" a="1"/>
  <c r="P509" i="12" a="1"/>
  <c r="P510" i="12" a="1"/>
  <c r="P511" i="12" a="1"/>
  <c r="P512" i="12" a="1"/>
  <c r="P513" i="12" a="1"/>
  <c r="P514" i="12" a="1"/>
  <c r="P515" i="12" a="1"/>
  <c r="P516" i="12" a="1"/>
  <c r="P517" i="12" a="1"/>
  <c r="P518" i="12" a="1"/>
  <c r="P519" i="12" a="1"/>
  <c r="P520" i="12" a="1"/>
  <c r="P521" i="12" a="1"/>
  <c r="P522" i="12" a="1"/>
  <c r="P523" i="12" a="1"/>
  <c r="P524" i="12" a="1"/>
  <c r="P525" i="12" a="1"/>
  <c r="P526" i="12" a="1"/>
  <c r="P527" i="12" a="1"/>
  <c r="P528" i="12" a="1"/>
  <c r="P529" i="12" a="1"/>
  <c r="P530" i="12" a="1"/>
  <c r="P531" i="12" a="1"/>
  <c r="P532" i="12" a="1"/>
  <c r="P533" i="12" a="1"/>
  <c r="P534" i="12" a="1"/>
  <c r="P535" i="12" a="1"/>
  <c r="P536" i="12" a="1"/>
  <c r="P537" i="12" a="1"/>
  <c r="P538" i="12" a="1"/>
  <c r="P539" i="12" a="1"/>
  <c r="P540" i="12" a="1"/>
  <c r="P541" i="12" a="1"/>
  <c r="P542" i="12" a="1"/>
  <c r="P543" i="12" a="1"/>
  <c r="P544" i="12" a="1"/>
  <c r="P545" i="12" a="1"/>
  <c r="P546" i="12" a="1"/>
  <c r="P547" i="12" a="1"/>
  <c r="P548" i="12" a="1"/>
  <c r="P549" i="12" a="1"/>
  <c r="P550" i="12" a="1"/>
  <c r="P551" i="12" a="1"/>
  <c r="P552" i="12" a="1"/>
  <c r="P553" i="12" a="1"/>
  <c r="P554" i="12" a="1"/>
  <c r="P555" i="12" a="1"/>
  <c r="P556" i="12" a="1"/>
  <c r="P557" i="12" a="1"/>
  <c r="P558" i="12" a="1"/>
  <c r="P559" i="12" a="1"/>
  <c r="P560" i="12" a="1"/>
  <c r="P561" i="12" a="1"/>
  <c r="P562" i="12" a="1"/>
  <c r="P563" i="12" a="1"/>
  <c r="P564" i="12" a="1"/>
  <c r="P565" i="12" a="1"/>
  <c r="P566" i="12" a="1"/>
  <c r="P567" i="12" a="1"/>
  <c r="P568" i="12" a="1"/>
  <c r="P569" i="12" a="1"/>
  <c r="P570" i="12" a="1"/>
  <c r="P571" i="12" a="1"/>
  <c r="P572" i="12" a="1"/>
  <c r="P573" i="12" a="1"/>
  <c r="P574" i="12" a="1"/>
  <c r="P575" i="12" a="1"/>
  <c r="P576" i="12" a="1"/>
  <c r="P577" i="12" a="1"/>
  <c r="P128" i="12" a="1"/>
  <c r="P129" i="12" a="1"/>
  <c r="P130" i="12" a="1"/>
  <c r="P131" i="12" a="1"/>
  <c r="P132" i="12" a="1"/>
  <c r="P133" i="12" a="1"/>
  <c r="P134" i="12" a="1"/>
  <c r="P135" i="12" a="1"/>
  <c r="P136" i="12" a="1"/>
  <c r="P137" i="12" a="1"/>
  <c r="P138" i="12" a="1"/>
  <c r="P139" i="12" a="1"/>
  <c r="P140" i="12" a="1"/>
  <c r="P141" i="12" a="1"/>
  <c r="P142" i="12" a="1"/>
  <c r="P143" i="12" a="1"/>
  <c r="P144" i="12" a="1"/>
  <c r="P145" i="12" a="1"/>
  <c r="P146" i="12" a="1"/>
  <c r="P147" i="12" a="1"/>
  <c r="P148" i="12" a="1"/>
  <c r="P149" i="12" a="1"/>
  <c r="P150" i="12" a="1"/>
  <c r="P151" i="12" a="1"/>
  <c r="P152" i="12" a="1"/>
  <c r="P153" i="12" a="1"/>
  <c r="P154" i="12" a="1"/>
  <c r="P155" i="12" a="1"/>
  <c r="P156" i="12" a="1"/>
  <c r="P157" i="12" a="1"/>
  <c r="P158" i="12" a="1"/>
  <c r="P159" i="12" a="1"/>
  <c r="P160" i="12" a="1"/>
  <c r="P161" i="12" a="1"/>
  <c r="P162" i="12" a="1"/>
  <c r="P163" i="12" a="1"/>
  <c r="P164" i="12" a="1"/>
  <c r="P165" i="12" a="1"/>
  <c r="P166" i="12" a="1"/>
  <c r="P167" i="12" a="1"/>
  <c r="P168" i="12" a="1"/>
  <c r="P169" i="12" a="1"/>
  <c r="P170" i="12" a="1"/>
  <c r="P171" i="12" a="1"/>
  <c r="P172" i="12" a="1"/>
  <c r="P173" i="12" a="1"/>
  <c r="P174" i="12" a="1"/>
  <c r="P175" i="12" a="1"/>
  <c r="P176" i="12" a="1"/>
  <c r="P177" i="12" a="1"/>
  <c r="P178" i="12" a="1"/>
  <c r="P179" i="12" a="1"/>
  <c r="P180" i="12" a="1"/>
  <c r="P181" i="12" a="1"/>
  <c r="P182" i="12" a="1"/>
  <c r="P183" i="12" a="1"/>
  <c r="P184" i="12" a="1"/>
  <c r="P185" i="12" a="1"/>
  <c r="P186" i="12" a="1"/>
  <c r="P187" i="12" a="1"/>
  <c r="P188" i="12" a="1"/>
  <c r="P189" i="12" a="1"/>
  <c r="P190" i="12" a="1"/>
  <c r="P191" i="12" a="1"/>
  <c r="P192" i="12" a="1"/>
  <c r="P193" i="12" a="1"/>
  <c r="P194" i="12" a="1"/>
  <c r="P195" i="12" a="1"/>
  <c r="P196" i="12" a="1"/>
  <c r="P197" i="12" a="1"/>
  <c r="P198" i="12" a="1"/>
  <c r="P199" i="12" a="1"/>
  <c r="P200" i="12" a="1"/>
  <c r="P201" i="12" a="1"/>
  <c r="P202" i="12" a="1"/>
  <c r="P203" i="12" a="1"/>
  <c r="P204" i="12" a="1"/>
  <c r="P205" i="12" a="1"/>
  <c r="P206" i="12" a="1"/>
  <c r="P207" i="12" a="1"/>
  <c r="P208" i="12" a="1"/>
  <c r="P209" i="12" a="1"/>
  <c r="P210" i="12" a="1"/>
  <c r="P211" i="12" a="1"/>
  <c r="P212" i="12" a="1"/>
  <c r="P213" i="12" a="1"/>
  <c r="P214" i="12" a="1"/>
  <c r="P215" i="12" a="1"/>
  <c r="P216" i="12" a="1"/>
  <c r="P217" i="12" a="1"/>
  <c r="P218" i="12" a="1"/>
  <c r="P219" i="12" a="1"/>
  <c r="P220" i="12" a="1"/>
  <c r="P221" i="12" a="1"/>
  <c r="P222" i="12" a="1"/>
  <c r="P223" i="12" a="1"/>
  <c r="P224" i="12" a="1"/>
  <c r="P225" i="12" a="1"/>
  <c r="P226" i="12" a="1"/>
  <c r="P227" i="12" a="1"/>
  <c r="P228" i="12" a="1"/>
  <c r="P229" i="12" a="1"/>
  <c r="P230" i="12" a="1"/>
  <c r="P231" i="12" a="1"/>
  <c r="P232" i="12" a="1"/>
  <c r="P233" i="12" a="1"/>
  <c r="P234" i="12" a="1"/>
  <c r="P235" i="12" a="1"/>
  <c r="P236" i="12" a="1"/>
  <c r="P237" i="12" a="1"/>
  <c r="P238" i="12" a="1"/>
  <c r="P239" i="12" a="1"/>
  <c r="P240" i="12" a="1"/>
  <c r="P241" i="12" a="1"/>
  <c r="P242" i="12" a="1"/>
  <c r="P243" i="12" a="1"/>
  <c r="P244" i="12" a="1"/>
  <c r="P245" i="12" a="1"/>
  <c r="P246" i="12" a="1"/>
  <c r="P247" i="12" a="1"/>
  <c r="P248" i="12" a="1"/>
  <c r="P249" i="12" a="1"/>
  <c r="P250" i="12" a="1"/>
  <c r="P251" i="12" a="1"/>
  <c r="P252" i="12" a="1"/>
  <c r="P253" i="12" a="1"/>
  <c r="P254" i="12" a="1"/>
  <c r="P255" i="12" a="1"/>
  <c r="P256" i="12" a="1"/>
  <c r="P257" i="12" a="1"/>
  <c r="P258" i="12" a="1"/>
  <c r="P259" i="12" a="1"/>
  <c r="P260" i="12" a="1"/>
  <c r="P261" i="12" a="1"/>
  <c r="P262" i="12" a="1"/>
  <c r="P263" i="12" a="1"/>
  <c r="P264" i="12" a="1"/>
  <c r="P265" i="12" a="1"/>
  <c r="P266" i="12" a="1"/>
  <c r="P267" i="12" a="1"/>
  <c r="P268" i="12" a="1"/>
  <c r="P269" i="12" a="1"/>
  <c r="P270" i="12" a="1"/>
  <c r="P271" i="12" a="1"/>
  <c r="P272" i="12" a="1"/>
  <c r="P273" i="12" a="1"/>
  <c r="P274" i="12" a="1"/>
  <c r="P275" i="12" a="1"/>
  <c r="P276" i="12" a="1"/>
  <c r="P277" i="12" a="1"/>
  <c r="P278" i="12" a="1"/>
  <c r="P279" i="12" a="1"/>
  <c r="P280" i="12" a="1"/>
  <c r="P281" i="12" a="1"/>
  <c r="P282" i="12" a="1"/>
  <c r="P283" i="12" a="1"/>
  <c r="P284" i="12" a="1"/>
  <c r="P285" i="12" a="1"/>
  <c r="P286" i="12" a="1"/>
  <c r="P287" i="12" a="1"/>
  <c r="P288" i="12" a="1"/>
  <c r="P289" i="12" a="1"/>
  <c r="P290" i="12" a="1"/>
  <c r="P291" i="12" a="1"/>
  <c r="P292" i="12" a="1"/>
  <c r="P293" i="12" a="1"/>
  <c r="P294" i="12" a="1"/>
  <c r="P295" i="12" a="1"/>
  <c r="P296" i="12" a="1"/>
  <c r="P297" i="12" a="1"/>
  <c r="P298" i="12" a="1"/>
  <c r="P299" i="12" a="1"/>
  <c r="P300" i="12" a="1"/>
  <c r="P301" i="12" a="1"/>
  <c r="P302" i="12" a="1"/>
  <c r="P303" i="12" a="1"/>
  <c r="P304" i="12" a="1"/>
  <c r="P305" i="12" a="1"/>
  <c r="P306" i="12" a="1"/>
  <c r="P307" i="12" a="1"/>
  <c r="P308" i="12" a="1"/>
  <c r="P309" i="12" a="1"/>
  <c r="P310" i="12" a="1"/>
  <c r="P311" i="12" a="1"/>
  <c r="P312" i="12" a="1"/>
  <c r="P313" i="12" a="1"/>
  <c r="P314" i="12" a="1"/>
  <c r="P315" i="12" a="1"/>
  <c r="P316" i="12" a="1"/>
  <c r="P317" i="12" a="1"/>
  <c r="P318" i="12" a="1"/>
  <c r="P319" i="12" a="1"/>
  <c r="P320" i="12" a="1"/>
  <c r="P321" i="12" a="1"/>
  <c r="P322" i="12" a="1"/>
  <c r="P323" i="12" a="1"/>
  <c r="P324" i="12" a="1"/>
  <c r="P325" i="12" a="1"/>
  <c r="P326" i="12" a="1"/>
  <c r="P327" i="12" a="1"/>
  <c r="P328" i="12" a="1"/>
  <c r="P329" i="12" a="1"/>
  <c r="P330" i="12" a="1"/>
  <c r="P331" i="12" a="1"/>
  <c r="P332" i="12" a="1"/>
  <c r="P333" i="12" a="1"/>
  <c r="P334" i="12" a="1"/>
  <c r="P335" i="12" a="1"/>
  <c r="P336" i="12" a="1"/>
  <c r="P337" i="12" a="1"/>
  <c r="P338" i="12" a="1"/>
  <c r="P339" i="12" a="1"/>
  <c r="P340" i="12" a="1"/>
  <c r="P341" i="12" a="1"/>
  <c r="P342" i="12" a="1"/>
  <c r="P343" i="12" a="1"/>
  <c r="P344" i="12" a="1"/>
  <c r="P345" i="12" a="1"/>
  <c r="P346" i="12" a="1"/>
  <c r="P347" i="12" a="1"/>
  <c r="P348" i="12" a="1"/>
  <c r="P349" i="12" a="1"/>
  <c r="P350" i="12" a="1"/>
  <c r="P351" i="12" a="1"/>
  <c r="P352" i="12" a="1"/>
  <c r="P353" i="12" a="1"/>
  <c r="P354" i="12" a="1"/>
  <c r="P355" i="12" a="1"/>
  <c r="P356" i="12" a="1"/>
  <c r="P357" i="12" a="1"/>
  <c r="P358" i="12" a="1"/>
  <c r="P359" i="12" a="1"/>
  <c r="P360" i="12" a="1"/>
  <c r="P361" i="12" a="1"/>
  <c r="P362" i="12" a="1"/>
  <c r="P363" i="12" a="1"/>
  <c r="P364" i="12" a="1"/>
  <c r="P365" i="12" a="1"/>
  <c r="P366" i="12" a="1"/>
  <c r="P367" i="12" a="1"/>
  <c r="P368" i="12" a="1"/>
  <c r="P369" i="12" a="1"/>
  <c r="P370" i="12" a="1"/>
  <c r="P371" i="12" a="1"/>
  <c r="P372" i="12" a="1"/>
  <c r="P373" i="12" a="1"/>
  <c r="P374" i="12" a="1"/>
  <c r="P375" i="12" a="1"/>
  <c r="P376" i="12" a="1"/>
  <c r="P377" i="12" a="1"/>
  <c r="P378" i="12" a="1"/>
  <c r="P379" i="12" a="1"/>
  <c r="P380" i="12" a="1"/>
  <c r="P381" i="12" a="1"/>
  <c r="P382" i="12" a="1"/>
  <c r="P383" i="12" a="1"/>
  <c r="P384" i="12" a="1"/>
  <c r="P385" i="12" a="1"/>
  <c r="P386" i="12" a="1"/>
  <c r="P387" i="12" a="1"/>
  <c r="P388" i="12" a="1"/>
  <c r="P389" i="12" a="1"/>
  <c r="P390" i="12" a="1"/>
  <c r="P391" i="12" a="1"/>
  <c r="P392" i="12" a="1"/>
  <c r="P393" i="12" a="1"/>
  <c r="P394" i="12" a="1"/>
  <c r="P395" i="12" a="1"/>
  <c r="P396" i="12" a="1"/>
  <c r="P397" i="12" a="1"/>
  <c r="P398" i="12" a="1"/>
  <c r="P399" i="12" a="1"/>
  <c r="P400" i="12" a="1"/>
  <c r="P401" i="12" a="1"/>
  <c r="P402" i="12" a="1"/>
  <c r="P403" i="12" a="1"/>
  <c r="P404" i="12" a="1"/>
  <c r="P405" i="12" a="1"/>
  <c r="P406" i="12" a="1"/>
  <c r="P407" i="12" a="1"/>
  <c r="P408" i="12" a="1"/>
  <c r="P409" i="12" a="1"/>
  <c r="P410" i="12" a="1"/>
  <c r="P411" i="12" a="1"/>
  <c r="P412" i="12" a="1"/>
  <c r="P413" i="12" a="1"/>
  <c r="P414" i="12" a="1"/>
  <c r="P415" i="12" a="1"/>
  <c r="P416" i="12" a="1"/>
  <c r="P417" i="12" a="1"/>
  <c r="P418" i="12" a="1"/>
  <c r="P419" i="12" a="1"/>
  <c r="P420" i="12" a="1"/>
  <c r="P421" i="12" a="1"/>
  <c r="P422" i="12" a="1"/>
  <c r="P423" i="12" a="1"/>
  <c r="P424" i="12" a="1"/>
  <c r="P425" i="12" a="1"/>
  <c r="P426" i="12" a="1"/>
  <c r="P427" i="12" a="1"/>
  <c r="P428" i="12" a="1"/>
  <c r="P429" i="12" a="1"/>
  <c r="P430" i="12" a="1"/>
  <c r="P431" i="12" a="1"/>
  <c r="P432" i="12" a="1"/>
  <c r="P433" i="12" a="1"/>
  <c r="P434" i="12" a="1"/>
  <c r="P435" i="12" a="1"/>
  <c r="P436" i="12" a="1"/>
  <c r="P437" i="12" a="1"/>
  <c r="P438" i="12" a="1"/>
  <c r="P439" i="12" a="1"/>
  <c r="P440" i="12" a="1"/>
  <c r="P441" i="12" a="1"/>
  <c r="P442" i="12" a="1"/>
  <c r="P443" i="12" a="1"/>
  <c r="P444" i="12" a="1"/>
  <c r="P445" i="12" a="1"/>
  <c r="P446" i="12" a="1"/>
  <c r="P447" i="12" a="1"/>
  <c r="P448" i="12" a="1"/>
  <c r="P449" i="12" a="1"/>
  <c r="P450" i="12" a="1"/>
  <c r="P451" i="12" a="1"/>
  <c r="P452" i="12" a="1"/>
  <c r="P453" i="12" a="1"/>
  <c r="P454" i="12" a="1"/>
  <c r="P455" i="12" a="1"/>
  <c r="P456" i="12" a="1"/>
  <c r="P457" i="12" a="1"/>
  <c r="P458" i="12" a="1"/>
  <c r="P459" i="12" a="1"/>
  <c r="P460" i="12" a="1"/>
  <c r="P461" i="12" a="1"/>
  <c r="P462" i="12" a="1"/>
  <c r="P463" i="12" a="1"/>
  <c r="P464" i="12" a="1"/>
  <c r="P465" i="12" a="1"/>
  <c r="P466" i="12" a="1"/>
  <c r="P467" i="12" a="1"/>
  <c r="P468" i="12" a="1"/>
  <c r="P469" i="12" a="1"/>
  <c r="P118" i="12" a="1"/>
  <c r="P119" i="12" a="1"/>
  <c r="P120" i="12" a="1"/>
  <c r="P121" i="12" a="1"/>
  <c r="P122" i="12" a="1"/>
  <c r="P123" i="12" a="1"/>
  <c r="P124" i="12" a="1"/>
  <c r="P125" i="12" a="1"/>
  <c r="P126" i="12" a="1"/>
  <c r="P127" i="12" a="1"/>
  <c r="P108" i="12" a="1"/>
  <c r="P109" i="12" a="1"/>
  <c r="P93" i="12" a="1"/>
  <c r="P94" i="12" a="1"/>
  <c r="P95" i="12" a="1"/>
  <c r="P96" i="12" a="1"/>
  <c r="P97" i="12" a="1"/>
  <c r="P98" i="12" a="1"/>
  <c r="P99" i="12" a="1"/>
  <c r="P100" i="12" a="1"/>
  <c r="P101" i="12" a="1"/>
  <c r="P102" i="12" a="1"/>
  <c r="P103" i="12" a="1"/>
  <c r="P104" i="12" a="1"/>
  <c r="P105" i="12" a="1"/>
  <c r="P106" i="12" a="1"/>
  <c r="P107" i="12" a="1"/>
  <c r="P74" i="12" a="1"/>
  <c r="P75" i="12" a="1"/>
  <c r="P76" i="12" a="1"/>
  <c r="P77" i="12" a="1"/>
  <c r="P78" i="12" a="1"/>
  <c r="P79" i="12" a="1"/>
  <c r="P80" i="12" a="1"/>
  <c r="P81" i="12" a="1"/>
  <c r="P82" i="12" a="1"/>
  <c r="P83" i="12" a="1"/>
  <c r="P84" i="12" a="1"/>
  <c r="P85" i="12" a="1"/>
  <c r="P86" i="12" a="1"/>
  <c r="P87" i="12" a="1"/>
  <c r="P88" i="12" a="1"/>
  <c r="P89" i="12" a="1"/>
  <c r="P90" i="12" a="1"/>
  <c r="P91" i="12" a="1"/>
  <c r="P92" i="12" a="1"/>
  <c r="P110" i="12" a="1"/>
  <c r="P111" i="12" a="1"/>
  <c r="P112" i="12" a="1"/>
  <c r="P113" i="12" a="1"/>
  <c r="P114" i="12" a="1"/>
  <c r="P115" i="12" a="1"/>
  <c r="P116" i="12" a="1"/>
  <c r="P117" i="12" a="1"/>
  <c r="P3" i="12" a="1"/>
  <c r="P4" i="12" a="1"/>
  <c r="P5" i="12" a="1"/>
  <c r="P6" i="12" a="1"/>
  <c r="P7" i="12" a="1"/>
  <c r="P8" i="12" a="1"/>
  <c r="P9" i="12" a="1"/>
  <c r="P10" i="12" a="1"/>
  <c r="P11" i="12" a="1"/>
  <c r="P12" i="12" a="1"/>
  <c r="P13" i="12" a="1"/>
  <c r="P14" i="12" a="1"/>
  <c r="P15" i="12" a="1"/>
  <c r="P16" i="12" a="1"/>
  <c r="P17" i="12" a="1"/>
  <c r="P18" i="12" a="1"/>
  <c r="P19" i="12" a="1"/>
  <c r="P20" i="12" a="1"/>
  <c r="P21" i="12" a="1"/>
  <c r="P22" i="12" a="1"/>
  <c r="P23" i="12" a="1"/>
  <c r="P24" i="12" a="1"/>
  <c r="P25" i="12" a="1"/>
  <c r="P26" i="12" a="1"/>
  <c r="P27" i="12" a="1"/>
  <c r="P28" i="12" a="1"/>
  <c r="P29" i="12" a="1"/>
  <c r="P30" i="12" a="1"/>
  <c r="P31" i="12" a="1"/>
  <c r="P32" i="12" a="1"/>
  <c r="P33" i="12" a="1"/>
  <c r="P34" i="12" a="1"/>
  <c r="P35" i="12" a="1"/>
  <c r="P36" i="12" a="1"/>
  <c r="P37" i="12" a="1"/>
  <c r="P38" i="12" a="1"/>
  <c r="P39" i="12" a="1"/>
  <c r="P40" i="12" a="1"/>
  <c r="P41" i="12" a="1"/>
  <c r="P42" i="12" a="1"/>
  <c r="P43" i="12" a="1"/>
  <c r="P44" i="12" a="1"/>
  <c r="P45" i="12" a="1"/>
  <c r="P46" i="12" a="1"/>
  <c r="P47" i="12" a="1"/>
  <c r="P48" i="12" a="1"/>
  <c r="P49" i="12" a="1"/>
  <c r="P50" i="12" a="1"/>
  <c r="P51" i="12" a="1"/>
  <c r="P52" i="12" a="1"/>
  <c r="P53" i="12" a="1"/>
  <c r="P54" i="12" a="1"/>
  <c r="P55" i="12" a="1"/>
  <c r="P56" i="12" a="1"/>
  <c r="P57" i="12" a="1"/>
  <c r="P58" i="12" a="1"/>
  <c r="P59" i="12" a="1"/>
  <c r="P60" i="12" a="1"/>
  <c r="P61" i="12" a="1"/>
  <c r="P62" i="12" a="1"/>
  <c r="P63" i="12" a="1"/>
  <c r="P64" i="12" a="1"/>
  <c r="P65" i="12" a="1"/>
  <c r="P66" i="12" a="1"/>
  <c r="P67" i="12" a="1"/>
  <c r="P68" i="12" a="1"/>
  <c r="P69" i="12" a="1"/>
  <c r="P70" i="12" a="1"/>
  <c r="P71" i="12" a="1"/>
  <c r="P72" i="12" a="1"/>
  <c r="P73" i="12" a="1"/>
  <c r="P2" i="12" a="1"/>
  <c r="P1208" i="12" a="1"/>
  <c r="P1209" i="12" a="1"/>
  <c r="P1210" i="12" a="1"/>
  <c r="P1211" i="12" a="1"/>
  <c r="P1212" i="12" a="1"/>
  <c r="P1214" i="12" a="1"/>
  <c r="P1215" i="12" a="1"/>
  <c r="P1216" i="12" a="1"/>
  <c r="P1217" i="12" a="1"/>
  <c r="P1218" i="12" a="1"/>
  <c r="P1219" i="12" a="1"/>
  <c r="P1220" i="12" a="1"/>
  <c r="P1222" i="12" a="1"/>
  <c r="P1223" i="12" a="1"/>
  <c r="P1224" i="12" a="1"/>
  <c r="P1225" i="12" a="1"/>
  <c r="P1213" i="12" a="1"/>
  <c r="D72" i="8"/>
  <c r="W72" i="8"/>
  <c r="W73" i="8"/>
  <c r="O1279" i="12" a="1"/>
  <c r="O1278" i="12" a="1"/>
  <c r="O1277" i="12" a="1"/>
  <c r="O1276" i="12" a="1"/>
  <c r="O1275" i="12" a="1"/>
  <c r="O1274" i="12" a="1"/>
  <c r="O1273" i="12" a="1"/>
  <c r="O1272" i="12" a="1"/>
  <c r="O1271" i="12" a="1"/>
  <c r="O1270" i="12" a="1"/>
  <c r="O1269" i="12" a="1"/>
  <c r="O1268" i="12" a="1"/>
  <c r="O1267" i="12" a="1"/>
  <c r="O1266" i="12" a="1"/>
  <c r="O1265" i="12" a="1"/>
  <c r="O1264" i="12" a="1"/>
  <c r="O1263" i="12" a="1"/>
  <c r="O1262" i="12" a="1"/>
  <c r="O1261" i="12" a="1"/>
  <c r="O1260" i="12" a="1"/>
  <c r="O1259" i="12" a="1"/>
  <c r="O1258" i="12" a="1"/>
  <c r="O1257" i="12" a="1"/>
  <c r="O1256" i="12" a="1"/>
  <c r="O1255" i="12" a="1"/>
  <c r="O1254" i="12" a="1"/>
  <c r="O1253" i="12" a="1"/>
  <c r="O1252" i="12" a="1"/>
  <c r="O1251" i="12" a="1"/>
  <c r="O1250" i="12" a="1"/>
  <c r="O1249" i="12" a="1"/>
  <c r="O1248" i="12" a="1"/>
  <c r="O1247" i="12" a="1"/>
  <c r="O1246" i="12" a="1"/>
  <c r="O1245" i="12" a="1"/>
  <c r="O1244" i="12" a="1"/>
  <c r="O1226" i="12" a="1"/>
  <c r="O1227" i="12" a="1"/>
  <c r="O1228" i="12" a="1"/>
  <c r="O1229" i="12" a="1"/>
  <c r="O1230" i="12" a="1"/>
  <c r="O1231" i="12" a="1"/>
  <c r="O1232" i="12" a="1"/>
  <c r="O1233" i="12" a="1"/>
  <c r="O1234" i="12" a="1"/>
  <c r="O1235" i="12" a="1"/>
  <c r="O1236" i="12" a="1"/>
  <c r="O1237" i="12" a="1"/>
  <c r="O1238" i="12" a="1"/>
  <c r="O1239" i="12" a="1"/>
  <c r="O1240" i="12" a="1"/>
  <c r="O1241" i="12" a="1"/>
  <c r="O1242" i="12" a="1"/>
  <c r="O1243" i="12" a="1"/>
  <c r="O1208" i="12" a="1"/>
  <c r="O1209" i="12" a="1"/>
  <c r="O1210" i="12" a="1"/>
  <c r="O1211" i="12" a="1"/>
  <c r="O1212" i="12" a="1"/>
  <c r="O1213" i="12" a="1"/>
  <c r="O1214" i="12" a="1"/>
  <c r="O1215" i="12" a="1"/>
  <c r="O1216" i="12" a="1"/>
  <c r="O1217" i="12" a="1"/>
  <c r="O1218" i="12" a="1"/>
  <c r="O1219" i="12" a="1"/>
  <c r="O1220" i="12" a="1"/>
  <c r="O1221" i="12" a="1"/>
  <c r="O1222" i="12" a="1"/>
  <c r="O1223" i="12" a="1"/>
  <c r="O1224" i="12" a="1"/>
  <c r="O1225" i="12" a="1"/>
  <c r="O1172" i="12" a="1"/>
  <c r="O1173" i="12" a="1"/>
  <c r="O1174" i="12" a="1"/>
  <c r="O1175" i="12" a="1"/>
  <c r="O1176" i="12" a="1"/>
  <c r="O1177" i="12" a="1"/>
  <c r="O1178" i="12" a="1"/>
  <c r="O1179" i="12" a="1"/>
  <c r="O1180" i="12" a="1"/>
  <c r="O1181" i="12" a="1"/>
  <c r="O1182" i="12" a="1"/>
  <c r="O1183" i="12" a="1"/>
  <c r="O1184" i="12" a="1"/>
  <c r="O1185" i="12" a="1"/>
  <c r="O1186" i="12" a="1"/>
  <c r="O1187" i="12" a="1"/>
  <c r="O1188" i="12" a="1"/>
  <c r="O1189" i="12" a="1"/>
  <c r="O1190" i="12" a="1"/>
  <c r="O1191" i="12" a="1"/>
  <c r="O1192" i="12" a="1"/>
  <c r="O1193" i="12" a="1"/>
  <c r="O1194" i="12" a="1"/>
  <c r="O1195" i="12" a="1"/>
  <c r="O1196" i="12" a="1"/>
  <c r="O1197" i="12" a="1"/>
  <c r="O1198" i="12" a="1"/>
  <c r="O1199" i="12" a="1"/>
  <c r="O1200" i="12" a="1"/>
  <c r="O1201" i="12" a="1"/>
  <c r="O1202" i="12" a="1"/>
  <c r="O1203" i="12" a="1"/>
  <c r="O1204" i="12" a="1"/>
  <c r="O1205" i="12" a="1"/>
  <c r="O1206" i="12" a="1"/>
  <c r="O1207" i="12" a="1"/>
  <c r="O1154" i="12" a="1"/>
  <c r="O1155" i="12" a="1"/>
  <c r="O1156" i="12" a="1"/>
  <c r="O1157" i="12" a="1"/>
  <c r="O1158" i="12" a="1"/>
  <c r="O1159" i="12" a="1"/>
  <c r="O1160" i="12" a="1"/>
  <c r="O1161" i="12" a="1"/>
  <c r="O1162" i="12" a="1"/>
  <c r="O1163" i="12" a="1"/>
  <c r="O1164" i="12" a="1"/>
  <c r="O1165" i="12" a="1"/>
  <c r="O1166" i="12" a="1"/>
  <c r="O1167" i="12" a="1"/>
  <c r="O1168" i="12" a="1"/>
  <c r="O1169" i="12" a="1"/>
  <c r="O1170" i="12" a="1"/>
  <c r="O1171" i="12" a="1"/>
  <c r="O1136" i="12" a="1"/>
  <c r="O1137" i="12" a="1"/>
  <c r="O1138" i="12" a="1"/>
  <c r="O1139" i="12" a="1"/>
  <c r="O1140" i="12" a="1"/>
  <c r="O1141" i="12" a="1"/>
  <c r="O1142" i="12" a="1"/>
  <c r="O1143" i="12" a="1"/>
  <c r="O1144" i="12" a="1"/>
  <c r="O1145" i="12" a="1"/>
  <c r="O1146" i="12" a="1"/>
  <c r="O1147" i="12" a="1"/>
  <c r="O1148" i="12" a="1"/>
  <c r="O1149" i="12" a="1"/>
  <c r="O1150" i="12" a="1"/>
  <c r="O1151" i="12" a="1"/>
  <c r="O1152" i="12" a="1"/>
  <c r="O1153" i="12" a="1"/>
  <c r="O1082" i="12" a="1"/>
  <c r="O1083" i="12" a="1"/>
  <c r="O1084" i="12" a="1"/>
  <c r="O1085" i="12" a="1"/>
  <c r="O1086" i="12" a="1"/>
  <c r="O1087" i="12" a="1"/>
  <c r="O1088" i="12" a="1"/>
  <c r="O1089" i="12" a="1"/>
  <c r="O1090" i="12" a="1"/>
  <c r="O1091" i="12" a="1"/>
  <c r="O1092" i="12" a="1"/>
  <c r="O1093" i="12" a="1"/>
  <c r="O1094" i="12" a="1"/>
  <c r="O1095" i="12" a="1"/>
  <c r="O1096" i="12" a="1"/>
  <c r="O1097" i="12" a="1"/>
  <c r="O1098" i="12" a="1"/>
  <c r="O1099" i="12" a="1"/>
  <c r="O1100" i="12" a="1"/>
  <c r="O1101" i="12" a="1"/>
  <c r="O1102" i="12" a="1"/>
  <c r="O1103" i="12" a="1"/>
  <c r="O1104" i="12" a="1"/>
  <c r="O1105" i="12" a="1"/>
  <c r="O1106" i="12" a="1"/>
  <c r="O1107" i="12" a="1"/>
  <c r="O1108" i="12" a="1"/>
  <c r="O1109" i="12" a="1"/>
  <c r="O1110" i="12" a="1"/>
  <c r="O1111" i="12" a="1"/>
  <c r="O1112" i="12" a="1"/>
  <c r="O1113" i="12" a="1"/>
  <c r="O1114" i="12" a="1"/>
  <c r="O1115" i="12" a="1"/>
  <c r="O1116" i="12" a="1"/>
  <c r="O1117" i="12" a="1"/>
  <c r="O1118" i="12" a="1"/>
  <c r="O1119" i="12" a="1"/>
  <c r="O1120" i="12" a="1"/>
  <c r="O1121" i="12" a="1"/>
  <c r="O1122" i="12" a="1"/>
  <c r="O1123" i="12" a="1"/>
  <c r="O1124" i="12" a="1"/>
  <c r="O1125" i="12" a="1"/>
  <c r="O1126" i="12" a="1"/>
  <c r="O1127" i="12" a="1"/>
  <c r="O1128" i="12" a="1"/>
  <c r="O1129" i="12" a="1"/>
  <c r="O1130" i="12" a="1"/>
  <c r="O1131" i="12" a="1"/>
  <c r="O1132" i="12" a="1"/>
  <c r="O1133" i="12" a="1"/>
  <c r="O1134" i="12" a="1"/>
  <c r="O1135" i="12" a="1"/>
  <c r="O848" i="12" a="1"/>
  <c r="O849" i="12" a="1"/>
  <c r="O850" i="12" a="1"/>
  <c r="O851" i="12" a="1"/>
  <c r="O852" i="12" a="1"/>
  <c r="O853" i="12" a="1"/>
  <c r="O854" i="12" a="1"/>
  <c r="O855" i="12" a="1"/>
  <c r="O856" i="12" a="1"/>
  <c r="O857" i="12" a="1"/>
  <c r="O858" i="12" a="1"/>
  <c r="O859" i="12" a="1"/>
  <c r="O860" i="12" a="1"/>
  <c r="O861" i="12" a="1"/>
  <c r="O862" i="12" a="1"/>
  <c r="O863" i="12" a="1"/>
  <c r="O864" i="12" a="1"/>
  <c r="O865" i="12" a="1"/>
  <c r="O866" i="12" a="1"/>
  <c r="O867" i="12" a="1"/>
  <c r="O868" i="12" a="1"/>
  <c r="O869" i="12" a="1"/>
  <c r="O870" i="12" a="1"/>
  <c r="O871" i="12" a="1"/>
  <c r="O872" i="12" a="1"/>
  <c r="O873" i="12" a="1"/>
  <c r="O874" i="12" a="1"/>
  <c r="O875" i="12" a="1"/>
  <c r="O876" i="12" a="1"/>
  <c r="O877" i="12" a="1"/>
  <c r="O878" i="12" a="1"/>
  <c r="O879" i="12" a="1"/>
  <c r="O880" i="12" a="1"/>
  <c r="O881" i="12" a="1"/>
  <c r="O882" i="12" a="1"/>
  <c r="O883" i="12" a="1"/>
  <c r="O884" i="12" a="1"/>
  <c r="O885" i="12" a="1"/>
  <c r="O886" i="12" a="1"/>
  <c r="O887" i="12" a="1"/>
  <c r="O888" i="12" a="1"/>
  <c r="O889" i="12" a="1"/>
  <c r="O890" i="12" a="1"/>
  <c r="O891" i="12" a="1"/>
  <c r="O892" i="12" a="1"/>
  <c r="O893" i="12" a="1"/>
  <c r="O894" i="12" a="1"/>
  <c r="O895" i="12" a="1"/>
  <c r="O896" i="12" a="1"/>
  <c r="O897" i="12" a="1"/>
  <c r="O898" i="12" a="1"/>
  <c r="O899" i="12" a="1"/>
  <c r="O900" i="12" a="1"/>
  <c r="O901" i="12" a="1"/>
  <c r="O902" i="12" a="1"/>
  <c r="O903" i="12" a="1"/>
  <c r="O904" i="12" a="1"/>
  <c r="O905" i="12" a="1"/>
  <c r="O906" i="12" a="1"/>
  <c r="O907" i="12" a="1"/>
  <c r="O908" i="12" a="1"/>
  <c r="O909" i="12" a="1"/>
  <c r="O910" i="12" a="1"/>
  <c r="O911" i="12" a="1"/>
  <c r="O912" i="12" a="1"/>
  <c r="O913" i="12" a="1"/>
  <c r="O914" i="12" a="1"/>
  <c r="O915" i="12" a="1"/>
  <c r="O916" i="12" a="1"/>
  <c r="O917" i="12" a="1"/>
  <c r="O918" i="12" a="1"/>
  <c r="O919" i="12" a="1"/>
  <c r="O920" i="12" a="1"/>
  <c r="O921" i="12" a="1"/>
  <c r="O922" i="12" a="1"/>
  <c r="O923" i="12" a="1"/>
  <c r="O924" i="12" a="1"/>
  <c r="O925" i="12" a="1"/>
  <c r="O926" i="12" a="1"/>
  <c r="O927" i="12" a="1"/>
  <c r="O928" i="12" a="1"/>
  <c r="O929" i="12" a="1"/>
  <c r="O930" i="12" a="1"/>
  <c r="O931" i="12" a="1"/>
  <c r="O932" i="12" a="1"/>
  <c r="O933" i="12" a="1"/>
  <c r="O934" i="12" a="1"/>
  <c r="O935" i="12" a="1"/>
  <c r="O936" i="12" a="1"/>
  <c r="O937" i="12" a="1"/>
  <c r="O938" i="12" a="1"/>
  <c r="O939" i="12" a="1"/>
  <c r="O940" i="12" a="1"/>
  <c r="O941" i="12" a="1"/>
  <c r="O942" i="12" a="1"/>
  <c r="O943" i="12" a="1"/>
  <c r="O944" i="12" a="1"/>
  <c r="O945" i="12" a="1"/>
  <c r="O946" i="12" a="1"/>
  <c r="O947" i="12" a="1"/>
  <c r="O948" i="12" a="1"/>
  <c r="O949" i="12" a="1"/>
  <c r="O950" i="12" a="1"/>
  <c r="O951" i="12" a="1"/>
  <c r="O952" i="12" a="1"/>
  <c r="O953" i="12" a="1"/>
  <c r="O954" i="12" a="1"/>
  <c r="O955" i="12" a="1"/>
  <c r="O956" i="12" a="1"/>
  <c r="O957" i="12" a="1"/>
  <c r="O958" i="12" a="1"/>
  <c r="O959" i="12" a="1"/>
  <c r="O960" i="12" a="1"/>
  <c r="O961" i="12" a="1"/>
  <c r="O962" i="12" a="1"/>
  <c r="O963" i="12" a="1"/>
  <c r="O964" i="12" a="1"/>
  <c r="O965" i="12" a="1"/>
  <c r="O966" i="12" a="1"/>
  <c r="O967" i="12" a="1"/>
  <c r="O968" i="12" a="1"/>
  <c r="O969" i="12" a="1"/>
  <c r="O970" i="12" a="1"/>
  <c r="O971" i="12" a="1"/>
  <c r="O972" i="12" a="1"/>
  <c r="O973" i="12" a="1"/>
  <c r="O974" i="12" a="1"/>
  <c r="O975" i="12" a="1"/>
  <c r="O976" i="12" a="1"/>
  <c r="O977" i="12" a="1"/>
  <c r="O978" i="12" a="1"/>
  <c r="O979" i="12" a="1"/>
  <c r="O980" i="12" a="1"/>
  <c r="O981" i="12" a="1"/>
  <c r="O982" i="12" a="1"/>
  <c r="O983" i="12" a="1"/>
  <c r="O984" i="12" a="1"/>
  <c r="O985" i="12" a="1"/>
  <c r="O986" i="12" a="1"/>
  <c r="O987" i="12" a="1"/>
  <c r="O988" i="12" a="1"/>
  <c r="O989" i="12" a="1"/>
  <c r="O990" i="12" a="1"/>
  <c r="O991" i="12" a="1"/>
  <c r="O992" i="12" a="1"/>
  <c r="O993" i="12" a="1"/>
  <c r="O994" i="12" a="1"/>
  <c r="O995" i="12" a="1"/>
  <c r="O996" i="12" a="1"/>
  <c r="O997" i="12" a="1"/>
  <c r="O998" i="12" a="1"/>
  <c r="O999" i="12" a="1"/>
  <c r="O1000" i="12" a="1"/>
  <c r="O1001" i="12" a="1"/>
  <c r="O1002" i="12" a="1"/>
  <c r="O1003" i="12" a="1"/>
  <c r="O1004" i="12" a="1"/>
  <c r="O1005" i="12" a="1"/>
  <c r="O1006" i="12" a="1"/>
  <c r="O1007" i="12" a="1"/>
  <c r="O1008" i="12" a="1"/>
  <c r="O1009" i="12" a="1"/>
  <c r="O1010" i="12" a="1"/>
  <c r="O1011" i="12" a="1"/>
  <c r="O1012" i="12" a="1"/>
  <c r="O1013" i="12" a="1"/>
  <c r="O1014" i="12" a="1"/>
  <c r="O1015" i="12" a="1"/>
  <c r="O1016" i="12" a="1"/>
  <c r="O1017" i="12" a="1"/>
  <c r="O1018" i="12" a="1"/>
  <c r="O1019" i="12" a="1"/>
  <c r="O1020" i="12" a="1"/>
  <c r="O1021" i="12" a="1"/>
  <c r="O1022" i="12" a="1"/>
  <c r="O1023" i="12" a="1"/>
  <c r="O1024" i="12" a="1"/>
  <c r="O1025" i="12" a="1"/>
  <c r="O1026" i="12" a="1"/>
  <c r="O1027" i="12" a="1"/>
  <c r="O1028" i="12" a="1"/>
  <c r="O1029" i="12" a="1"/>
  <c r="O1030" i="12" a="1"/>
  <c r="O1031" i="12" a="1"/>
  <c r="O1032" i="12" a="1"/>
  <c r="O1033" i="12" a="1"/>
  <c r="O1034" i="12" a="1"/>
  <c r="O1035" i="12" a="1"/>
  <c r="O1036" i="12" a="1"/>
  <c r="O1037" i="12" a="1"/>
  <c r="O1038" i="12" a="1"/>
  <c r="O1039" i="12" a="1"/>
  <c r="O1040" i="12" a="1"/>
  <c r="O1041" i="12" a="1"/>
  <c r="O1042" i="12" a="1"/>
  <c r="O1043" i="12" a="1"/>
  <c r="O1044" i="12" a="1"/>
  <c r="O1045" i="12" a="1"/>
  <c r="O1046" i="12" a="1"/>
  <c r="O1047" i="12" a="1"/>
  <c r="O1048" i="12" a="1"/>
  <c r="O1049" i="12" a="1"/>
  <c r="O1050" i="12" a="1"/>
  <c r="O1051" i="12" a="1"/>
  <c r="O1052" i="12" a="1"/>
  <c r="O1053" i="12" a="1"/>
  <c r="O1054" i="12" a="1"/>
  <c r="O1055" i="12" a="1"/>
  <c r="O1056" i="12" a="1"/>
  <c r="O1057" i="12" a="1"/>
  <c r="O1058" i="12" a="1"/>
  <c r="O1059" i="12" a="1"/>
  <c r="O1060" i="12" a="1"/>
  <c r="O1061" i="12" a="1"/>
  <c r="O1062" i="12" a="1"/>
  <c r="O1063" i="12" a="1"/>
  <c r="O1064" i="12" a="1"/>
  <c r="O1065" i="12" a="1"/>
  <c r="O1066" i="12" a="1"/>
  <c r="O1067" i="12" a="1"/>
  <c r="O1068" i="12" a="1"/>
  <c r="O1069" i="12" a="1"/>
  <c r="O1070" i="12" a="1"/>
  <c r="O1071" i="12" a="1"/>
  <c r="O1072" i="12" a="1"/>
  <c r="O1073" i="12" a="1"/>
  <c r="O1074" i="12" a="1"/>
  <c r="O1075" i="12" a="1"/>
  <c r="O1076" i="12" a="1"/>
  <c r="O1077" i="12" a="1"/>
  <c r="O1078" i="12" a="1"/>
  <c r="O1079" i="12" a="1"/>
  <c r="O1080" i="12" a="1"/>
  <c r="O1081" i="12" a="1"/>
  <c r="O830" i="12" a="1"/>
  <c r="O831" i="12" a="1"/>
  <c r="O832" i="12" a="1"/>
  <c r="O833" i="12" a="1"/>
  <c r="O834" i="12" a="1"/>
  <c r="O835" i="12" a="1"/>
  <c r="O836" i="12" a="1"/>
  <c r="O837" i="12" a="1"/>
  <c r="O838" i="12" a="1"/>
  <c r="O839" i="12" a="1"/>
  <c r="O840" i="12" a="1"/>
  <c r="O841" i="12" a="1"/>
  <c r="O842" i="12" a="1"/>
  <c r="O843" i="12" a="1"/>
  <c r="O844" i="12" a="1"/>
  <c r="O845" i="12" a="1"/>
  <c r="O846" i="12" a="1"/>
  <c r="O847" i="12" a="1"/>
  <c r="O758" i="12" a="1"/>
  <c r="O759" i="12" a="1"/>
  <c r="O760" i="12" a="1"/>
  <c r="O761" i="12" a="1"/>
  <c r="O762" i="12" a="1"/>
  <c r="O763" i="12" a="1"/>
  <c r="O764" i="12" a="1"/>
  <c r="O765" i="12" a="1"/>
  <c r="O766" i="12" a="1"/>
  <c r="O767" i="12" a="1"/>
  <c r="O768" i="12" a="1"/>
  <c r="O769" i="12" a="1"/>
  <c r="O770" i="12" a="1"/>
  <c r="O771" i="12" a="1"/>
  <c r="O772" i="12" a="1"/>
  <c r="O773" i="12" a="1"/>
  <c r="O774" i="12" a="1"/>
  <c r="O775" i="12" a="1"/>
  <c r="O776" i="12" a="1"/>
  <c r="O777" i="12" a="1"/>
  <c r="O778" i="12" a="1"/>
  <c r="O779" i="12" a="1"/>
  <c r="O780" i="12" a="1"/>
  <c r="O781" i="12" a="1"/>
  <c r="O782" i="12" a="1"/>
  <c r="O783" i="12" a="1"/>
  <c r="O784" i="12" a="1"/>
  <c r="O785" i="12" a="1"/>
  <c r="O786" i="12" a="1"/>
  <c r="O787" i="12" a="1"/>
  <c r="O788" i="12" a="1"/>
  <c r="O789" i="12" a="1"/>
  <c r="O790" i="12" a="1"/>
  <c r="O791" i="12" a="1"/>
  <c r="O792" i="12" a="1"/>
  <c r="O793" i="12" a="1"/>
  <c r="O794" i="12" a="1"/>
  <c r="O795" i="12" a="1"/>
  <c r="O796" i="12" a="1"/>
  <c r="O797" i="12" a="1"/>
  <c r="O798" i="12" a="1"/>
  <c r="O799" i="12" a="1"/>
  <c r="O800" i="12" a="1"/>
  <c r="O801" i="12" a="1"/>
  <c r="O802" i="12" a="1"/>
  <c r="O803" i="12" a="1"/>
  <c r="O804" i="12" a="1"/>
  <c r="O805" i="12" a="1"/>
  <c r="O806" i="12" a="1"/>
  <c r="O807" i="12" a="1"/>
  <c r="O808" i="12" a="1"/>
  <c r="O809" i="12" a="1"/>
  <c r="O810" i="12" a="1"/>
  <c r="O811" i="12" a="1"/>
  <c r="O812" i="12" a="1"/>
  <c r="O813" i="12" a="1"/>
  <c r="O814" i="12" a="1"/>
  <c r="O815" i="12" a="1"/>
  <c r="O816" i="12" a="1"/>
  <c r="O817" i="12" a="1"/>
  <c r="O818" i="12" a="1"/>
  <c r="O819" i="12" a="1"/>
  <c r="O820" i="12" a="1"/>
  <c r="O821" i="12" a="1"/>
  <c r="O822" i="12" a="1"/>
  <c r="O823" i="12" a="1"/>
  <c r="O824" i="12" a="1"/>
  <c r="O825" i="12" a="1"/>
  <c r="O826" i="12" a="1"/>
  <c r="O827" i="12" a="1"/>
  <c r="O828" i="12" a="1"/>
  <c r="O829" i="12" a="1"/>
  <c r="O2" i="12" a="1"/>
  <c r="O3" i="12" a="1"/>
  <c r="O4" i="12" a="1"/>
  <c r="O5" i="12" a="1"/>
  <c r="O6" i="12" a="1"/>
  <c r="O7" i="12" a="1"/>
  <c r="O8" i="12" a="1"/>
  <c r="O9" i="12" a="1"/>
  <c r="O10" i="12" a="1"/>
  <c r="O11" i="12" a="1"/>
  <c r="O12" i="12" a="1"/>
  <c r="O13" i="12" a="1"/>
  <c r="O14" i="12" a="1"/>
  <c r="O15" i="12" a="1"/>
  <c r="O16" i="12" a="1"/>
  <c r="O17" i="12" a="1"/>
  <c r="O18" i="12" a="1"/>
  <c r="O19" i="12" a="1"/>
  <c r="O20" i="12" a="1"/>
  <c r="O21" i="12" a="1"/>
  <c r="O22" i="12" a="1"/>
  <c r="O23" i="12" a="1"/>
  <c r="O24" i="12" a="1"/>
  <c r="O25" i="12" a="1"/>
  <c r="O26" i="12" a="1"/>
  <c r="O27" i="12" a="1"/>
  <c r="O28" i="12" a="1"/>
  <c r="O29" i="12" a="1"/>
  <c r="O30" i="12" a="1"/>
  <c r="O31" i="12" a="1"/>
  <c r="O32" i="12" a="1"/>
  <c r="O33" i="12" a="1"/>
  <c r="O34" i="12" a="1"/>
  <c r="O35" i="12" a="1"/>
  <c r="O36" i="12" a="1"/>
  <c r="O37" i="12" a="1"/>
  <c r="O38" i="12" a="1"/>
  <c r="O39" i="12" a="1"/>
  <c r="O40" i="12" a="1"/>
  <c r="O41" i="12" a="1"/>
  <c r="O42" i="12" a="1"/>
  <c r="O43" i="12" a="1"/>
  <c r="O44" i="12" a="1"/>
  <c r="O45" i="12" a="1"/>
  <c r="O46" i="12" a="1"/>
  <c r="O47" i="12" a="1"/>
  <c r="O48" i="12" a="1"/>
  <c r="O49" i="12" a="1"/>
  <c r="O50" i="12" a="1"/>
  <c r="O51" i="12" a="1"/>
  <c r="O52" i="12" a="1"/>
  <c r="O53" i="12" a="1"/>
  <c r="O54" i="12" a="1"/>
  <c r="O55" i="12" a="1"/>
  <c r="O56" i="12" a="1"/>
  <c r="O57" i="12" a="1"/>
  <c r="O58" i="12" a="1"/>
  <c r="O59" i="12" a="1"/>
  <c r="O60" i="12" a="1"/>
  <c r="O61" i="12" a="1"/>
  <c r="O62" i="12" a="1"/>
  <c r="O63" i="12" a="1"/>
  <c r="O64" i="12" a="1"/>
  <c r="O65" i="12" a="1"/>
  <c r="O66" i="12" a="1"/>
  <c r="O67" i="12" a="1"/>
  <c r="O68" i="12" a="1"/>
  <c r="O69" i="12" a="1"/>
  <c r="O70" i="12" a="1"/>
  <c r="O71" i="12" a="1"/>
  <c r="O72" i="12" a="1"/>
  <c r="O73" i="12" a="1"/>
  <c r="O74" i="12" a="1"/>
  <c r="O75" i="12" a="1"/>
  <c r="O76" i="12" a="1"/>
  <c r="O77" i="12" a="1"/>
  <c r="O78" i="12" a="1"/>
  <c r="O79" i="12" a="1"/>
  <c r="O80" i="12" a="1"/>
  <c r="O81" i="12" a="1"/>
  <c r="O82" i="12" a="1"/>
  <c r="O83" i="12" a="1"/>
  <c r="O84" i="12" a="1"/>
  <c r="O85" i="12" a="1"/>
  <c r="O86" i="12" a="1"/>
  <c r="O87" i="12" a="1"/>
  <c r="O88" i="12" a="1"/>
  <c r="O89" i="12" a="1"/>
  <c r="O90" i="12" a="1"/>
  <c r="O91" i="12" a="1"/>
  <c r="O92" i="12" a="1"/>
  <c r="O93" i="12" a="1"/>
  <c r="O94" i="12" a="1"/>
  <c r="O95" i="12" a="1"/>
  <c r="O96" i="12" a="1"/>
  <c r="O97" i="12" a="1"/>
  <c r="O98" i="12" a="1"/>
  <c r="O99" i="12" a="1"/>
  <c r="O100" i="12" a="1"/>
  <c r="O101" i="12" a="1"/>
  <c r="O102" i="12" a="1"/>
  <c r="O103" i="12" a="1"/>
  <c r="O104" i="12" a="1"/>
  <c r="O105" i="12" a="1"/>
  <c r="O106" i="12" a="1"/>
  <c r="O107" i="12" a="1"/>
  <c r="O108" i="12" a="1"/>
  <c r="O109" i="12" a="1"/>
  <c r="O110" i="12" a="1"/>
  <c r="O111" i="12" a="1"/>
  <c r="O112" i="12" a="1"/>
  <c r="O113" i="12" a="1"/>
  <c r="O114" i="12" a="1"/>
  <c r="O115" i="12" a="1"/>
  <c r="O116" i="12" a="1"/>
  <c r="O117" i="12" a="1"/>
  <c r="O118" i="12" a="1"/>
  <c r="O119" i="12" a="1"/>
  <c r="O120" i="12" a="1"/>
  <c r="O121" i="12" a="1"/>
  <c r="O122" i="12" a="1"/>
  <c r="O123" i="12" a="1"/>
  <c r="O124" i="12" a="1"/>
  <c r="O125" i="12" a="1"/>
  <c r="O126" i="12" a="1"/>
  <c r="O127" i="12" a="1"/>
  <c r="O128" i="12" a="1"/>
  <c r="O129" i="12" a="1"/>
  <c r="O130" i="12" a="1"/>
  <c r="O131" i="12" a="1"/>
  <c r="O132" i="12" a="1"/>
  <c r="O133" i="12" a="1"/>
  <c r="O134" i="12" a="1"/>
  <c r="O135" i="12" a="1"/>
  <c r="O136" i="12" a="1"/>
  <c r="O137" i="12" a="1"/>
  <c r="O138" i="12" a="1"/>
  <c r="O139" i="12" a="1"/>
  <c r="O140" i="12" a="1"/>
  <c r="O141" i="12" a="1"/>
  <c r="O142" i="12" a="1"/>
  <c r="O143" i="12" a="1"/>
  <c r="O144" i="12" a="1"/>
  <c r="O145" i="12" a="1"/>
  <c r="O146" i="12" a="1"/>
  <c r="O147" i="12" a="1"/>
  <c r="O148" i="12" a="1"/>
  <c r="O149" i="12" a="1"/>
  <c r="O150" i="12" a="1"/>
  <c r="O151" i="12" a="1"/>
  <c r="O152" i="12" a="1"/>
  <c r="O153" i="12" a="1"/>
  <c r="O154" i="12" a="1"/>
  <c r="O155" i="12" a="1"/>
  <c r="O156" i="12" a="1"/>
  <c r="O157" i="12" a="1"/>
  <c r="O158" i="12" a="1"/>
  <c r="O159" i="12" a="1"/>
  <c r="O160" i="12" a="1"/>
  <c r="O161" i="12" a="1"/>
  <c r="O162" i="12" a="1"/>
  <c r="O163" i="12" a="1"/>
  <c r="O164" i="12" a="1"/>
  <c r="O165" i="12" a="1"/>
  <c r="O166" i="12" a="1"/>
  <c r="O167" i="12" a="1"/>
  <c r="O168" i="12" a="1"/>
  <c r="O169" i="12" a="1"/>
  <c r="O170" i="12" a="1"/>
  <c r="O171" i="12" a="1"/>
  <c r="O172" i="12" a="1"/>
  <c r="O173" i="12" a="1"/>
  <c r="O174" i="12" a="1"/>
  <c r="O175" i="12" a="1"/>
  <c r="O176" i="12" a="1"/>
  <c r="O177" i="12" a="1"/>
  <c r="O178" i="12" a="1"/>
  <c r="O179" i="12" a="1"/>
  <c r="O180" i="12" a="1"/>
  <c r="O181" i="12" a="1"/>
  <c r="O182" i="12" a="1"/>
  <c r="O183" i="12" a="1"/>
  <c r="O184" i="12" a="1"/>
  <c r="O185" i="12" a="1"/>
  <c r="O186" i="12" a="1"/>
  <c r="O187" i="12" a="1"/>
  <c r="O188" i="12" a="1"/>
  <c r="O189" i="12" a="1"/>
  <c r="O190" i="12" a="1"/>
  <c r="O191" i="12" a="1"/>
  <c r="O192" i="12" a="1"/>
  <c r="O193" i="12" a="1"/>
  <c r="O194" i="12" a="1"/>
  <c r="O195" i="12" a="1"/>
  <c r="O196" i="12" a="1"/>
  <c r="O197" i="12" a="1"/>
  <c r="O198" i="12" a="1"/>
  <c r="O199" i="12" a="1"/>
  <c r="O200" i="12" a="1"/>
  <c r="O201" i="12" a="1"/>
  <c r="O202" i="12" a="1"/>
  <c r="O203" i="12" a="1"/>
  <c r="O204" i="12" a="1"/>
  <c r="O205" i="12" a="1"/>
  <c r="O206" i="12" a="1"/>
  <c r="O207" i="12" a="1"/>
  <c r="O208" i="12" a="1"/>
  <c r="O209" i="12" a="1"/>
  <c r="O210" i="12" a="1"/>
  <c r="O211" i="12" a="1"/>
  <c r="O212" i="12" a="1"/>
  <c r="O213" i="12" a="1"/>
  <c r="O214" i="12" a="1"/>
  <c r="O215" i="12" a="1"/>
  <c r="O216" i="12" a="1"/>
  <c r="O217" i="12" a="1"/>
  <c r="O218" i="12" a="1"/>
  <c r="O219" i="12" a="1"/>
  <c r="O220" i="12" a="1"/>
  <c r="O221" i="12" a="1"/>
  <c r="O222" i="12" a="1"/>
  <c r="O223" i="12" a="1"/>
  <c r="O224" i="12" a="1"/>
  <c r="O225" i="12" a="1"/>
  <c r="O226" i="12" a="1"/>
  <c r="O227" i="12" a="1"/>
  <c r="O228" i="12" a="1"/>
  <c r="O229" i="12" a="1"/>
  <c r="O230" i="12" a="1"/>
  <c r="O231" i="12" a="1"/>
  <c r="O232" i="12" a="1"/>
  <c r="O233" i="12" a="1"/>
  <c r="O234" i="12" a="1"/>
  <c r="O235" i="12" a="1"/>
  <c r="O236" i="12" a="1"/>
  <c r="O237" i="12" a="1"/>
  <c r="O238" i="12" a="1"/>
  <c r="O239" i="12" a="1"/>
  <c r="O240" i="12" a="1"/>
  <c r="O241" i="12" a="1"/>
  <c r="O242" i="12" a="1"/>
  <c r="O243" i="12" a="1"/>
  <c r="O244" i="12" a="1"/>
  <c r="O245" i="12" a="1"/>
  <c r="O246" i="12" a="1"/>
  <c r="O247" i="12" a="1"/>
  <c r="O248" i="12" a="1"/>
  <c r="O249" i="12" a="1"/>
  <c r="O250" i="12" a="1"/>
  <c r="O251" i="12" a="1"/>
  <c r="O252" i="12" a="1"/>
  <c r="O253" i="12" a="1"/>
  <c r="O254" i="12" a="1"/>
  <c r="O255" i="12" a="1"/>
  <c r="O256" i="12" a="1"/>
  <c r="O257" i="12" a="1"/>
  <c r="O258" i="12" a="1"/>
  <c r="O259" i="12" a="1"/>
  <c r="O260" i="12" a="1"/>
  <c r="O261" i="12" a="1"/>
  <c r="O262" i="12" a="1"/>
  <c r="O263" i="12" a="1"/>
  <c r="O264" i="12" a="1"/>
  <c r="O265" i="12" a="1"/>
  <c r="O266" i="12" a="1"/>
  <c r="O267" i="12" a="1"/>
  <c r="O268" i="12" a="1"/>
  <c r="O269" i="12" a="1"/>
  <c r="O270" i="12" a="1"/>
  <c r="O271" i="12" a="1"/>
  <c r="O272" i="12" a="1"/>
  <c r="O273" i="12" a="1"/>
  <c r="O274" i="12" a="1"/>
  <c r="O275" i="12" a="1"/>
  <c r="O276" i="12" a="1"/>
  <c r="O277" i="12" a="1"/>
  <c r="O278" i="12" a="1"/>
  <c r="O279" i="12" a="1"/>
  <c r="O280" i="12" a="1"/>
  <c r="O281" i="12" a="1"/>
  <c r="O282" i="12" a="1"/>
  <c r="O283" i="12" a="1"/>
  <c r="O284" i="12" a="1"/>
  <c r="O285" i="12" a="1"/>
  <c r="O286" i="12" a="1"/>
  <c r="O287" i="12" a="1"/>
  <c r="O288" i="12" a="1"/>
  <c r="O289" i="12" a="1"/>
  <c r="O290" i="12" a="1"/>
  <c r="O291" i="12" a="1"/>
  <c r="O292" i="12" a="1"/>
  <c r="O293" i="12" a="1"/>
  <c r="O294" i="12" a="1"/>
  <c r="O295" i="12" a="1"/>
  <c r="O296" i="12" a="1"/>
  <c r="O297" i="12" a="1"/>
  <c r="O298" i="12" a="1"/>
  <c r="O299" i="12" a="1"/>
  <c r="O300" i="12" a="1"/>
  <c r="O301" i="12" a="1"/>
  <c r="O302" i="12" a="1"/>
  <c r="O303" i="12" a="1"/>
  <c r="O304" i="12" a="1"/>
  <c r="O305" i="12" a="1"/>
  <c r="O306" i="12" a="1"/>
  <c r="O307" i="12" a="1"/>
  <c r="O308" i="12" a="1"/>
  <c r="O309" i="12" a="1"/>
  <c r="O310" i="12" a="1"/>
  <c r="O311" i="12" a="1"/>
  <c r="O312" i="12" a="1"/>
  <c r="O313" i="12" a="1"/>
  <c r="O314" i="12" a="1"/>
  <c r="O315" i="12" a="1"/>
  <c r="O316" i="12" a="1"/>
  <c r="O317" i="12" a="1"/>
  <c r="O318" i="12" a="1"/>
  <c r="O319" i="12" a="1"/>
  <c r="O320" i="12" a="1"/>
  <c r="O321" i="12" a="1"/>
  <c r="O322" i="12" a="1"/>
  <c r="O323" i="12" a="1"/>
  <c r="O324" i="12" a="1"/>
  <c r="O325" i="12" a="1"/>
  <c r="O326" i="12" a="1"/>
  <c r="O327" i="12" a="1"/>
  <c r="O328" i="12" a="1"/>
  <c r="O329" i="12" a="1"/>
  <c r="O330" i="12" a="1"/>
  <c r="O331" i="12" a="1"/>
  <c r="O332" i="12" a="1"/>
  <c r="O333" i="12" a="1"/>
  <c r="O334" i="12" a="1"/>
  <c r="O335" i="12" a="1"/>
  <c r="O336" i="12" a="1"/>
  <c r="O337" i="12" a="1"/>
  <c r="O338" i="12" a="1"/>
  <c r="O339" i="12" a="1"/>
  <c r="O340" i="12" a="1"/>
  <c r="O341" i="12" a="1"/>
  <c r="O342" i="12" a="1"/>
  <c r="O343" i="12" a="1"/>
  <c r="O344" i="12" a="1"/>
  <c r="O345" i="12" a="1"/>
  <c r="O346" i="12" a="1"/>
  <c r="O347" i="12" a="1"/>
  <c r="O348" i="12" a="1"/>
  <c r="O349" i="12" a="1"/>
  <c r="O350" i="12" a="1"/>
  <c r="O351" i="12" a="1"/>
  <c r="O352" i="12" a="1"/>
  <c r="O353" i="12" a="1"/>
  <c r="O354" i="12" a="1"/>
  <c r="O355" i="12" a="1"/>
  <c r="O356" i="12" a="1"/>
  <c r="O357" i="12" a="1"/>
  <c r="O358" i="12" a="1"/>
  <c r="O359" i="12" a="1"/>
  <c r="O360" i="12" a="1"/>
  <c r="O361" i="12" a="1"/>
  <c r="O362" i="12" a="1"/>
  <c r="O363" i="12" a="1"/>
  <c r="O364" i="12" a="1"/>
  <c r="O365" i="12" a="1"/>
  <c r="O366" i="12" a="1"/>
  <c r="O367" i="12" a="1"/>
  <c r="O368" i="12" a="1"/>
  <c r="O369" i="12" a="1"/>
  <c r="O370" i="12" a="1"/>
  <c r="O371" i="12" a="1"/>
  <c r="O372" i="12" a="1"/>
  <c r="O373" i="12" a="1"/>
  <c r="O374" i="12" a="1"/>
  <c r="O375" i="12" a="1"/>
  <c r="O376" i="12" a="1"/>
  <c r="O377" i="12" a="1"/>
  <c r="O378" i="12" a="1"/>
  <c r="O379" i="12" a="1"/>
  <c r="O380" i="12" a="1"/>
  <c r="O381" i="12" a="1"/>
  <c r="O382" i="12" a="1"/>
  <c r="O383" i="12" a="1"/>
  <c r="O384" i="12" a="1"/>
  <c r="O385" i="12" a="1"/>
  <c r="O386" i="12" a="1"/>
  <c r="O387" i="12" a="1"/>
  <c r="O388" i="12" a="1"/>
  <c r="O389" i="12" a="1"/>
  <c r="O390" i="12" a="1"/>
  <c r="O391" i="12" a="1"/>
  <c r="O392" i="12" a="1"/>
  <c r="O393" i="12" a="1"/>
  <c r="O394" i="12" a="1"/>
  <c r="O395" i="12" a="1"/>
  <c r="O396" i="12" a="1"/>
  <c r="O397" i="12" a="1"/>
  <c r="O398" i="12" a="1"/>
  <c r="O399" i="12" a="1"/>
  <c r="O400" i="12" a="1"/>
  <c r="O401" i="12" a="1"/>
  <c r="O402" i="12" a="1"/>
  <c r="O403" i="12" a="1"/>
  <c r="O404" i="12" a="1"/>
  <c r="O405" i="12" a="1"/>
  <c r="O406" i="12" a="1"/>
  <c r="O407" i="12" a="1"/>
  <c r="O408" i="12" a="1"/>
  <c r="O409" i="12" a="1"/>
  <c r="O410" i="12" a="1"/>
  <c r="O411" i="12" a="1"/>
  <c r="O412" i="12" a="1"/>
  <c r="O413" i="12" a="1"/>
  <c r="O414" i="12" a="1"/>
  <c r="O415" i="12" a="1"/>
  <c r="O416" i="12" a="1"/>
  <c r="O417" i="12" a="1"/>
  <c r="O418" i="12" a="1"/>
  <c r="O419" i="12" a="1"/>
  <c r="O420" i="12" a="1"/>
  <c r="O421" i="12" a="1"/>
  <c r="O422" i="12" a="1"/>
  <c r="O423" i="12" a="1"/>
  <c r="O424" i="12" a="1"/>
  <c r="O425" i="12" a="1"/>
  <c r="O426" i="12" a="1"/>
  <c r="O427" i="12" a="1"/>
  <c r="O428" i="12" a="1"/>
  <c r="O429" i="12" a="1"/>
  <c r="O430" i="12" a="1"/>
  <c r="O431" i="12" a="1"/>
  <c r="O432" i="12" a="1"/>
  <c r="O433" i="12" a="1"/>
  <c r="O434" i="12" a="1"/>
  <c r="O435" i="12" a="1"/>
  <c r="O436" i="12" a="1"/>
  <c r="O437" i="12" a="1"/>
  <c r="O438" i="12" a="1"/>
  <c r="O439" i="12" a="1"/>
  <c r="O440" i="12" a="1"/>
  <c r="O441" i="12" a="1"/>
  <c r="O442" i="12" a="1"/>
  <c r="O443" i="12" a="1"/>
  <c r="O444" i="12" a="1"/>
  <c r="O445" i="12" a="1"/>
  <c r="O446" i="12" a="1"/>
  <c r="O447" i="12" a="1"/>
  <c r="O448" i="12" a="1"/>
  <c r="O449" i="12" a="1"/>
  <c r="O450" i="12" a="1"/>
  <c r="O451" i="12" a="1"/>
  <c r="O452" i="12" a="1"/>
  <c r="O453" i="12" a="1"/>
  <c r="O454" i="12" a="1"/>
  <c r="O455" i="12" a="1"/>
  <c r="O456" i="12" a="1"/>
  <c r="O457" i="12" a="1"/>
  <c r="O458" i="12" a="1"/>
  <c r="O459" i="12" a="1"/>
  <c r="O460" i="12" a="1"/>
  <c r="O461" i="12" a="1"/>
  <c r="O462" i="12" a="1"/>
  <c r="O463" i="12" a="1"/>
  <c r="O464" i="12" a="1"/>
  <c r="O465" i="12" a="1"/>
  <c r="O466" i="12" a="1"/>
  <c r="O467" i="12" a="1"/>
  <c r="O468" i="12" a="1"/>
  <c r="O469" i="12" a="1"/>
  <c r="O470" i="12" a="1"/>
  <c r="O471" i="12" a="1"/>
  <c r="O472" i="12" a="1"/>
  <c r="O473" i="12" a="1"/>
  <c r="O474" i="12" a="1"/>
  <c r="O475" i="12" a="1"/>
  <c r="O476" i="12" a="1"/>
  <c r="O477" i="12" a="1"/>
  <c r="O478" i="12" a="1"/>
  <c r="O479" i="12" a="1"/>
  <c r="O480" i="12" a="1"/>
  <c r="O481" i="12" a="1"/>
  <c r="O482" i="12" a="1"/>
  <c r="O483" i="12" a="1"/>
  <c r="O484" i="12" a="1"/>
  <c r="O485" i="12" a="1"/>
  <c r="O486" i="12" a="1"/>
  <c r="O487" i="12" a="1"/>
  <c r="O488" i="12" a="1"/>
  <c r="O489" i="12" a="1"/>
  <c r="O490" i="12" a="1"/>
  <c r="O491" i="12" a="1"/>
  <c r="O492" i="12" a="1"/>
  <c r="O493" i="12" a="1"/>
  <c r="O494" i="12" a="1"/>
  <c r="O495" i="12" a="1"/>
  <c r="O496" i="12" a="1"/>
  <c r="O497" i="12" a="1"/>
  <c r="O498" i="12" a="1"/>
  <c r="O499" i="12" a="1"/>
  <c r="O500" i="12" a="1"/>
  <c r="O501" i="12" a="1"/>
  <c r="O502" i="12" a="1"/>
  <c r="O503" i="12" a="1"/>
  <c r="O504" i="12" a="1"/>
  <c r="O505" i="12" a="1"/>
  <c r="O506" i="12" a="1"/>
  <c r="O507" i="12" a="1"/>
  <c r="O508" i="12" a="1"/>
  <c r="O509" i="12" a="1"/>
  <c r="O510" i="12" a="1"/>
  <c r="O511" i="12" a="1"/>
  <c r="O512" i="12" a="1"/>
  <c r="O513" i="12" a="1"/>
  <c r="O514" i="12" a="1"/>
  <c r="O515" i="12" a="1"/>
  <c r="O516" i="12" a="1"/>
  <c r="O517" i="12" a="1"/>
  <c r="O518" i="12" a="1"/>
  <c r="O519" i="12" a="1"/>
  <c r="O520" i="12" a="1"/>
  <c r="O521" i="12" a="1"/>
  <c r="O522" i="12" a="1"/>
  <c r="O523" i="12" a="1"/>
  <c r="O524" i="12" a="1"/>
  <c r="O525" i="12" a="1"/>
  <c r="O526" i="12" a="1"/>
  <c r="O527" i="12" a="1"/>
  <c r="O528" i="12" a="1"/>
  <c r="O529" i="12" a="1"/>
  <c r="O530" i="12" a="1"/>
  <c r="O531" i="12" a="1"/>
  <c r="O532" i="12" a="1"/>
  <c r="O533" i="12" a="1"/>
  <c r="O534" i="12" a="1"/>
  <c r="O535" i="12" a="1"/>
  <c r="O536" i="12" a="1"/>
  <c r="O537" i="12" a="1"/>
  <c r="O538" i="12" a="1"/>
  <c r="O539" i="12" a="1"/>
  <c r="O540" i="12" a="1"/>
  <c r="O541" i="12" a="1"/>
  <c r="O542" i="12" a="1"/>
  <c r="O543" i="12" a="1"/>
  <c r="O544" i="12" a="1"/>
  <c r="O545" i="12" a="1"/>
  <c r="O546" i="12" a="1"/>
  <c r="O547" i="12" a="1"/>
  <c r="O548" i="12" a="1"/>
  <c r="O549" i="12" a="1"/>
  <c r="O550" i="12" a="1"/>
  <c r="O551" i="12" a="1"/>
  <c r="O552" i="12" a="1"/>
  <c r="O553" i="12" a="1"/>
  <c r="O554" i="12" a="1"/>
  <c r="O555" i="12" a="1"/>
  <c r="O556" i="12" a="1"/>
  <c r="O557" i="12" a="1"/>
  <c r="O558" i="12" a="1"/>
  <c r="O559" i="12" a="1"/>
  <c r="O560" i="12" a="1"/>
  <c r="O561" i="12" a="1"/>
  <c r="O562" i="12" a="1"/>
  <c r="O563" i="12" a="1"/>
  <c r="O564" i="12" a="1"/>
  <c r="O565" i="12" a="1"/>
  <c r="O566" i="12" a="1"/>
  <c r="O567" i="12" a="1"/>
  <c r="O568" i="12" a="1"/>
  <c r="O569" i="12" a="1"/>
  <c r="O570" i="12" a="1"/>
  <c r="O571" i="12" a="1"/>
  <c r="O572" i="12" a="1"/>
  <c r="O573" i="12" a="1"/>
  <c r="O574" i="12" a="1"/>
  <c r="O575" i="12" a="1"/>
  <c r="O576" i="12" a="1"/>
  <c r="O577" i="12" a="1"/>
  <c r="O578" i="12" a="1"/>
  <c r="O579" i="12" a="1"/>
  <c r="O580" i="12" a="1"/>
  <c r="O581" i="12" a="1"/>
  <c r="O582" i="12" a="1"/>
  <c r="O583" i="12" a="1"/>
  <c r="O584" i="12" a="1"/>
  <c r="O585" i="12" a="1"/>
  <c r="O586" i="12" a="1"/>
  <c r="O587" i="12" a="1"/>
  <c r="O588" i="12" a="1"/>
  <c r="O589" i="12" a="1"/>
  <c r="O590" i="12" a="1"/>
  <c r="O591" i="12" a="1"/>
  <c r="O592" i="12" a="1"/>
  <c r="O593" i="12" a="1"/>
  <c r="O594" i="12" a="1"/>
  <c r="O595" i="12" a="1"/>
  <c r="O596" i="12" a="1"/>
  <c r="O597" i="12" a="1"/>
  <c r="O598" i="12" a="1"/>
  <c r="O599" i="12" a="1"/>
  <c r="O600" i="12" a="1"/>
  <c r="O601" i="12" a="1"/>
  <c r="O602" i="12" a="1"/>
  <c r="O603" i="12" a="1"/>
  <c r="O604" i="12" a="1"/>
  <c r="O605" i="12" a="1"/>
  <c r="O606" i="12" a="1"/>
  <c r="O607" i="12" a="1"/>
  <c r="O608" i="12" a="1"/>
  <c r="O609" i="12" a="1"/>
  <c r="O610" i="12" a="1"/>
  <c r="O611" i="12" a="1"/>
  <c r="O612" i="12" a="1"/>
  <c r="O613" i="12" a="1"/>
  <c r="O614" i="12" a="1"/>
  <c r="O615" i="12" a="1"/>
  <c r="O616" i="12" a="1"/>
  <c r="O617" i="12" a="1"/>
  <c r="O618" i="12" a="1"/>
  <c r="O619" i="12" a="1"/>
  <c r="O620" i="12" a="1"/>
  <c r="O621" i="12" a="1"/>
  <c r="O622" i="12" a="1"/>
  <c r="O623" i="12" a="1"/>
  <c r="O624" i="12" a="1"/>
  <c r="O625" i="12" a="1"/>
  <c r="O626" i="12" a="1"/>
  <c r="O627" i="12" a="1"/>
  <c r="O628" i="12" a="1"/>
  <c r="O629" i="12" a="1"/>
  <c r="O630" i="12" a="1"/>
  <c r="O631" i="12" a="1"/>
  <c r="O632" i="12" a="1"/>
  <c r="O633" i="12" a="1"/>
  <c r="O634" i="12" a="1"/>
  <c r="O635" i="12" a="1"/>
  <c r="O636" i="12" a="1"/>
  <c r="O637" i="12" a="1"/>
  <c r="O638" i="12" a="1"/>
  <c r="O639" i="12" a="1"/>
  <c r="O640" i="12" a="1"/>
  <c r="O641" i="12" a="1"/>
  <c r="O642" i="12" a="1"/>
  <c r="O643" i="12" a="1"/>
  <c r="O644" i="12" a="1"/>
  <c r="O645" i="12" a="1"/>
  <c r="O646" i="12" a="1"/>
  <c r="O647" i="12" a="1"/>
  <c r="O648" i="12" a="1"/>
  <c r="O649" i="12" a="1"/>
  <c r="O650" i="12" a="1"/>
  <c r="O651" i="12" a="1"/>
  <c r="O652" i="12" a="1"/>
  <c r="O653" i="12" a="1"/>
  <c r="O654" i="12" a="1"/>
  <c r="O655" i="12" a="1"/>
  <c r="O656" i="12" a="1"/>
  <c r="O657" i="12" a="1"/>
  <c r="O658" i="12" a="1"/>
  <c r="O659" i="12" a="1"/>
  <c r="O660" i="12" a="1"/>
  <c r="O661" i="12" a="1"/>
  <c r="O662" i="12" a="1"/>
  <c r="O663" i="12" a="1"/>
  <c r="O664" i="12" a="1"/>
  <c r="O665" i="12" a="1"/>
  <c r="O666" i="12" a="1"/>
  <c r="O667" i="12" a="1"/>
  <c r="O668" i="12" a="1"/>
  <c r="O669" i="12" a="1"/>
  <c r="O670" i="12" a="1"/>
  <c r="O671" i="12" a="1"/>
  <c r="O672" i="12" a="1"/>
  <c r="O673" i="12" a="1"/>
  <c r="O674" i="12" a="1"/>
  <c r="O675" i="12" a="1"/>
  <c r="O676" i="12" a="1"/>
  <c r="O677" i="12" a="1"/>
  <c r="O678" i="12" a="1"/>
  <c r="O679" i="12" a="1"/>
  <c r="O680" i="12" a="1"/>
  <c r="O681" i="12" a="1"/>
  <c r="O682" i="12" a="1"/>
  <c r="O683" i="12" a="1"/>
  <c r="O684" i="12" a="1"/>
  <c r="O685" i="12" a="1"/>
  <c r="O686" i="12" a="1"/>
  <c r="O687" i="12" a="1"/>
  <c r="O688" i="12" a="1"/>
  <c r="O689" i="12" a="1"/>
  <c r="O690" i="12" a="1"/>
  <c r="O691" i="12" a="1"/>
  <c r="O692" i="12" a="1"/>
  <c r="O693" i="12" a="1"/>
  <c r="O694" i="12" a="1"/>
  <c r="O695" i="12" a="1"/>
  <c r="O696" i="12" a="1"/>
  <c r="O697" i="12" a="1"/>
  <c r="O698" i="12" a="1"/>
  <c r="O699" i="12" a="1"/>
  <c r="O700" i="12" a="1"/>
  <c r="O701" i="12" a="1"/>
  <c r="O702" i="12" a="1"/>
  <c r="O703" i="12" a="1"/>
  <c r="O704" i="12" a="1"/>
  <c r="O705" i="12" a="1"/>
  <c r="O706" i="12" a="1"/>
  <c r="O707" i="12" a="1"/>
  <c r="O708" i="12" a="1"/>
  <c r="O709" i="12" a="1"/>
  <c r="O710" i="12" a="1"/>
  <c r="O711" i="12" a="1"/>
  <c r="O712" i="12" a="1"/>
  <c r="O713" i="12" a="1"/>
  <c r="O714" i="12" a="1"/>
  <c r="O715" i="12" a="1"/>
  <c r="O716" i="12" a="1"/>
  <c r="O717" i="12" a="1"/>
  <c r="O718" i="12" a="1"/>
  <c r="O719" i="12" a="1"/>
  <c r="O720" i="12" a="1"/>
  <c r="O721" i="12" a="1"/>
  <c r="O722" i="12" a="1"/>
  <c r="O723" i="12" a="1"/>
  <c r="O724" i="12" a="1"/>
  <c r="O725" i="12" a="1"/>
  <c r="O726" i="12" a="1"/>
  <c r="O727" i="12" a="1"/>
  <c r="O728" i="12" a="1"/>
  <c r="O729" i="12" a="1"/>
  <c r="O730" i="12" a="1"/>
  <c r="O731" i="12" a="1"/>
  <c r="O732" i="12" a="1"/>
  <c r="O733" i="12" a="1"/>
  <c r="O734" i="12" a="1"/>
  <c r="O735" i="12" a="1"/>
  <c r="O736" i="12" a="1"/>
  <c r="O737" i="12" a="1"/>
  <c r="O738" i="12" a="1"/>
  <c r="O739" i="12" a="1"/>
  <c r="O741" i="12" a="1"/>
  <c r="O742" i="12" a="1"/>
  <c r="O743" i="12" a="1"/>
  <c r="O744" i="12" a="1"/>
  <c r="O745" i="12" a="1"/>
  <c r="O746" i="12" a="1"/>
  <c r="O747" i="12" a="1"/>
  <c r="O748" i="12" a="1"/>
  <c r="O749" i="12" a="1"/>
  <c r="O750" i="12" a="1"/>
  <c r="O751" i="12" a="1"/>
  <c r="O752" i="12" a="1"/>
  <c r="O753" i="12" a="1"/>
  <c r="O754" i="12" a="1"/>
  <c r="O755" i="12" a="1"/>
  <c r="O756" i="12" a="1"/>
  <c r="O757" i="12" a="1"/>
  <c r="O740" i="12" a="1"/>
  <c r="D73" i="7"/>
  <c r="Z73" i="7" a="1"/>
  <c r="AA73" i="7" a="1"/>
  <c r="AB73" i="7" a="1"/>
  <c r="D72" i="7"/>
  <c r="Z72" i="7" a="1"/>
  <c r="AA72" i="7" a="1"/>
  <c r="AB72" i="7" a="1"/>
  <c r="L1279" i="12" a="1"/>
  <c r="M1279" i="12" s="1"/>
  <c r="N1279" i="12" s="1"/>
  <c r="L1278" i="12" a="1"/>
  <c r="L1277" i="12" a="1"/>
  <c r="M1277" i="12" s="1"/>
  <c r="N1277" i="12" s="1"/>
  <c r="L1276" i="12" a="1"/>
  <c r="M1276" i="12" s="1"/>
  <c r="N1276" i="12" s="1"/>
  <c r="L1275" i="12" a="1"/>
  <c r="M1275" i="12" s="1"/>
  <c r="N1275" i="12" s="1"/>
  <c r="L1274" i="12" a="1"/>
  <c r="M1274" i="12" s="1"/>
  <c r="N1274" i="12" s="1"/>
  <c r="L1273" i="12" a="1"/>
  <c r="L1272" i="12" a="1"/>
  <c r="L1271" i="12" a="1"/>
  <c r="L1270" i="12" a="1"/>
  <c r="M1270" i="12" s="1"/>
  <c r="N1270" i="12" s="1"/>
  <c r="L1269" i="12" a="1"/>
  <c r="L1268" i="12" a="1"/>
  <c r="L1267" i="12" a="1"/>
  <c r="L1266" i="12" a="1"/>
  <c r="L1265" i="12" a="1"/>
  <c r="L1264" i="12" a="1"/>
  <c r="L1263" i="12" a="1"/>
  <c r="L1262" i="12" a="1"/>
  <c r="L1261" i="12" a="1"/>
  <c r="L1260" i="12" a="1"/>
  <c r="L1259" i="12" a="1"/>
  <c r="M1259" i="12" s="1"/>
  <c r="N1259" i="12" s="1"/>
  <c r="L1258" i="12" a="1"/>
  <c r="M1258" i="12" s="1"/>
  <c r="N1258" i="12" s="1"/>
  <c r="L1257" i="12" a="1"/>
  <c r="M1257" i="12" s="1"/>
  <c r="N1257" i="12" s="1"/>
  <c r="L1256" i="12" a="1"/>
  <c r="L1255" i="12" a="1"/>
  <c r="L1254" i="12" a="1"/>
  <c r="L1253" i="12" a="1"/>
  <c r="L1252" i="12" a="1"/>
  <c r="L1251" i="12" a="1"/>
  <c r="L1250" i="12" a="1"/>
  <c r="L1249" i="12" a="1"/>
  <c r="L1248" i="12" a="1"/>
  <c r="L1247" i="12" a="1"/>
  <c r="L1246" i="12" a="1"/>
  <c r="L1245" i="12" a="1"/>
  <c r="L1244" i="12" a="1"/>
  <c r="L1226" i="12" a="1"/>
  <c r="M1226" i="12" s="1"/>
  <c r="N1226" i="12" s="1"/>
  <c r="L1227" i="12" a="1"/>
  <c r="M1227" i="12" s="1"/>
  <c r="N1227" i="12" s="1"/>
  <c r="L1228" i="12" a="1"/>
  <c r="M1228" i="12" s="1"/>
  <c r="N1228" i="12" s="1"/>
  <c r="L1229" i="12" a="1"/>
  <c r="M1229" i="12" s="1"/>
  <c r="N1229" i="12" s="1"/>
  <c r="L1230" i="12" a="1"/>
  <c r="M1230" i="12" s="1"/>
  <c r="N1230" i="12" s="1"/>
  <c r="L1231" i="12" a="1"/>
  <c r="M1231" i="12" s="1"/>
  <c r="N1231" i="12" s="1"/>
  <c r="L1232" i="12" a="1"/>
  <c r="M1232" i="12" s="1"/>
  <c r="N1232" i="12" s="1"/>
  <c r="L1233" i="12" a="1"/>
  <c r="M1233" i="12" s="1"/>
  <c r="N1233" i="12" s="1"/>
  <c r="L1234" i="12" a="1"/>
  <c r="M1234" i="12" s="1"/>
  <c r="N1234" i="12" s="1"/>
  <c r="L1235" i="12" a="1"/>
  <c r="M1235" i="12" s="1"/>
  <c r="N1235" i="12" s="1"/>
  <c r="L1236" i="12" a="1"/>
  <c r="M1236" i="12" s="1"/>
  <c r="N1236" i="12" s="1"/>
  <c r="L1237" i="12" a="1"/>
  <c r="M1237" i="12" s="1"/>
  <c r="N1237" i="12" s="1"/>
  <c r="L1238" i="12" a="1"/>
  <c r="M1238" i="12" s="1"/>
  <c r="N1238" i="12" s="1"/>
  <c r="L1239" i="12" a="1"/>
  <c r="M1239" i="12" s="1"/>
  <c r="N1239" i="12" s="1"/>
  <c r="L1240" i="12" a="1"/>
  <c r="M1240" i="12" s="1"/>
  <c r="N1240" i="12" s="1"/>
  <c r="L1241" i="12" a="1"/>
  <c r="M1241" i="12" s="1"/>
  <c r="N1241" i="12" s="1"/>
  <c r="L1242" i="12" a="1"/>
  <c r="M1242" i="12" s="1"/>
  <c r="N1242" i="12" s="1"/>
  <c r="L1243" i="12" a="1"/>
  <c r="M1243" i="12" s="1"/>
  <c r="N1243" i="12" s="1"/>
  <c r="L1208" i="12" a="1"/>
  <c r="L1209" i="12" a="1"/>
  <c r="L1210" i="12" a="1"/>
  <c r="L1211" i="12" a="1"/>
  <c r="L1212" i="12" a="1"/>
  <c r="L1213" i="12" a="1"/>
  <c r="L1214" i="12" a="1"/>
  <c r="L1215" i="12" a="1"/>
  <c r="L1216" i="12" a="1"/>
  <c r="L1217" i="12" a="1"/>
  <c r="L1218" i="12" a="1"/>
  <c r="L1219" i="12" a="1"/>
  <c r="L1220" i="12" a="1"/>
  <c r="L1221" i="12" a="1"/>
  <c r="L1222" i="12" a="1"/>
  <c r="L1223" i="12" a="1"/>
  <c r="L1224" i="12" a="1"/>
  <c r="L1225" i="12" a="1"/>
  <c r="L1172" i="12" a="1"/>
  <c r="M1172" i="12" s="1"/>
  <c r="N1172" i="12" s="1"/>
  <c r="L1173" i="12" a="1"/>
  <c r="M1173" i="12" s="1"/>
  <c r="N1173" i="12" s="1"/>
  <c r="L1174" i="12" a="1"/>
  <c r="M1174" i="12" s="1"/>
  <c r="N1174" i="12" s="1"/>
  <c r="L1175" i="12" a="1"/>
  <c r="M1175" i="12" s="1"/>
  <c r="N1175" i="12" s="1"/>
  <c r="L1176" i="12" a="1"/>
  <c r="M1176" i="12" s="1"/>
  <c r="N1176" i="12" s="1"/>
  <c r="L1177" i="12" a="1"/>
  <c r="M1177" i="12" s="1"/>
  <c r="N1177" i="12" s="1"/>
  <c r="L1178" i="12" a="1"/>
  <c r="M1178" i="12" s="1"/>
  <c r="N1178" i="12" s="1"/>
  <c r="L1179" i="12" a="1"/>
  <c r="M1179" i="12" s="1"/>
  <c r="N1179" i="12" s="1"/>
  <c r="L1180" i="12" a="1"/>
  <c r="M1180" i="12" s="1"/>
  <c r="N1180" i="12" s="1"/>
  <c r="L1181" i="12" a="1"/>
  <c r="M1181" i="12" s="1"/>
  <c r="N1181" i="12" s="1"/>
  <c r="L1182" i="12" a="1"/>
  <c r="M1182" i="12" s="1"/>
  <c r="N1182" i="12" s="1"/>
  <c r="L1183" i="12" a="1"/>
  <c r="M1183" i="12" s="1"/>
  <c r="N1183" i="12" s="1"/>
  <c r="L1184" i="12" a="1"/>
  <c r="M1184" i="12" s="1"/>
  <c r="N1184" i="12" s="1"/>
  <c r="L1185" i="12" a="1"/>
  <c r="M1185" i="12" s="1"/>
  <c r="N1185" i="12" s="1"/>
  <c r="L1186" i="12" a="1"/>
  <c r="M1186" i="12" s="1"/>
  <c r="N1186" i="12" s="1"/>
  <c r="L1187" i="12" a="1"/>
  <c r="M1187" i="12" s="1"/>
  <c r="N1187" i="12" s="1"/>
  <c r="L1188" i="12" a="1"/>
  <c r="M1188" i="12" s="1"/>
  <c r="N1188" i="12" s="1"/>
  <c r="L1189" i="12" a="1"/>
  <c r="M1189" i="12" s="1"/>
  <c r="N1189" i="12" s="1"/>
  <c r="L1190" i="12" a="1"/>
  <c r="M1190" i="12" s="1"/>
  <c r="N1190" i="12" s="1"/>
  <c r="L1191" i="12" a="1"/>
  <c r="M1191" i="12" s="1"/>
  <c r="N1191" i="12" s="1"/>
  <c r="L1192" i="12" a="1"/>
  <c r="M1192" i="12" s="1"/>
  <c r="N1192" i="12" s="1"/>
  <c r="L1193" i="12" a="1"/>
  <c r="M1193" i="12" s="1"/>
  <c r="N1193" i="12" s="1"/>
  <c r="L1194" i="12" a="1"/>
  <c r="M1194" i="12" s="1"/>
  <c r="N1194" i="12" s="1"/>
  <c r="L1195" i="12" a="1"/>
  <c r="M1195" i="12" s="1"/>
  <c r="N1195" i="12" s="1"/>
  <c r="L1196" i="12" a="1"/>
  <c r="M1196" i="12" s="1"/>
  <c r="N1196" i="12" s="1"/>
  <c r="L1197" i="12" a="1"/>
  <c r="M1197" i="12" s="1"/>
  <c r="N1197" i="12" s="1"/>
  <c r="L1198" i="12" a="1"/>
  <c r="M1198" i="12" s="1"/>
  <c r="N1198" i="12" s="1"/>
  <c r="L1199" i="12" a="1"/>
  <c r="M1199" i="12" s="1"/>
  <c r="N1199" i="12" s="1"/>
  <c r="L1200" i="12" a="1"/>
  <c r="M1200" i="12" s="1"/>
  <c r="N1200" i="12" s="1"/>
  <c r="L1201" i="12" a="1"/>
  <c r="M1201" i="12" s="1"/>
  <c r="N1201" i="12" s="1"/>
  <c r="L1202" i="12" a="1"/>
  <c r="M1202" i="12" s="1"/>
  <c r="N1202" i="12" s="1"/>
  <c r="L1203" i="12" a="1"/>
  <c r="M1203" i="12" s="1"/>
  <c r="N1203" i="12" s="1"/>
  <c r="L1204" i="12" a="1"/>
  <c r="M1204" i="12" s="1"/>
  <c r="N1204" i="12" s="1"/>
  <c r="L1205" i="12" a="1"/>
  <c r="M1205" i="12" s="1"/>
  <c r="N1205" i="12" s="1"/>
  <c r="L1206" i="12" a="1"/>
  <c r="M1206" i="12" s="1"/>
  <c r="N1206" i="12" s="1"/>
  <c r="L1207" i="12" a="1"/>
  <c r="M1207" i="12" s="1"/>
  <c r="N1207" i="12" s="1"/>
  <c r="L1154" i="12" a="1"/>
  <c r="M1154" i="12" s="1"/>
  <c r="N1154" i="12" s="1"/>
  <c r="L1155" i="12" a="1"/>
  <c r="M1155" i="12" s="1"/>
  <c r="N1155" i="12" s="1"/>
  <c r="L1156" i="12" a="1"/>
  <c r="M1156" i="12" s="1"/>
  <c r="N1156" i="12" s="1"/>
  <c r="L1157" i="12" a="1"/>
  <c r="M1157" i="12" s="1"/>
  <c r="N1157" i="12" s="1"/>
  <c r="L1158" i="12" a="1"/>
  <c r="M1158" i="12" s="1"/>
  <c r="N1158" i="12" s="1"/>
  <c r="L1159" i="12" a="1"/>
  <c r="M1159" i="12" s="1"/>
  <c r="N1159" i="12" s="1"/>
  <c r="L1160" i="12" a="1"/>
  <c r="M1160" i="12" s="1"/>
  <c r="N1160" i="12" s="1"/>
  <c r="L1161" i="12" a="1"/>
  <c r="M1161" i="12" s="1"/>
  <c r="N1161" i="12" s="1"/>
  <c r="L1162" i="12" a="1"/>
  <c r="M1162" i="12" s="1"/>
  <c r="N1162" i="12" s="1"/>
  <c r="L1163" i="12" a="1"/>
  <c r="M1163" i="12" s="1"/>
  <c r="N1163" i="12" s="1"/>
  <c r="L1164" i="12" a="1"/>
  <c r="M1164" i="12" s="1"/>
  <c r="N1164" i="12" s="1"/>
  <c r="L1165" i="12" a="1"/>
  <c r="M1165" i="12" s="1"/>
  <c r="N1165" i="12" s="1"/>
  <c r="L1166" i="12" a="1"/>
  <c r="M1166" i="12" s="1"/>
  <c r="N1166" i="12" s="1"/>
  <c r="L1167" i="12" a="1"/>
  <c r="M1167" i="12" s="1"/>
  <c r="N1167" i="12" s="1"/>
  <c r="L1168" i="12" a="1"/>
  <c r="M1168" i="12" s="1"/>
  <c r="N1168" i="12" s="1"/>
  <c r="L1169" i="12" a="1"/>
  <c r="M1169" i="12" s="1"/>
  <c r="N1169" i="12" s="1"/>
  <c r="L1170" i="12" a="1"/>
  <c r="M1170" i="12" s="1"/>
  <c r="N1170" i="12" s="1"/>
  <c r="L1171" i="12" a="1"/>
  <c r="M1171" i="12" s="1"/>
  <c r="N1171" i="12" s="1"/>
  <c r="L1136" i="12" a="1"/>
  <c r="M1136" i="12" s="1"/>
  <c r="N1136" i="12" s="1"/>
  <c r="L1137" i="12" a="1"/>
  <c r="M1137" i="12" s="1"/>
  <c r="N1137" i="12" s="1"/>
  <c r="L1138" i="12" a="1"/>
  <c r="M1138" i="12" s="1"/>
  <c r="N1138" i="12" s="1"/>
  <c r="L1139" i="12" a="1"/>
  <c r="M1139" i="12" s="1"/>
  <c r="N1139" i="12" s="1"/>
  <c r="L1140" i="12" a="1"/>
  <c r="M1140" i="12" s="1"/>
  <c r="N1140" i="12" s="1"/>
  <c r="L1141" i="12" a="1"/>
  <c r="M1141" i="12" s="1"/>
  <c r="N1141" i="12" s="1"/>
  <c r="L1142" i="12" a="1"/>
  <c r="M1142" i="12" s="1"/>
  <c r="N1142" i="12" s="1"/>
  <c r="L1143" i="12" a="1"/>
  <c r="M1143" i="12" s="1"/>
  <c r="N1143" i="12" s="1"/>
  <c r="L1144" i="12" a="1"/>
  <c r="M1144" i="12" s="1"/>
  <c r="N1144" i="12" s="1"/>
  <c r="L1145" i="12" a="1"/>
  <c r="M1145" i="12" s="1"/>
  <c r="N1145" i="12" s="1"/>
  <c r="L1146" i="12" a="1"/>
  <c r="M1146" i="12" s="1"/>
  <c r="N1146" i="12" s="1"/>
  <c r="L1147" i="12" a="1"/>
  <c r="M1147" i="12" s="1"/>
  <c r="N1147" i="12" s="1"/>
  <c r="L1148" i="12" a="1"/>
  <c r="M1148" i="12" s="1"/>
  <c r="N1148" i="12" s="1"/>
  <c r="L1149" i="12" a="1"/>
  <c r="M1149" i="12" s="1"/>
  <c r="N1149" i="12" s="1"/>
  <c r="L1150" i="12" a="1"/>
  <c r="M1150" i="12" s="1"/>
  <c r="N1150" i="12" s="1"/>
  <c r="L1151" i="12" a="1"/>
  <c r="M1151" i="12" s="1"/>
  <c r="N1151" i="12" s="1"/>
  <c r="L1152" i="12" a="1"/>
  <c r="M1152" i="12" s="1"/>
  <c r="N1152" i="12" s="1"/>
  <c r="L1153" i="12" a="1"/>
  <c r="M1153" i="12" s="1"/>
  <c r="N1153" i="12" s="1"/>
  <c r="L1082" i="12" a="1"/>
  <c r="M1082" i="12" s="1"/>
  <c r="N1082" i="12" s="1"/>
  <c r="L1083" i="12" a="1"/>
  <c r="M1083" i="12" s="1"/>
  <c r="N1083" i="12" s="1"/>
  <c r="L1084" i="12" a="1"/>
  <c r="M1084" i="12" s="1"/>
  <c r="N1084" i="12" s="1"/>
  <c r="L1085" i="12" a="1"/>
  <c r="M1085" i="12" s="1"/>
  <c r="N1085" i="12" s="1"/>
  <c r="L1086" i="12" a="1"/>
  <c r="M1086" i="12" s="1"/>
  <c r="N1086" i="12" s="1"/>
  <c r="L1087" i="12" a="1"/>
  <c r="M1087" i="12" s="1"/>
  <c r="N1087" i="12" s="1"/>
  <c r="L1088" i="12" a="1"/>
  <c r="M1088" i="12" s="1"/>
  <c r="N1088" i="12" s="1"/>
  <c r="L1089" i="12" a="1"/>
  <c r="M1089" i="12" s="1"/>
  <c r="N1089" i="12" s="1"/>
  <c r="L1090" i="12" a="1"/>
  <c r="M1090" i="12" s="1"/>
  <c r="N1090" i="12" s="1"/>
  <c r="L1091" i="12" a="1"/>
  <c r="M1091" i="12" s="1"/>
  <c r="N1091" i="12" s="1"/>
  <c r="L1092" i="12" a="1"/>
  <c r="M1092" i="12" s="1"/>
  <c r="N1092" i="12" s="1"/>
  <c r="L1093" i="12" a="1"/>
  <c r="M1093" i="12" s="1"/>
  <c r="N1093" i="12" s="1"/>
  <c r="L1094" i="12" a="1"/>
  <c r="M1094" i="12" s="1"/>
  <c r="N1094" i="12" s="1"/>
  <c r="L1095" i="12" a="1"/>
  <c r="M1095" i="12" s="1"/>
  <c r="N1095" i="12" s="1"/>
  <c r="L1096" i="12" a="1"/>
  <c r="M1096" i="12" s="1"/>
  <c r="N1096" i="12" s="1"/>
  <c r="L1097" i="12" a="1"/>
  <c r="M1097" i="12" s="1"/>
  <c r="N1097" i="12" s="1"/>
  <c r="L1098" i="12" a="1"/>
  <c r="M1098" i="12" s="1"/>
  <c r="N1098" i="12" s="1"/>
  <c r="L1099" i="12" a="1"/>
  <c r="M1099" i="12" s="1"/>
  <c r="N1099" i="12" s="1"/>
  <c r="L1100" i="12" a="1"/>
  <c r="M1100" i="12" s="1"/>
  <c r="N1100" i="12" s="1"/>
  <c r="L1101" i="12" a="1"/>
  <c r="M1101" i="12" s="1"/>
  <c r="N1101" i="12" s="1"/>
  <c r="L1102" i="12" a="1"/>
  <c r="M1102" i="12" s="1"/>
  <c r="N1102" i="12" s="1"/>
  <c r="L1103" i="12" a="1"/>
  <c r="M1103" i="12" s="1"/>
  <c r="N1103" i="12" s="1"/>
  <c r="L1104" i="12" a="1"/>
  <c r="M1104" i="12" s="1"/>
  <c r="N1104" i="12" s="1"/>
  <c r="L1105" i="12" a="1"/>
  <c r="M1105" i="12" s="1"/>
  <c r="N1105" i="12" s="1"/>
  <c r="L1106" i="12" a="1"/>
  <c r="M1106" i="12" s="1"/>
  <c r="N1106" i="12" s="1"/>
  <c r="L1107" i="12" a="1"/>
  <c r="M1107" i="12" s="1"/>
  <c r="N1107" i="12" s="1"/>
  <c r="L1108" i="12" a="1"/>
  <c r="M1108" i="12" s="1"/>
  <c r="N1108" i="12" s="1"/>
  <c r="L1109" i="12" a="1"/>
  <c r="M1109" i="12" s="1"/>
  <c r="N1109" i="12" s="1"/>
  <c r="L1110" i="12" a="1"/>
  <c r="M1110" i="12" s="1"/>
  <c r="N1110" i="12" s="1"/>
  <c r="L1111" i="12" a="1"/>
  <c r="M1111" i="12" s="1"/>
  <c r="N1111" i="12" s="1"/>
  <c r="L1112" i="12" a="1"/>
  <c r="M1112" i="12" s="1"/>
  <c r="N1112" i="12" s="1"/>
  <c r="L1113" i="12" a="1"/>
  <c r="M1113" i="12" s="1"/>
  <c r="N1113" i="12" s="1"/>
  <c r="L1114" i="12" a="1"/>
  <c r="M1114" i="12" s="1"/>
  <c r="N1114" i="12" s="1"/>
  <c r="L1115" i="12" a="1"/>
  <c r="M1115" i="12" s="1"/>
  <c r="N1115" i="12" s="1"/>
  <c r="L1116" i="12" a="1"/>
  <c r="M1116" i="12" s="1"/>
  <c r="N1116" i="12" s="1"/>
  <c r="L1117" i="12" a="1"/>
  <c r="M1117" i="12" s="1"/>
  <c r="N1117" i="12" s="1"/>
  <c r="L1118" i="12" a="1"/>
  <c r="M1118" i="12" s="1"/>
  <c r="N1118" i="12" s="1"/>
  <c r="L1119" i="12" a="1"/>
  <c r="M1119" i="12" s="1"/>
  <c r="N1119" i="12" s="1"/>
  <c r="L1120" i="12" a="1"/>
  <c r="M1120" i="12" s="1"/>
  <c r="N1120" i="12" s="1"/>
  <c r="L1121" i="12" a="1"/>
  <c r="M1121" i="12" s="1"/>
  <c r="N1121" i="12" s="1"/>
  <c r="L1122" i="12" a="1"/>
  <c r="M1122" i="12" s="1"/>
  <c r="N1122" i="12" s="1"/>
  <c r="L1123" i="12" a="1"/>
  <c r="M1123" i="12" s="1"/>
  <c r="N1123" i="12" s="1"/>
  <c r="L1124" i="12" a="1"/>
  <c r="M1124" i="12" s="1"/>
  <c r="N1124" i="12" s="1"/>
  <c r="L1125" i="12" a="1"/>
  <c r="M1125" i="12" s="1"/>
  <c r="N1125" i="12" s="1"/>
  <c r="L1126" i="12" a="1"/>
  <c r="M1126" i="12" s="1"/>
  <c r="N1126" i="12" s="1"/>
  <c r="L1127" i="12" a="1"/>
  <c r="M1127" i="12" s="1"/>
  <c r="N1127" i="12" s="1"/>
  <c r="L1128" i="12" a="1"/>
  <c r="M1128" i="12" s="1"/>
  <c r="N1128" i="12" s="1"/>
  <c r="L1129" i="12" a="1"/>
  <c r="M1129" i="12" s="1"/>
  <c r="N1129" i="12" s="1"/>
  <c r="L1130" i="12" a="1"/>
  <c r="M1130" i="12" s="1"/>
  <c r="N1130" i="12" s="1"/>
  <c r="L1131" i="12" a="1"/>
  <c r="M1131" i="12" s="1"/>
  <c r="N1131" i="12" s="1"/>
  <c r="L1132" i="12" a="1"/>
  <c r="M1132" i="12" s="1"/>
  <c r="N1132" i="12" s="1"/>
  <c r="L1133" i="12" a="1"/>
  <c r="M1133" i="12" s="1"/>
  <c r="N1133" i="12" s="1"/>
  <c r="L1134" i="12" a="1"/>
  <c r="M1134" i="12" s="1"/>
  <c r="N1134" i="12" s="1"/>
  <c r="L1135" i="12" a="1"/>
  <c r="M1135" i="12" s="1"/>
  <c r="N1135" i="12" s="1"/>
  <c r="L848" i="12" a="1"/>
  <c r="M848" i="12" s="1"/>
  <c r="N848" i="12" s="1"/>
  <c r="L849" i="12" a="1"/>
  <c r="M849" i="12" s="1"/>
  <c r="N849" i="12" s="1"/>
  <c r="L850" i="12" a="1"/>
  <c r="M850" i="12" s="1"/>
  <c r="N850" i="12" s="1"/>
  <c r="L851" i="12" a="1"/>
  <c r="M851" i="12" s="1"/>
  <c r="N851" i="12" s="1"/>
  <c r="L852" i="12" a="1"/>
  <c r="M852" i="12" s="1"/>
  <c r="N852" i="12" s="1"/>
  <c r="L853" i="12" a="1"/>
  <c r="M853" i="12" s="1"/>
  <c r="N853" i="12" s="1"/>
  <c r="L854" i="12" a="1"/>
  <c r="M854" i="12" s="1"/>
  <c r="N854" i="12" s="1"/>
  <c r="L855" i="12" a="1"/>
  <c r="M855" i="12" s="1"/>
  <c r="N855" i="12" s="1"/>
  <c r="L856" i="12" a="1"/>
  <c r="M856" i="12" s="1"/>
  <c r="N856" i="12" s="1"/>
  <c r="L857" i="12" a="1"/>
  <c r="M857" i="12" s="1"/>
  <c r="N857" i="12" s="1"/>
  <c r="L858" i="12" a="1"/>
  <c r="M858" i="12" s="1"/>
  <c r="N858" i="12" s="1"/>
  <c r="L859" i="12" a="1"/>
  <c r="M859" i="12" s="1"/>
  <c r="N859" i="12" s="1"/>
  <c r="L860" i="12" a="1"/>
  <c r="M860" i="12" s="1"/>
  <c r="N860" i="12" s="1"/>
  <c r="L861" i="12" a="1"/>
  <c r="M861" i="12" s="1"/>
  <c r="N861" i="12" s="1"/>
  <c r="L862" i="12" a="1"/>
  <c r="M862" i="12" s="1"/>
  <c r="N862" i="12" s="1"/>
  <c r="L863" i="12" a="1"/>
  <c r="M863" i="12" s="1"/>
  <c r="N863" i="12" s="1"/>
  <c r="L864" i="12" a="1"/>
  <c r="M864" i="12" s="1"/>
  <c r="N864" i="12" s="1"/>
  <c r="L865" i="12" a="1"/>
  <c r="M865" i="12" s="1"/>
  <c r="N865" i="12" s="1"/>
  <c r="L866" i="12" a="1"/>
  <c r="M866" i="12" s="1"/>
  <c r="N866" i="12" s="1"/>
  <c r="L867" i="12" a="1"/>
  <c r="M867" i="12" s="1"/>
  <c r="N867" i="12" s="1"/>
  <c r="L868" i="12" a="1"/>
  <c r="M868" i="12" s="1"/>
  <c r="N868" i="12" s="1"/>
  <c r="L869" i="12" a="1"/>
  <c r="M869" i="12" s="1"/>
  <c r="N869" i="12" s="1"/>
  <c r="L870" i="12" a="1"/>
  <c r="M870" i="12" s="1"/>
  <c r="N870" i="12" s="1"/>
  <c r="L871" i="12" a="1"/>
  <c r="M871" i="12" s="1"/>
  <c r="N871" i="12" s="1"/>
  <c r="L872" i="12" a="1"/>
  <c r="M872" i="12" s="1"/>
  <c r="N872" i="12" s="1"/>
  <c r="L873" i="12" a="1"/>
  <c r="M873" i="12" s="1"/>
  <c r="N873" i="12" s="1"/>
  <c r="L874" i="12" a="1"/>
  <c r="M874" i="12" s="1"/>
  <c r="N874" i="12" s="1"/>
  <c r="L875" i="12" a="1"/>
  <c r="M875" i="12" s="1"/>
  <c r="N875" i="12" s="1"/>
  <c r="L876" i="12" a="1"/>
  <c r="M876" i="12" s="1"/>
  <c r="N876" i="12" s="1"/>
  <c r="L877" i="12" a="1"/>
  <c r="M877" i="12" s="1"/>
  <c r="N877" i="12" s="1"/>
  <c r="L878" i="12" a="1"/>
  <c r="M878" i="12" s="1"/>
  <c r="N878" i="12" s="1"/>
  <c r="L879" i="12" a="1"/>
  <c r="M879" i="12" s="1"/>
  <c r="N879" i="12" s="1"/>
  <c r="L880" i="12" a="1"/>
  <c r="M880" i="12" s="1"/>
  <c r="N880" i="12" s="1"/>
  <c r="L881" i="12" a="1"/>
  <c r="M881" i="12" s="1"/>
  <c r="N881" i="12" s="1"/>
  <c r="L882" i="12" a="1"/>
  <c r="M882" i="12" s="1"/>
  <c r="N882" i="12" s="1"/>
  <c r="L883" i="12" a="1"/>
  <c r="M883" i="12" s="1"/>
  <c r="N883" i="12" s="1"/>
  <c r="L884" i="12" a="1"/>
  <c r="M884" i="12" s="1"/>
  <c r="N884" i="12" s="1"/>
  <c r="L885" i="12" a="1"/>
  <c r="M885" i="12" s="1"/>
  <c r="N885" i="12" s="1"/>
  <c r="L886" i="12" a="1"/>
  <c r="M886" i="12" s="1"/>
  <c r="N886" i="12" s="1"/>
  <c r="L887" i="12" a="1"/>
  <c r="M887" i="12" s="1"/>
  <c r="N887" i="12" s="1"/>
  <c r="L888" i="12" a="1"/>
  <c r="M888" i="12" s="1"/>
  <c r="N888" i="12" s="1"/>
  <c r="L889" i="12" a="1"/>
  <c r="M889" i="12" s="1"/>
  <c r="N889" i="12" s="1"/>
  <c r="L890" i="12" a="1"/>
  <c r="M890" i="12" s="1"/>
  <c r="N890" i="12" s="1"/>
  <c r="L891" i="12" a="1"/>
  <c r="M891" i="12" s="1"/>
  <c r="N891" i="12" s="1"/>
  <c r="L892" i="12" a="1"/>
  <c r="M892" i="12" s="1"/>
  <c r="N892" i="12" s="1"/>
  <c r="L893" i="12" a="1"/>
  <c r="M893" i="12" s="1"/>
  <c r="N893" i="12" s="1"/>
  <c r="L894" i="12" a="1"/>
  <c r="M894" i="12" s="1"/>
  <c r="N894" i="12" s="1"/>
  <c r="L895" i="12" a="1"/>
  <c r="M895" i="12" s="1"/>
  <c r="N895" i="12" s="1"/>
  <c r="L896" i="12" a="1"/>
  <c r="M896" i="12" s="1"/>
  <c r="N896" i="12" s="1"/>
  <c r="L897" i="12" a="1"/>
  <c r="M897" i="12" s="1"/>
  <c r="N897" i="12" s="1"/>
  <c r="L898" i="12" a="1"/>
  <c r="M898" i="12" s="1"/>
  <c r="N898" i="12" s="1"/>
  <c r="L899" i="12" a="1"/>
  <c r="M899" i="12" s="1"/>
  <c r="N899" i="12" s="1"/>
  <c r="L900" i="12" a="1"/>
  <c r="M900" i="12" s="1"/>
  <c r="N900" i="12" s="1"/>
  <c r="L901" i="12" a="1"/>
  <c r="M901" i="12" s="1"/>
  <c r="N901" i="12" s="1"/>
  <c r="L902" i="12" a="1"/>
  <c r="M902" i="12" s="1"/>
  <c r="N902" i="12" s="1"/>
  <c r="L903" i="12" a="1"/>
  <c r="M903" i="12" s="1"/>
  <c r="N903" i="12" s="1"/>
  <c r="L904" i="12" a="1"/>
  <c r="M904" i="12" s="1"/>
  <c r="N904" i="12" s="1"/>
  <c r="L905" i="12" a="1"/>
  <c r="M905" i="12" s="1"/>
  <c r="N905" i="12" s="1"/>
  <c r="L906" i="12" a="1"/>
  <c r="M906" i="12" s="1"/>
  <c r="N906" i="12" s="1"/>
  <c r="L907" i="12" a="1"/>
  <c r="M907" i="12" s="1"/>
  <c r="N907" i="12" s="1"/>
  <c r="L908" i="12" a="1"/>
  <c r="M908" i="12" s="1"/>
  <c r="N908" i="12" s="1"/>
  <c r="L909" i="12" a="1"/>
  <c r="M909" i="12" s="1"/>
  <c r="N909" i="12" s="1"/>
  <c r="L910" i="12" a="1"/>
  <c r="M910" i="12" s="1"/>
  <c r="N910" i="12" s="1"/>
  <c r="L911" i="12" a="1"/>
  <c r="M911" i="12" s="1"/>
  <c r="N911" i="12" s="1"/>
  <c r="L912" i="12" a="1"/>
  <c r="M912" i="12" s="1"/>
  <c r="N912" i="12" s="1"/>
  <c r="L913" i="12" a="1"/>
  <c r="M913" i="12" s="1"/>
  <c r="N913" i="12" s="1"/>
  <c r="L914" i="12" a="1"/>
  <c r="M914" i="12" s="1"/>
  <c r="N914" i="12" s="1"/>
  <c r="L915" i="12" a="1"/>
  <c r="M915" i="12" s="1"/>
  <c r="N915" i="12" s="1"/>
  <c r="L916" i="12" a="1"/>
  <c r="M916" i="12" s="1"/>
  <c r="N916" i="12" s="1"/>
  <c r="L917" i="12" a="1"/>
  <c r="M917" i="12" s="1"/>
  <c r="N917" i="12" s="1"/>
  <c r="L918" i="12" a="1"/>
  <c r="M918" i="12" s="1"/>
  <c r="N918" i="12" s="1"/>
  <c r="L919" i="12" a="1"/>
  <c r="M919" i="12" s="1"/>
  <c r="N919" i="12" s="1"/>
  <c r="L920" i="12" a="1"/>
  <c r="M920" i="12" s="1"/>
  <c r="N920" i="12" s="1"/>
  <c r="L921" i="12" a="1"/>
  <c r="M921" i="12" s="1"/>
  <c r="N921" i="12" s="1"/>
  <c r="L922" i="12" a="1"/>
  <c r="M922" i="12" s="1"/>
  <c r="N922" i="12" s="1"/>
  <c r="L923" i="12" a="1"/>
  <c r="M923" i="12" s="1"/>
  <c r="N923" i="12" s="1"/>
  <c r="L924" i="12" a="1"/>
  <c r="M924" i="12" s="1"/>
  <c r="N924" i="12" s="1"/>
  <c r="L925" i="12" a="1"/>
  <c r="M925" i="12" s="1"/>
  <c r="N925" i="12" s="1"/>
  <c r="L926" i="12" a="1"/>
  <c r="M926" i="12" s="1"/>
  <c r="N926" i="12" s="1"/>
  <c r="L927" i="12" a="1"/>
  <c r="M927" i="12" s="1"/>
  <c r="N927" i="12" s="1"/>
  <c r="L928" i="12" a="1"/>
  <c r="M928" i="12" s="1"/>
  <c r="N928" i="12" s="1"/>
  <c r="L929" i="12" a="1"/>
  <c r="M929" i="12" s="1"/>
  <c r="N929" i="12" s="1"/>
  <c r="L930" i="12" a="1"/>
  <c r="M930" i="12" s="1"/>
  <c r="N930" i="12" s="1"/>
  <c r="L931" i="12" a="1"/>
  <c r="M931" i="12" s="1"/>
  <c r="N931" i="12" s="1"/>
  <c r="L932" i="12" a="1"/>
  <c r="M932" i="12" s="1"/>
  <c r="N932" i="12" s="1"/>
  <c r="L933" i="12" a="1"/>
  <c r="M933" i="12" s="1"/>
  <c r="N933" i="12" s="1"/>
  <c r="L934" i="12" a="1"/>
  <c r="M934" i="12" s="1"/>
  <c r="N934" i="12" s="1"/>
  <c r="L935" i="12" a="1"/>
  <c r="M935" i="12" s="1"/>
  <c r="N935" i="12" s="1"/>
  <c r="L936" i="12" a="1"/>
  <c r="M936" i="12" s="1"/>
  <c r="N936" i="12" s="1"/>
  <c r="L937" i="12" a="1"/>
  <c r="M937" i="12" s="1"/>
  <c r="N937" i="12" s="1"/>
  <c r="L938" i="12" a="1"/>
  <c r="M938" i="12" s="1"/>
  <c r="N938" i="12" s="1"/>
  <c r="L939" i="12" a="1"/>
  <c r="M939" i="12" s="1"/>
  <c r="N939" i="12" s="1"/>
  <c r="L940" i="12" a="1"/>
  <c r="M940" i="12" s="1"/>
  <c r="N940" i="12" s="1"/>
  <c r="L941" i="12" a="1"/>
  <c r="M941" i="12" s="1"/>
  <c r="N941" i="12" s="1"/>
  <c r="L942" i="12" a="1"/>
  <c r="M942" i="12" s="1"/>
  <c r="N942" i="12" s="1"/>
  <c r="L943" i="12" a="1"/>
  <c r="M943" i="12" s="1"/>
  <c r="N943" i="12" s="1"/>
  <c r="L944" i="12" a="1"/>
  <c r="M944" i="12" s="1"/>
  <c r="N944" i="12" s="1"/>
  <c r="L945" i="12" a="1"/>
  <c r="M945" i="12" s="1"/>
  <c r="N945" i="12" s="1"/>
  <c r="L946" i="12" a="1"/>
  <c r="M946" i="12" s="1"/>
  <c r="N946" i="12" s="1"/>
  <c r="L947" i="12" a="1"/>
  <c r="M947" i="12" s="1"/>
  <c r="N947" i="12" s="1"/>
  <c r="L948" i="12" a="1"/>
  <c r="M948" i="12" s="1"/>
  <c r="N948" i="12" s="1"/>
  <c r="L949" i="12" a="1"/>
  <c r="M949" i="12" s="1"/>
  <c r="N949" i="12" s="1"/>
  <c r="L950" i="12" a="1"/>
  <c r="M950" i="12" s="1"/>
  <c r="N950" i="12" s="1"/>
  <c r="L951" i="12" a="1"/>
  <c r="M951" i="12" s="1"/>
  <c r="N951" i="12" s="1"/>
  <c r="L952" i="12" a="1"/>
  <c r="M952" i="12" s="1"/>
  <c r="N952" i="12" s="1"/>
  <c r="L953" i="12" a="1"/>
  <c r="M953" i="12" s="1"/>
  <c r="N953" i="12" s="1"/>
  <c r="L954" i="12" a="1"/>
  <c r="M954" i="12" s="1"/>
  <c r="N954" i="12" s="1"/>
  <c r="L955" i="12" a="1"/>
  <c r="M955" i="12" s="1"/>
  <c r="N955" i="12" s="1"/>
  <c r="L956" i="12" a="1"/>
  <c r="M956" i="12" s="1"/>
  <c r="N956" i="12" s="1"/>
  <c r="L957" i="12" a="1"/>
  <c r="M957" i="12" s="1"/>
  <c r="N957" i="12" s="1"/>
  <c r="L958" i="12" a="1"/>
  <c r="M958" i="12" s="1"/>
  <c r="N958" i="12" s="1"/>
  <c r="L959" i="12" a="1"/>
  <c r="M959" i="12" s="1"/>
  <c r="N959" i="12" s="1"/>
  <c r="L960" i="12" a="1"/>
  <c r="M960" i="12" s="1"/>
  <c r="N960" i="12" s="1"/>
  <c r="L961" i="12" a="1"/>
  <c r="M961" i="12" s="1"/>
  <c r="N961" i="12" s="1"/>
  <c r="L962" i="12" a="1"/>
  <c r="M962" i="12" s="1"/>
  <c r="N962" i="12" s="1"/>
  <c r="L963" i="12" a="1"/>
  <c r="M963" i="12" s="1"/>
  <c r="N963" i="12" s="1"/>
  <c r="L964" i="12" a="1"/>
  <c r="M964" i="12" s="1"/>
  <c r="N964" i="12" s="1"/>
  <c r="L965" i="12" a="1"/>
  <c r="M965" i="12" s="1"/>
  <c r="N965" i="12" s="1"/>
  <c r="L966" i="12" a="1"/>
  <c r="M966" i="12" s="1"/>
  <c r="N966" i="12" s="1"/>
  <c r="L967" i="12" a="1"/>
  <c r="M967" i="12" s="1"/>
  <c r="N967" i="12" s="1"/>
  <c r="L968" i="12" a="1"/>
  <c r="M968" i="12" s="1"/>
  <c r="N968" i="12" s="1"/>
  <c r="L969" i="12" a="1"/>
  <c r="M969" i="12" s="1"/>
  <c r="N969" i="12" s="1"/>
  <c r="L970" i="12" a="1"/>
  <c r="M970" i="12" s="1"/>
  <c r="N970" i="12" s="1"/>
  <c r="L971" i="12" a="1"/>
  <c r="M971" i="12" s="1"/>
  <c r="N971" i="12" s="1"/>
  <c r="L972" i="12" a="1"/>
  <c r="M972" i="12" s="1"/>
  <c r="N972" i="12" s="1"/>
  <c r="L973" i="12" a="1"/>
  <c r="M973" i="12" s="1"/>
  <c r="N973" i="12" s="1"/>
  <c r="L974" i="12" a="1"/>
  <c r="M974" i="12" s="1"/>
  <c r="N974" i="12" s="1"/>
  <c r="L975" i="12" a="1"/>
  <c r="M975" i="12" s="1"/>
  <c r="N975" i="12" s="1"/>
  <c r="L976" i="12" a="1"/>
  <c r="M976" i="12" s="1"/>
  <c r="N976" i="12" s="1"/>
  <c r="L977" i="12" a="1"/>
  <c r="M977" i="12" s="1"/>
  <c r="N977" i="12" s="1"/>
  <c r="L978" i="12" a="1"/>
  <c r="M978" i="12" s="1"/>
  <c r="N978" i="12" s="1"/>
  <c r="L979" i="12" a="1"/>
  <c r="M979" i="12" s="1"/>
  <c r="N979" i="12" s="1"/>
  <c r="L980" i="12" a="1"/>
  <c r="M980" i="12" s="1"/>
  <c r="N980" i="12" s="1"/>
  <c r="L981" i="12" a="1"/>
  <c r="M981" i="12" s="1"/>
  <c r="N981" i="12" s="1"/>
  <c r="L982" i="12" a="1"/>
  <c r="M982" i="12" s="1"/>
  <c r="N982" i="12" s="1"/>
  <c r="L983" i="12" a="1"/>
  <c r="M983" i="12" s="1"/>
  <c r="N983" i="12" s="1"/>
  <c r="L984" i="12" a="1"/>
  <c r="M984" i="12" s="1"/>
  <c r="N984" i="12" s="1"/>
  <c r="L985" i="12" a="1"/>
  <c r="M985" i="12" s="1"/>
  <c r="N985" i="12" s="1"/>
  <c r="L986" i="12" a="1"/>
  <c r="M986" i="12" s="1"/>
  <c r="N986" i="12" s="1"/>
  <c r="L987" i="12" a="1"/>
  <c r="M987" i="12" s="1"/>
  <c r="N987" i="12" s="1"/>
  <c r="L988" i="12" a="1"/>
  <c r="M988" i="12" s="1"/>
  <c r="N988" i="12" s="1"/>
  <c r="L989" i="12" a="1"/>
  <c r="M989" i="12" s="1"/>
  <c r="N989" i="12" s="1"/>
  <c r="L990" i="12" a="1"/>
  <c r="M990" i="12" s="1"/>
  <c r="N990" i="12" s="1"/>
  <c r="L991" i="12" a="1"/>
  <c r="M991" i="12" s="1"/>
  <c r="N991" i="12" s="1"/>
  <c r="L992" i="12" a="1"/>
  <c r="M992" i="12" s="1"/>
  <c r="N992" i="12" s="1"/>
  <c r="L993" i="12" a="1"/>
  <c r="M993" i="12" s="1"/>
  <c r="N993" i="12" s="1"/>
  <c r="L994" i="12" a="1"/>
  <c r="M994" i="12" s="1"/>
  <c r="N994" i="12" s="1"/>
  <c r="L995" i="12" a="1"/>
  <c r="M995" i="12" s="1"/>
  <c r="N995" i="12" s="1"/>
  <c r="L996" i="12" a="1"/>
  <c r="M996" i="12" s="1"/>
  <c r="N996" i="12" s="1"/>
  <c r="L997" i="12" a="1"/>
  <c r="M997" i="12" s="1"/>
  <c r="N997" i="12" s="1"/>
  <c r="L998" i="12" a="1"/>
  <c r="M998" i="12" s="1"/>
  <c r="N998" i="12" s="1"/>
  <c r="L999" i="12" a="1"/>
  <c r="M999" i="12" s="1"/>
  <c r="N999" i="12" s="1"/>
  <c r="L1000" i="12" a="1"/>
  <c r="M1000" i="12" s="1"/>
  <c r="N1000" i="12" s="1"/>
  <c r="L1001" i="12" a="1"/>
  <c r="M1001" i="12" s="1"/>
  <c r="N1001" i="12" s="1"/>
  <c r="L1002" i="12" a="1"/>
  <c r="M1002" i="12" s="1"/>
  <c r="N1002" i="12" s="1"/>
  <c r="L1003" i="12" a="1"/>
  <c r="M1003" i="12" s="1"/>
  <c r="N1003" i="12" s="1"/>
  <c r="L1004" i="12" a="1"/>
  <c r="M1004" i="12" s="1"/>
  <c r="N1004" i="12" s="1"/>
  <c r="L1005" i="12" a="1"/>
  <c r="M1005" i="12" s="1"/>
  <c r="N1005" i="12" s="1"/>
  <c r="L1006" i="12" a="1"/>
  <c r="M1006" i="12" s="1"/>
  <c r="N1006" i="12" s="1"/>
  <c r="L1007" i="12" a="1"/>
  <c r="M1007" i="12" s="1"/>
  <c r="N1007" i="12" s="1"/>
  <c r="L1008" i="12" a="1"/>
  <c r="M1008" i="12" s="1"/>
  <c r="N1008" i="12" s="1"/>
  <c r="L1009" i="12" a="1"/>
  <c r="M1009" i="12" s="1"/>
  <c r="N1009" i="12" s="1"/>
  <c r="L1010" i="12" a="1"/>
  <c r="M1010" i="12" s="1"/>
  <c r="N1010" i="12" s="1"/>
  <c r="L1011" i="12" a="1"/>
  <c r="M1011" i="12" s="1"/>
  <c r="N1011" i="12" s="1"/>
  <c r="L1012" i="12" a="1"/>
  <c r="M1012" i="12" s="1"/>
  <c r="N1012" i="12" s="1"/>
  <c r="L1013" i="12" a="1"/>
  <c r="M1013" i="12" s="1"/>
  <c r="N1013" i="12" s="1"/>
  <c r="L1014" i="12" a="1"/>
  <c r="M1014" i="12" s="1"/>
  <c r="N1014" i="12" s="1"/>
  <c r="L1015" i="12" a="1"/>
  <c r="M1015" i="12" s="1"/>
  <c r="N1015" i="12" s="1"/>
  <c r="L1016" i="12" a="1"/>
  <c r="M1016" i="12" s="1"/>
  <c r="N1016" i="12" s="1"/>
  <c r="L1017" i="12" a="1"/>
  <c r="M1017" i="12" s="1"/>
  <c r="N1017" i="12" s="1"/>
  <c r="L1018" i="12" a="1"/>
  <c r="M1018" i="12" s="1"/>
  <c r="N1018" i="12" s="1"/>
  <c r="L1019" i="12" a="1"/>
  <c r="M1019" i="12" s="1"/>
  <c r="N1019" i="12" s="1"/>
  <c r="L1020" i="12" a="1"/>
  <c r="M1020" i="12" s="1"/>
  <c r="N1020" i="12" s="1"/>
  <c r="L1021" i="12" a="1"/>
  <c r="M1021" i="12" s="1"/>
  <c r="N1021" i="12" s="1"/>
  <c r="L1022" i="12" a="1"/>
  <c r="M1022" i="12" s="1"/>
  <c r="N1022" i="12" s="1"/>
  <c r="L1023" i="12" a="1"/>
  <c r="M1023" i="12" s="1"/>
  <c r="N1023" i="12" s="1"/>
  <c r="L1024" i="12" a="1"/>
  <c r="M1024" i="12" s="1"/>
  <c r="N1024" i="12" s="1"/>
  <c r="L1025" i="12" a="1"/>
  <c r="M1025" i="12" s="1"/>
  <c r="N1025" i="12" s="1"/>
  <c r="L1026" i="12" a="1"/>
  <c r="M1026" i="12" s="1"/>
  <c r="N1026" i="12" s="1"/>
  <c r="L1027" i="12" a="1"/>
  <c r="M1027" i="12" s="1"/>
  <c r="N1027" i="12" s="1"/>
  <c r="L1028" i="12" a="1"/>
  <c r="M1028" i="12" s="1"/>
  <c r="N1028" i="12" s="1"/>
  <c r="L1029" i="12" a="1"/>
  <c r="M1029" i="12" s="1"/>
  <c r="N1029" i="12" s="1"/>
  <c r="L1030" i="12" a="1"/>
  <c r="M1030" i="12" s="1"/>
  <c r="N1030" i="12" s="1"/>
  <c r="L1031" i="12" a="1"/>
  <c r="M1031" i="12" s="1"/>
  <c r="N1031" i="12" s="1"/>
  <c r="L1032" i="12" a="1"/>
  <c r="M1032" i="12" s="1"/>
  <c r="N1032" i="12" s="1"/>
  <c r="L1033" i="12" a="1"/>
  <c r="M1033" i="12" s="1"/>
  <c r="N1033" i="12" s="1"/>
  <c r="L1034" i="12" a="1"/>
  <c r="M1034" i="12" s="1"/>
  <c r="N1034" i="12" s="1"/>
  <c r="L1035" i="12" a="1"/>
  <c r="M1035" i="12" s="1"/>
  <c r="N1035" i="12" s="1"/>
  <c r="L1036" i="12" a="1"/>
  <c r="M1036" i="12" s="1"/>
  <c r="N1036" i="12" s="1"/>
  <c r="L1037" i="12" a="1"/>
  <c r="M1037" i="12" s="1"/>
  <c r="N1037" i="12" s="1"/>
  <c r="L1038" i="12" a="1"/>
  <c r="M1038" i="12" s="1"/>
  <c r="N1038" i="12" s="1"/>
  <c r="L1039" i="12" a="1"/>
  <c r="M1039" i="12" s="1"/>
  <c r="N1039" i="12" s="1"/>
  <c r="L1040" i="12" a="1"/>
  <c r="M1040" i="12" s="1"/>
  <c r="N1040" i="12" s="1"/>
  <c r="L1041" i="12" a="1"/>
  <c r="M1041" i="12" s="1"/>
  <c r="N1041" i="12" s="1"/>
  <c r="L1042" i="12" a="1"/>
  <c r="M1042" i="12" s="1"/>
  <c r="N1042" i="12" s="1"/>
  <c r="L1043" i="12" a="1"/>
  <c r="M1043" i="12" s="1"/>
  <c r="N1043" i="12" s="1"/>
  <c r="L1044" i="12" a="1"/>
  <c r="M1044" i="12" s="1"/>
  <c r="N1044" i="12" s="1"/>
  <c r="L1045" i="12" a="1"/>
  <c r="M1045" i="12" s="1"/>
  <c r="N1045" i="12" s="1"/>
  <c r="L1046" i="12" a="1"/>
  <c r="M1046" i="12" s="1"/>
  <c r="N1046" i="12" s="1"/>
  <c r="L1047" i="12" a="1"/>
  <c r="M1047" i="12" s="1"/>
  <c r="N1047" i="12" s="1"/>
  <c r="L1048" i="12" a="1"/>
  <c r="M1048" i="12" s="1"/>
  <c r="N1048" i="12" s="1"/>
  <c r="L1049" i="12" a="1"/>
  <c r="M1049" i="12" s="1"/>
  <c r="N1049" i="12" s="1"/>
  <c r="L1050" i="12" a="1"/>
  <c r="M1050" i="12" s="1"/>
  <c r="N1050" i="12" s="1"/>
  <c r="L1051" i="12" a="1"/>
  <c r="M1051" i="12" s="1"/>
  <c r="N1051" i="12" s="1"/>
  <c r="L1052" i="12" a="1"/>
  <c r="M1052" i="12" s="1"/>
  <c r="N1052" i="12" s="1"/>
  <c r="L1053" i="12" a="1"/>
  <c r="M1053" i="12" s="1"/>
  <c r="N1053" i="12" s="1"/>
  <c r="L1054" i="12" a="1"/>
  <c r="M1054" i="12" s="1"/>
  <c r="N1054" i="12" s="1"/>
  <c r="L1055" i="12" a="1"/>
  <c r="M1055" i="12" s="1"/>
  <c r="N1055" i="12" s="1"/>
  <c r="L1056" i="12" a="1"/>
  <c r="M1056" i="12" s="1"/>
  <c r="N1056" i="12" s="1"/>
  <c r="L1057" i="12" a="1"/>
  <c r="M1057" i="12" s="1"/>
  <c r="N1057" i="12" s="1"/>
  <c r="L1058" i="12" a="1"/>
  <c r="M1058" i="12" s="1"/>
  <c r="N1058" i="12" s="1"/>
  <c r="L1059" i="12" a="1"/>
  <c r="M1059" i="12" s="1"/>
  <c r="N1059" i="12" s="1"/>
  <c r="L1060" i="12" a="1"/>
  <c r="M1060" i="12" s="1"/>
  <c r="N1060" i="12" s="1"/>
  <c r="L1061" i="12" a="1"/>
  <c r="M1061" i="12" s="1"/>
  <c r="N1061" i="12" s="1"/>
  <c r="L1062" i="12" a="1"/>
  <c r="M1062" i="12" s="1"/>
  <c r="N1062" i="12" s="1"/>
  <c r="L1063" i="12" a="1"/>
  <c r="M1063" i="12" s="1"/>
  <c r="N1063" i="12" s="1"/>
  <c r="L1064" i="12" a="1"/>
  <c r="M1064" i="12" s="1"/>
  <c r="N1064" i="12" s="1"/>
  <c r="L1065" i="12" a="1"/>
  <c r="M1065" i="12" s="1"/>
  <c r="N1065" i="12" s="1"/>
  <c r="L1066" i="12" a="1"/>
  <c r="M1066" i="12" s="1"/>
  <c r="N1066" i="12" s="1"/>
  <c r="L1067" i="12" a="1"/>
  <c r="M1067" i="12" s="1"/>
  <c r="N1067" i="12" s="1"/>
  <c r="L1068" i="12" a="1"/>
  <c r="M1068" i="12" s="1"/>
  <c r="N1068" i="12" s="1"/>
  <c r="L1069" i="12" a="1"/>
  <c r="M1069" i="12" s="1"/>
  <c r="N1069" i="12" s="1"/>
  <c r="L1070" i="12" a="1"/>
  <c r="M1070" i="12" s="1"/>
  <c r="N1070" i="12" s="1"/>
  <c r="L1071" i="12" a="1"/>
  <c r="M1071" i="12" s="1"/>
  <c r="N1071" i="12" s="1"/>
  <c r="L1072" i="12" a="1"/>
  <c r="M1072" i="12" s="1"/>
  <c r="N1072" i="12" s="1"/>
  <c r="L1073" i="12" a="1"/>
  <c r="M1073" i="12" s="1"/>
  <c r="N1073" i="12" s="1"/>
  <c r="L1074" i="12" a="1"/>
  <c r="M1074" i="12" s="1"/>
  <c r="N1074" i="12" s="1"/>
  <c r="L1075" i="12" a="1"/>
  <c r="M1075" i="12" s="1"/>
  <c r="N1075" i="12" s="1"/>
  <c r="L1076" i="12" a="1"/>
  <c r="M1076" i="12" s="1"/>
  <c r="N1076" i="12" s="1"/>
  <c r="L1077" i="12" a="1"/>
  <c r="M1077" i="12" s="1"/>
  <c r="N1077" i="12" s="1"/>
  <c r="L1078" i="12" a="1"/>
  <c r="M1078" i="12" s="1"/>
  <c r="N1078" i="12" s="1"/>
  <c r="L1079" i="12" a="1"/>
  <c r="M1079" i="12" s="1"/>
  <c r="N1079" i="12" s="1"/>
  <c r="L1080" i="12" a="1"/>
  <c r="M1080" i="12" s="1"/>
  <c r="N1080" i="12" s="1"/>
  <c r="L1081" i="12" a="1"/>
  <c r="M1081" i="12" s="1"/>
  <c r="N1081" i="12" s="1"/>
  <c r="L830" i="12" a="1"/>
  <c r="M830" i="12" s="1"/>
  <c r="N830" i="12" s="1"/>
  <c r="L831" i="12" a="1"/>
  <c r="M831" i="12" s="1"/>
  <c r="N831" i="12" s="1"/>
  <c r="L832" i="12" a="1"/>
  <c r="M832" i="12" s="1"/>
  <c r="N832" i="12" s="1"/>
  <c r="L833" i="12" a="1"/>
  <c r="M833" i="12" s="1"/>
  <c r="N833" i="12" s="1"/>
  <c r="L834" i="12" a="1"/>
  <c r="M834" i="12" s="1"/>
  <c r="N834" i="12" s="1"/>
  <c r="L835" i="12" a="1"/>
  <c r="M835" i="12" s="1"/>
  <c r="N835" i="12" s="1"/>
  <c r="L836" i="12" a="1"/>
  <c r="M836" i="12" s="1"/>
  <c r="N836" i="12" s="1"/>
  <c r="L837" i="12" a="1"/>
  <c r="M837" i="12" s="1"/>
  <c r="N837" i="12" s="1"/>
  <c r="L838" i="12" a="1"/>
  <c r="M838" i="12" s="1"/>
  <c r="N838" i="12" s="1"/>
  <c r="L839" i="12" a="1"/>
  <c r="M839" i="12" s="1"/>
  <c r="N839" i="12" s="1"/>
  <c r="L840" i="12" a="1"/>
  <c r="M840" i="12" s="1"/>
  <c r="N840" i="12" s="1"/>
  <c r="L841" i="12" a="1"/>
  <c r="M841" i="12" s="1"/>
  <c r="N841" i="12" s="1"/>
  <c r="L842" i="12" a="1"/>
  <c r="M842" i="12" s="1"/>
  <c r="N842" i="12" s="1"/>
  <c r="L843" i="12" a="1"/>
  <c r="M843" i="12" s="1"/>
  <c r="N843" i="12" s="1"/>
  <c r="L844" i="12" a="1"/>
  <c r="M844" i="12" s="1"/>
  <c r="N844" i="12" s="1"/>
  <c r="L845" i="12" a="1"/>
  <c r="M845" i="12" s="1"/>
  <c r="N845" i="12" s="1"/>
  <c r="L846" i="12" a="1"/>
  <c r="M846" i="12" s="1"/>
  <c r="N846" i="12" s="1"/>
  <c r="L847" i="12" a="1"/>
  <c r="M847" i="12" s="1"/>
  <c r="N847" i="12" s="1"/>
  <c r="L758" i="12" a="1"/>
  <c r="M758" i="12" s="1"/>
  <c r="N758" i="12" s="1"/>
  <c r="L759" i="12" a="1"/>
  <c r="M759" i="12" s="1"/>
  <c r="N759" i="12" s="1"/>
  <c r="L760" i="12" a="1"/>
  <c r="M760" i="12" s="1"/>
  <c r="N760" i="12" s="1"/>
  <c r="L761" i="12" a="1"/>
  <c r="M761" i="12" s="1"/>
  <c r="N761" i="12" s="1"/>
  <c r="L762" i="12" a="1"/>
  <c r="M762" i="12" s="1"/>
  <c r="N762" i="12" s="1"/>
  <c r="L763" i="12" a="1"/>
  <c r="M763" i="12" s="1"/>
  <c r="N763" i="12" s="1"/>
  <c r="L764" i="12" a="1"/>
  <c r="M764" i="12" s="1"/>
  <c r="N764" i="12" s="1"/>
  <c r="L765" i="12" a="1"/>
  <c r="M765" i="12" s="1"/>
  <c r="N765" i="12" s="1"/>
  <c r="L766" i="12" a="1"/>
  <c r="M766" i="12" s="1"/>
  <c r="N766" i="12" s="1"/>
  <c r="L767" i="12" a="1"/>
  <c r="M767" i="12" s="1"/>
  <c r="N767" i="12" s="1"/>
  <c r="L768" i="12" a="1"/>
  <c r="M768" i="12" s="1"/>
  <c r="N768" i="12" s="1"/>
  <c r="L769" i="12" a="1"/>
  <c r="M769" i="12" s="1"/>
  <c r="N769" i="12" s="1"/>
  <c r="L770" i="12" a="1"/>
  <c r="M770" i="12" s="1"/>
  <c r="N770" i="12" s="1"/>
  <c r="L771" i="12" a="1"/>
  <c r="M771" i="12" s="1"/>
  <c r="N771" i="12" s="1"/>
  <c r="L772" i="12" a="1"/>
  <c r="M772" i="12" s="1"/>
  <c r="N772" i="12" s="1"/>
  <c r="L773" i="12" a="1"/>
  <c r="M773" i="12" s="1"/>
  <c r="N773" i="12" s="1"/>
  <c r="L774" i="12" a="1"/>
  <c r="M774" i="12" s="1"/>
  <c r="N774" i="12" s="1"/>
  <c r="L775" i="12" a="1"/>
  <c r="M775" i="12" s="1"/>
  <c r="N775" i="12" s="1"/>
  <c r="L776" i="12" a="1"/>
  <c r="M776" i="12" s="1"/>
  <c r="N776" i="12" s="1"/>
  <c r="L777" i="12" a="1"/>
  <c r="M777" i="12" s="1"/>
  <c r="N777" i="12" s="1"/>
  <c r="L778" i="12" a="1"/>
  <c r="M778" i="12" s="1"/>
  <c r="N778" i="12" s="1"/>
  <c r="L779" i="12" a="1"/>
  <c r="M779" i="12" s="1"/>
  <c r="N779" i="12" s="1"/>
  <c r="L780" i="12" a="1"/>
  <c r="M780" i="12" s="1"/>
  <c r="N780" i="12" s="1"/>
  <c r="L781" i="12" a="1"/>
  <c r="M781" i="12" s="1"/>
  <c r="N781" i="12" s="1"/>
  <c r="L782" i="12" a="1"/>
  <c r="M782" i="12" s="1"/>
  <c r="N782" i="12" s="1"/>
  <c r="L783" i="12" a="1"/>
  <c r="M783" i="12" s="1"/>
  <c r="N783" i="12" s="1"/>
  <c r="L784" i="12" a="1"/>
  <c r="M784" i="12" s="1"/>
  <c r="N784" i="12" s="1"/>
  <c r="L785" i="12" a="1"/>
  <c r="M785" i="12" s="1"/>
  <c r="N785" i="12" s="1"/>
  <c r="L786" i="12" a="1"/>
  <c r="M786" i="12" s="1"/>
  <c r="N786" i="12" s="1"/>
  <c r="L787" i="12" a="1"/>
  <c r="M787" i="12" s="1"/>
  <c r="N787" i="12" s="1"/>
  <c r="L788" i="12" a="1"/>
  <c r="M788" i="12" s="1"/>
  <c r="N788" i="12" s="1"/>
  <c r="L789" i="12" a="1"/>
  <c r="M789" i="12" s="1"/>
  <c r="N789" i="12" s="1"/>
  <c r="L790" i="12" a="1"/>
  <c r="M790" i="12" s="1"/>
  <c r="N790" i="12" s="1"/>
  <c r="L791" i="12" a="1"/>
  <c r="M791" i="12" s="1"/>
  <c r="N791" i="12" s="1"/>
  <c r="L792" i="12" a="1"/>
  <c r="M792" i="12" s="1"/>
  <c r="N792" i="12" s="1"/>
  <c r="L793" i="12" a="1"/>
  <c r="M793" i="12" s="1"/>
  <c r="N793" i="12" s="1"/>
  <c r="L794" i="12" a="1"/>
  <c r="M794" i="12" s="1"/>
  <c r="N794" i="12" s="1"/>
  <c r="L795" i="12" a="1"/>
  <c r="M795" i="12" s="1"/>
  <c r="N795" i="12" s="1"/>
  <c r="L796" i="12" a="1"/>
  <c r="M796" i="12" s="1"/>
  <c r="N796" i="12" s="1"/>
  <c r="L797" i="12" a="1"/>
  <c r="M797" i="12" s="1"/>
  <c r="N797" i="12" s="1"/>
  <c r="L798" i="12" a="1"/>
  <c r="M798" i="12" s="1"/>
  <c r="N798" i="12" s="1"/>
  <c r="L799" i="12" a="1"/>
  <c r="M799" i="12" s="1"/>
  <c r="N799" i="12" s="1"/>
  <c r="L800" i="12" a="1"/>
  <c r="M800" i="12" s="1"/>
  <c r="N800" i="12" s="1"/>
  <c r="L801" i="12" a="1"/>
  <c r="M801" i="12" s="1"/>
  <c r="N801" i="12" s="1"/>
  <c r="L802" i="12" a="1"/>
  <c r="M802" i="12" s="1"/>
  <c r="N802" i="12" s="1"/>
  <c r="L803" i="12" a="1"/>
  <c r="M803" i="12" s="1"/>
  <c r="N803" i="12" s="1"/>
  <c r="L804" i="12" a="1"/>
  <c r="M804" i="12" s="1"/>
  <c r="N804" i="12" s="1"/>
  <c r="L805" i="12" a="1"/>
  <c r="M805" i="12" s="1"/>
  <c r="N805" i="12" s="1"/>
  <c r="L806" i="12" a="1"/>
  <c r="M806" i="12" s="1"/>
  <c r="N806" i="12" s="1"/>
  <c r="L807" i="12" a="1"/>
  <c r="M807" i="12" s="1"/>
  <c r="N807" i="12" s="1"/>
  <c r="L808" i="12" a="1"/>
  <c r="M808" i="12" s="1"/>
  <c r="N808" i="12" s="1"/>
  <c r="L809" i="12" a="1"/>
  <c r="M809" i="12" s="1"/>
  <c r="N809" i="12" s="1"/>
  <c r="L810" i="12" a="1"/>
  <c r="M810" i="12" s="1"/>
  <c r="N810" i="12" s="1"/>
  <c r="L811" i="12" a="1"/>
  <c r="M811" i="12" s="1"/>
  <c r="N811" i="12" s="1"/>
  <c r="L812" i="12" a="1"/>
  <c r="M812" i="12" s="1"/>
  <c r="N812" i="12" s="1"/>
  <c r="L813" i="12" a="1"/>
  <c r="M813" i="12" s="1"/>
  <c r="N813" i="12" s="1"/>
  <c r="L814" i="12" a="1"/>
  <c r="M814" i="12" s="1"/>
  <c r="N814" i="12" s="1"/>
  <c r="L815" i="12" a="1"/>
  <c r="M815" i="12" s="1"/>
  <c r="N815" i="12" s="1"/>
  <c r="L816" i="12" a="1"/>
  <c r="M816" i="12" s="1"/>
  <c r="N816" i="12" s="1"/>
  <c r="L817" i="12" a="1"/>
  <c r="M817" i="12" s="1"/>
  <c r="N817" i="12" s="1"/>
  <c r="L818" i="12" a="1"/>
  <c r="M818" i="12" s="1"/>
  <c r="N818" i="12" s="1"/>
  <c r="L819" i="12" a="1"/>
  <c r="M819" i="12" s="1"/>
  <c r="N819" i="12" s="1"/>
  <c r="L820" i="12" a="1"/>
  <c r="M820" i="12" s="1"/>
  <c r="N820" i="12" s="1"/>
  <c r="L821" i="12" a="1"/>
  <c r="M821" i="12" s="1"/>
  <c r="N821" i="12" s="1"/>
  <c r="L822" i="12" a="1"/>
  <c r="M822" i="12" s="1"/>
  <c r="N822" i="12" s="1"/>
  <c r="L823" i="12" a="1"/>
  <c r="M823" i="12" s="1"/>
  <c r="N823" i="12" s="1"/>
  <c r="L824" i="12" a="1"/>
  <c r="M824" i="12" s="1"/>
  <c r="N824" i="12" s="1"/>
  <c r="L825" i="12" a="1"/>
  <c r="M825" i="12" s="1"/>
  <c r="N825" i="12" s="1"/>
  <c r="L826" i="12" a="1"/>
  <c r="M826" i="12" s="1"/>
  <c r="N826" i="12" s="1"/>
  <c r="L827" i="12" a="1"/>
  <c r="M827" i="12" s="1"/>
  <c r="N827" i="12" s="1"/>
  <c r="L828" i="12" a="1"/>
  <c r="M828" i="12" s="1"/>
  <c r="N828" i="12" s="1"/>
  <c r="L829" i="12" a="1"/>
  <c r="M829" i="12" s="1"/>
  <c r="N829" i="12" s="1"/>
  <c r="L3" i="12" a="1"/>
  <c r="M3" i="12" s="1"/>
  <c r="N3" i="12" s="1"/>
  <c r="L4" i="12" a="1"/>
  <c r="M4" i="12" s="1"/>
  <c r="N4" i="12" s="1"/>
  <c r="L5" i="12" a="1"/>
  <c r="M5" i="12" s="1"/>
  <c r="N5" i="12" s="1"/>
  <c r="L6" i="12" a="1"/>
  <c r="M6" i="12" s="1"/>
  <c r="N6" i="12" s="1"/>
  <c r="L7" i="12" a="1"/>
  <c r="M7" i="12" s="1"/>
  <c r="N7" i="12" s="1"/>
  <c r="L8" i="12" a="1"/>
  <c r="M8" i="12" s="1"/>
  <c r="N8" i="12" s="1"/>
  <c r="L9" i="12" a="1"/>
  <c r="M9" i="12" s="1"/>
  <c r="N9" i="12" s="1"/>
  <c r="L10" i="12" a="1"/>
  <c r="M10" i="12" s="1"/>
  <c r="N10" i="12" s="1"/>
  <c r="L11" i="12" a="1"/>
  <c r="M11" i="12" s="1"/>
  <c r="N11" i="12" s="1"/>
  <c r="L12" i="12" a="1"/>
  <c r="M12" i="12" s="1"/>
  <c r="N12" i="12" s="1"/>
  <c r="L13" i="12" a="1"/>
  <c r="M13" i="12" s="1"/>
  <c r="N13" i="12" s="1"/>
  <c r="L14" i="12" a="1"/>
  <c r="M14" i="12" s="1"/>
  <c r="N14" i="12" s="1"/>
  <c r="L15" i="12" a="1"/>
  <c r="M15" i="12" s="1"/>
  <c r="N15" i="12" s="1"/>
  <c r="L16" i="12" a="1"/>
  <c r="M16" i="12" s="1"/>
  <c r="N16" i="12" s="1"/>
  <c r="L17" i="12" a="1"/>
  <c r="M17" i="12" s="1"/>
  <c r="N17" i="12" s="1"/>
  <c r="L18" i="12" a="1"/>
  <c r="M18" i="12" s="1"/>
  <c r="N18" i="12" s="1"/>
  <c r="L19" i="12" a="1"/>
  <c r="M19" i="12" s="1"/>
  <c r="N19" i="12" s="1"/>
  <c r="L20" i="12" a="1"/>
  <c r="M20" i="12" s="1"/>
  <c r="N20" i="12" s="1"/>
  <c r="L21" i="12" a="1"/>
  <c r="M21" i="12" s="1"/>
  <c r="N21" i="12" s="1"/>
  <c r="L22" i="12" a="1"/>
  <c r="M22" i="12" s="1"/>
  <c r="N22" i="12" s="1"/>
  <c r="L23" i="12" a="1"/>
  <c r="M23" i="12" s="1"/>
  <c r="N23" i="12" s="1"/>
  <c r="L24" i="12" a="1"/>
  <c r="M24" i="12" s="1"/>
  <c r="N24" i="12" s="1"/>
  <c r="L25" i="12" a="1"/>
  <c r="M25" i="12" s="1"/>
  <c r="N25" i="12" s="1"/>
  <c r="L26" i="12" a="1"/>
  <c r="M26" i="12" s="1"/>
  <c r="N26" i="12" s="1"/>
  <c r="L27" i="12" a="1"/>
  <c r="M27" i="12" s="1"/>
  <c r="N27" i="12" s="1"/>
  <c r="L28" i="12" a="1"/>
  <c r="M28" i="12" s="1"/>
  <c r="N28" i="12" s="1"/>
  <c r="L29" i="12" a="1"/>
  <c r="M29" i="12" s="1"/>
  <c r="N29" i="12" s="1"/>
  <c r="L30" i="12" a="1"/>
  <c r="M30" i="12" s="1"/>
  <c r="N30" i="12" s="1"/>
  <c r="L31" i="12" a="1"/>
  <c r="M31" i="12" s="1"/>
  <c r="N31" i="12" s="1"/>
  <c r="L32" i="12" a="1"/>
  <c r="M32" i="12" s="1"/>
  <c r="N32" i="12" s="1"/>
  <c r="L33" i="12" a="1"/>
  <c r="M33" i="12" s="1"/>
  <c r="N33" i="12" s="1"/>
  <c r="L34" i="12" a="1"/>
  <c r="M34" i="12" s="1"/>
  <c r="N34" i="12" s="1"/>
  <c r="L35" i="12" a="1"/>
  <c r="M35" i="12" s="1"/>
  <c r="N35" i="12" s="1"/>
  <c r="L36" i="12" a="1"/>
  <c r="M36" i="12" s="1"/>
  <c r="N36" i="12" s="1"/>
  <c r="L37" i="12" a="1"/>
  <c r="M37" i="12" s="1"/>
  <c r="N37" i="12" s="1"/>
  <c r="L38" i="12" a="1"/>
  <c r="M38" i="12" s="1"/>
  <c r="N38" i="12" s="1"/>
  <c r="L39" i="12" a="1"/>
  <c r="M39" i="12" s="1"/>
  <c r="N39" i="12" s="1"/>
  <c r="L40" i="12" a="1"/>
  <c r="M40" i="12" s="1"/>
  <c r="N40" i="12" s="1"/>
  <c r="L41" i="12" a="1"/>
  <c r="M41" i="12" s="1"/>
  <c r="N41" i="12" s="1"/>
  <c r="L42" i="12" a="1"/>
  <c r="M42" i="12" s="1"/>
  <c r="N42" i="12" s="1"/>
  <c r="L43" i="12" a="1"/>
  <c r="M43" i="12" s="1"/>
  <c r="N43" i="12" s="1"/>
  <c r="L44" i="12" a="1"/>
  <c r="M44" i="12" s="1"/>
  <c r="N44" i="12" s="1"/>
  <c r="L45" i="12" a="1"/>
  <c r="M45" i="12" s="1"/>
  <c r="N45" i="12" s="1"/>
  <c r="L46" i="12" a="1"/>
  <c r="M46" i="12" s="1"/>
  <c r="N46" i="12" s="1"/>
  <c r="L47" i="12" a="1"/>
  <c r="M47" i="12" s="1"/>
  <c r="N47" i="12" s="1"/>
  <c r="L48" i="12" a="1"/>
  <c r="M48" i="12" s="1"/>
  <c r="N48" i="12" s="1"/>
  <c r="L49" i="12" a="1"/>
  <c r="M49" i="12" s="1"/>
  <c r="N49" i="12" s="1"/>
  <c r="L50" i="12" a="1"/>
  <c r="M50" i="12" s="1"/>
  <c r="N50" i="12" s="1"/>
  <c r="L51" i="12" a="1"/>
  <c r="M51" i="12" s="1"/>
  <c r="N51" i="12" s="1"/>
  <c r="L52" i="12" a="1"/>
  <c r="M52" i="12" s="1"/>
  <c r="N52" i="12" s="1"/>
  <c r="L53" i="12" a="1"/>
  <c r="M53" i="12" s="1"/>
  <c r="N53" i="12" s="1"/>
  <c r="L54" i="12" a="1"/>
  <c r="M54" i="12" s="1"/>
  <c r="N54" i="12" s="1"/>
  <c r="L55" i="12" a="1"/>
  <c r="M55" i="12" s="1"/>
  <c r="N55" i="12" s="1"/>
  <c r="L56" i="12" a="1"/>
  <c r="M56" i="12" s="1"/>
  <c r="N56" i="12" s="1"/>
  <c r="L57" i="12" a="1"/>
  <c r="M57" i="12" s="1"/>
  <c r="N57" i="12" s="1"/>
  <c r="L58" i="12" a="1"/>
  <c r="M58" i="12" s="1"/>
  <c r="N58" i="12" s="1"/>
  <c r="L59" i="12" a="1"/>
  <c r="M59" i="12" s="1"/>
  <c r="N59" i="12" s="1"/>
  <c r="L60" i="12" a="1"/>
  <c r="M60" i="12" s="1"/>
  <c r="N60" i="12" s="1"/>
  <c r="L61" i="12" a="1"/>
  <c r="M61" i="12" s="1"/>
  <c r="N61" i="12" s="1"/>
  <c r="L62" i="12" a="1"/>
  <c r="M62" i="12" s="1"/>
  <c r="N62" i="12" s="1"/>
  <c r="L63" i="12" a="1"/>
  <c r="M63" i="12" s="1"/>
  <c r="N63" i="12" s="1"/>
  <c r="L64" i="12" a="1"/>
  <c r="M64" i="12" s="1"/>
  <c r="N64" i="12" s="1"/>
  <c r="L65" i="12" a="1"/>
  <c r="M65" i="12" s="1"/>
  <c r="N65" i="12" s="1"/>
  <c r="L66" i="12" a="1"/>
  <c r="M66" i="12" s="1"/>
  <c r="N66" i="12" s="1"/>
  <c r="L67" i="12" a="1"/>
  <c r="M67" i="12" s="1"/>
  <c r="N67" i="12" s="1"/>
  <c r="L68" i="12" a="1"/>
  <c r="M68" i="12" s="1"/>
  <c r="N68" i="12" s="1"/>
  <c r="L69" i="12" a="1"/>
  <c r="M69" i="12" s="1"/>
  <c r="N69" i="12" s="1"/>
  <c r="L70" i="12" a="1"/>
  <c r="M70" i="12" s="1"/>
  <c r="N70" i="12" s="1"/>
  <c r="L71" i="12" a="1"/>
  <c r="M71" i="12" s="1"/>
  <c r="N71" i="12" s="1"/>
  <c r="L72" i="12" a="1"/>
  <c r="M72" i="12" s="1"/>
  <c r="N72" i="12" s="1"/>
  <c r="L73" i="12" a="1"/>
  <c r="M73" i="12" s="1"/>
  <c r="N73" i="12" s="1"/>
  <c r="L74" i="12" a="1"/>
  <c r="M74" i="12" s="1"/>
  <c r="N74" i="12" s="1"/>
  <c r="L75" i="12" a="1"/>
  <c r="M75" i="12" s="1"/>
  <c r="N75" i="12" s="1"/>
  <c r="L76" i="12" a="1"/>
  <c r="M76" i="12" s="1"/>
  <c r="N76" i="12" s="1"/>
  <c r="L77" i="12" a="1"/>
  <c r="M77" i="12" s="1"/>
  <c r="N77" i="12" s="1"/>
  <c r="L78" i="12" a="1"/>
  <c r="M78" i="12" s="1"/>
  <c r="N78" i="12" s="1"/>
  <c r="L79" i="12" a="1"/>
  <c r="M79" i="12" s="1"/>
  <c r="N79" i="12" s="1"/>
  <c r="L80" i="12" a="1"/>
  <c r="M80" i="12" s="1"/>
  <c r="N80" i="12" s="1"/>
  <c r="L81" i="12" a="1"/>
  <c r="M81" i="12" s="1"/>
  <c r="N81" i="12" s="1"/>
  <c r="L82" i="12" a="1"/>
  <c r="M82" i="12" s="1"/>
  <c r="N82" i="12" s="1"/>
  <c r="L83" i="12" a="1"/>
  <c r="M83" i="12" s="1"/>
  <c r="N83" i="12" s="1"/>
  <c r="L84" i="12" a="1"/>
  <c r="M84" i="12" s="1"/>
  <c r="N84" i="12" s="1"/>
  <c r="L85" i="12" a="1"/>
  <c r="M85" i="12" s="1"/>
  <c r="N85" i="12" s="1"/>
  <c r="L86" i="12" a="1"/>
  <c r="M86" i="12" s="1"/>
  <c r="N86" i="12" s="1"/>
  <c r="L87" i="12" a="1"/>
  <c r="M87" i="12" s="1"/>
  <c r="N87" i="12" s="1"/>
  <c r="L88" i="12" a="1"/>
  <c r="M88" i="12" s="1"/>
  <c r="N88" i="12" s="1"/>
  <c r="L89" i="12" a="1"/>
  <c r="M89" i="12" s="1"/>
  <c r="N89" i="12" s="1"/>
  <c r="L90" i="12" a="1"/>
  <c r="M90" i="12" s="1"/>
  <c r="N90" i="12" s="1"/>
  <c r="L91" i="12" a="1"/>
  <c r="M91" i="12" s="1"/>
  <c r="N91" i="12" s="1"/>
  <c r="L92" i="12" a="1"/>
  <c r="M92" i="12" s="1"/>
  <c r="N92" i="12" s="1"/>
  <c r="L93" i="12" a="1"/>
  <c r="M93" i="12" s="1"/>
  <c r="N93" i="12" s="1"/>
  <c r="L94" i="12" a="1"/>
  <c r="M94" i="12" s="1"/>
  <c r="N94" i="12" s="1"/>
  <c r="L95" i="12" a="1"/>
  <c r="M95" i="12" s="1"/>
  <c r="N95" i="12" s="1"/>
  <c r="L96" i="12" a="1"/>
  <c r="M96" i="12" s="1"/>
  <c r="N96" i="12" s="1"/>
  <c r="L97" i="12" a="1"/>
  <c r="M97" i="12" s="1"/>
  <c r="N97" i="12" s="1"/>
  <c r="L98" i="12" a="1"/>
  <c r="M98" i="12" s="1"/>
  <c r="N98" i="12" s="1"/>
  <c r="L99" i="12" a="1"/>
  <c r="M99" i="12" s="1"/>
  <c r="N99" i="12" s="1"/>
  <c r="L100" i="12" a="1"/>
  <c r="M100" i="12" s="1"/>
  <c r="N100" i="12" s="1"/>
  <c r="L101" i="12" a="1"/>
  <c r="M101" i="12" s="1"/>
  <c r="N101" i="12" s="1"/>
  <c r="L102" i="12" a="1"/>
  <c r="M102" i="12" s="1"/>
  <c r="N102" i="12" s="1"/>
  <c r="L103" i="12" a="1"/>
  <c r="M103" i="12" s="1"/>
  <c r="N103" i="12" s="1"/>
  <c r="L104" i="12" a="1"/>
  <c r="M104" i="12" s="1"/>
  <c r="N104" i="12" s="1"/>
  <c r="L105" i="12" a="1"/>
  <c r="M105" i="12" s="1"/>
  <c r="N105" i="12" s="1"/>
  <c r="L106" i="12" a="1"/>
  <c r="M106" i="12" s="1"/>
  <c r="N106" i="12" s="1"/>
  <c r="L107" i="12" a="1"/>
  <c r="M107" i="12" s="1"/>
  <c r="N107" i="12" s="1"/>
  <c r="L108" i="12" a="1"/>
  <c r="M108" i="12" s="1"/>
  <c r="N108" i="12" s="1"/>
  <c r="L109" i="12" a="1"/>
  <c r="M109" i="12" s="1"/>
  <c r="N109" i="12" s="1"/>
  <c r="L110" i="12" a="1"/>
  <c r="M110" i="12" s="1"/>
  <c r="N110" i="12" s="1"/>
  <c r="L111" i="12" a="1"/>
  <c r="M111" i="12" s="1"/>
  <c r="N111" i="12" s="1"/>
  <c r="L112" i="12" a="1"/>
  <c r="M112" i="12" s="1"/>
  <c r="N112" i="12" s="1"/>
  <c r="L113" i="12" a="1"/>
  <c r="M113" i="12" s="1"/>
  <c r="N113" i="12" s="1"/>
  <c r="L114" i="12" a="1"/>
  <c r="M114" i="12" s="1"/>
  <c r="N114" i="12" s="1"/>
  <c r="L115" i="12" a="1"/>
  <c r="M115" i="12" s="1"/>
  <c r="N115" i="12" s="1"/>
  <c r="L116" i="12" a="1"/>
  <c r="M116" i="12" s="1"/>
  <c r="N116" i="12" s="1"/>
  <c r="L117" i="12" a="1"/>
  <c r="M117" i="12" s="1"/>
  <c r="N117" i="12" s="1"/>
  <c r="L118" i="12" a="1"/>
  <c r="M118" i="12" s="1"/>
  <c r="N118" i="12" s="1"/>
  <c r="L119" i="12" a="1"/>
  <c r="M119" i="12" s="1"/>
  <c r="N119" i="12" s="1"/>
  <c r="L120" i="12" a="1"/>
  <c r="M120" i="12" s="1"/>
  <c r="N120" i="12" s="1"/>
  <c r="L121" i="12" a="1"/>
  <c r="M121" i="12" s="1"/>
  <c r="N121" i="12" s="1"/>
  <c r="L122" i="12" a="1"/>
  <c r="M122" i="12" s="1"/>
  <c r="N122" i="12" s="1"/>
  <c r="L123" i="12" a="1"/>
  <c r="M123" i="12" s="1"/>
  <c r="N123" i="12" s="1"/>
  <c r="L124" i="12" a="1"/>
  <c r="M124" i="12" s="1"/>
  <c r="N124" i="12" s="1"/>
  <c r="L125" i="12" a="1"/>
  <c r="M125" i="12" s="1"/>
  <c r="N125" i="12" s="1"/>
  <c r="L126" i="12" a="1"/>
  <c r="M126" i="12" s="1"/>
  <c r="N126" i="12" s="1"/>
  <c r="L127" i="12" a="1"/>
  <c r="M127" i="12" s="1"/>
  <c r="N127" i="12" s="1"/>
  <c r="L128" i="12" a="1"/>
  <c r="M128" i="12" s="1"/>
  <c r="N128" i="12" s="1"/>
  <c r="L129" i="12" a="1"/>
  <c r="M129" i="12" s="1"/>
  <c r="N129" i="12" s="1"/>
  <c r="L130" i="12" a="1"/>
  <c r="M130" i="12" s="1"/>
  <c r="N130" i="12" s="1"/>
  <c r="L131" i="12" a="1"/>
  <c r="M131" i="12" s="1"/>
  <c r="N131" i="12" s="1"/>
  <c r="L132" i="12" a="1"/>
  <c r="M132" i="12" s="1"/>
  <c r="N132" i="12" s="1"/>
  <c r="L133" i="12" a="1"/>
  <c r="M133" i="12" s="1"/>
  <c r="N133" i="12" s="1"/>
  <c r="L134" i="12" a="1"/>
  <c r="M134" i="12" s="1"/>
  <c r="N134" i="12" s="1"/>
  <c r="L135" i="12" a="1"/>
  <c r="M135" i="12" s="1"/>
  <c r="N135" i="12" s="1"/>
  <c r="L136" i="12" a="1"/>
  <c r="M136" i="12" s="1"/>
  <c r="N136" i="12" s="1"/>
  <c r="L137" i="12" a="1"/>
  <c r="M137" i="12" s="1"/>
  <c r="N137" i="12" s="1"/>
  <c r="L138" i="12" a="1"/>
  <c r="M138" i="12" s="1"/>
  <c r="N138" i="12" s="1"/>
  <c r="L139" i="12" a="1"/>
  <c r="M139" i="12" s="1"/>
  <c r="N139" i="12" s="1"/>
  <c r="L140" i="12" a="1"/>
  <c r="M140" i="12" s="1"/>
  <c r="N140" i="12" s="1"/>
  <c r="L141" i="12" a="1"/>
  <c r="M141" i="12" s="1"/>
  <c r="N141" i="12" s="1"/>
  <c r="L142" i="12" a="1"/>
  <c r="M142" i="12" s="1"/>
  <c r="N142" i="12" s="1"/>
  <c r="L143" i="12" a="1"/>
  <c r="M143" i="12" s="1"/>
  <c r="N143" i="12" s="1"/>
  <c r="L144" i="12" a="1"/>
  <c r="M144" i="12" s="1"/>
  <c r="N144" i="12" s="1"/>
  <c r="L145" i="12" a="1"/>
  <c r="M145" i="12" s="1"/>
  <c r="N145" i="12" s="1"/>
  <c r="L146" i="12" a="1"/>
  <c r="M146" i="12" s="1"/>
  <c r="N146" i="12" s="1"/>
  <c r="L147" i="12" a="1"/>
  <c r="M147" i="12" s="1"/>
  <c r="N147" i="12" s="1"/>
  <c r="L148" i="12" a="1"/>
  <c r="M148" i="12" s="1"/>
  <c r="N148" i="12" s="1"/>
  <c r="L149" i="12" a="1"/>
  <c r="M149" i="12" s="1"/>
  <c r="N149" i="12" s="1"/>
  <c r="L150" i="12" a="1"/>
  <c r="M150" i="12" s="1"/>
  <c r="N150" i="12" s="1"/>
  <c r="L151" i="12" a="1"/>
  <c r="M151" i="12" s="1"/>
  <c r="N151" i="12" s="1"/>
  <c r="L152" i="12" a="1"/>
  <c r="M152" i="12" s="1"/>
  <c r="N152" i="12" s="1"/>
  <c r="L153" i="12" a="1"/>
  <c r="M153" i="12" s="1"/>
  <c r="N153" i="12" s="1"/>
  <c r="L154" i="12" a="1"/>
  <c r="M154" i="12" s="1"/>
  <c r="N154" i="12" s="1"/>
  <c r="L155" i="12" a="1"/>
  <c r="M155" i="12" s="1"/>
  <c r="N155" i="12" s="1"/>
  <c r="L156" i="12" a="1"/>
  <c r="M156" i="12" s="1"/>
  <c r="N156" i="12" s="1"/>
  <c r="L157" i="12" a="1"/>
  <c r="M157" i="12" s="1"/>
  <c r="N157" i="12" s="1"/>
  <c r="L158" i="12" a="1"/>
  <c r="M158" i="12" s="1"/>
  <c r="N158" i="12" s="1"/>
  <c r="L159" i="12" a="1"/>
  <c r="M159" i="12" s="1"/>
  <c r="N159" i="12" s="1"/>
  <c r="L160" i="12" a="1"/>
  <c r="M160" i="12" s="1"/>
  <c r="N160" i="12" s="1"/>
  <c r="L161" i="12" a="1"/>
  <c r="M161" i="12" s="1"/>
  <c r="N161" i="12" s="1"/>
  <c r="L162" i="12" a="1"/>
  <c r="M162" i="12" s="1"/>
  <c r="N162" i="12" s="1"/>
  <c r="L163" i="12" a="1"/>
  <c r="M163" i="12" s="1"/>
  <c r="N163" i="12" s="1"/>
  <c r="L164" i="12" a="1"/>
  <c r="M164" i="12" s="1"/>
  <c r="N164" i="12" s="1"/>
  <c r="L165" i="12" a="1"/>
  <c r="M165" i="12" s="1"/>
  <c r="N165" i="12" s="1"/>
  <c r="L166" i="12" a="1"/>
  <c r="M166" i="12" s="1"/>
  <c r="N166" i="12" s="1"/>
  <c r="L167" i="12" a="1"/>
  <c r="M167" i="12" s="1"/>
  <c r="N167" i="12" s="1"/>
  <c r="L168" i="12" a="1"/>
  <c r="M168" i="12" s="1"/>
  <c r="N168" i="12" s="1"/>
  <c r="L169" i="12" a="1"/>
  <c r="M169" i="12" s="1"/>
  <c r="N169" i="12" s="1"/>
  <c r="L170" i="12" a="1"/>
  <c r="M170" i="12" s="1"/>
  <c r="N170" i="12" s="1"/>
  <c r="L171" i="12" a="1"/>
  <c r="M171" i="12" s="1"/>
  <c r="N171" i="12" s="1"/>
  <c r="L172" i="12" a="1"/>
  <c r="M172" i="12" s="1"/>
  <c r="N172" i="12" s="1"/>
  <c r="L173" i="12" a="1"/>
  <c r="M173" i="12" s="1"/>
  <c r="N173" i="12" s="1"/>
  <c r="L174" i="12" a="1"/>
  <c r="M174" i="12" s="1"/>
  <c r="N174" i="12" s="1"/>
  <c r="L175" i="12" a="1"/>
  <c r="M175" i="12" s="1"/>
  <c r="N175" i="12" s="1"/>
  <c r="L176" i="12" a="1"/>
  <c r="M176" i="12" s="1"/>
  <c r="N176" i="12" s="1"/>
  <c r="L177" i="12" a="1"/>
  <c r="M177" i="12" s="1"/>
  <c r="N177" i="12" s="1"/>
  <c r="L178" i="12" a="1"/>
  <c r="M178" i="12" s="1"/>
  <c r="N178" i="12" s="1"/>
  <c r="L179" i="12" a="1"/>
  <c r="M179" i="12" s="1"/>
  <c r="N179" i="12" s="1"/>
  <c r="L180" i="12" a="1"/>
  <c r="M180" i="12" s="1"/>
  <c r="N180" i="12" s="1"/>
  <c r="L181" i="12" a="1"/>
  <c r="M181" i="12" s="1"/>
  <c r="N181" i="12" s="1"/>
  <c r="L182" i="12" a="1"/>
  <c r="M182" i="12" s="1"/>
  <c r="N182" i="12" s="1"/>
  <c r="L183" i="12" a="1"/>
  <c r="M183" i="12" s="1"/>
  <c r="N183" i="12" s="1"/>
  <c r="L184" i="12" a="1"/>
  <c r="M184" i="12" s="1"/>
  <c r="N184" i="12" s="1"/>
  <c r="L185" i="12" a="1"/>
  <c r="M185" i="12" s="1"/>
  <c r="N185" i="12" s="1"/>
  <c r="L186" i="12" a="1"/>
  <c r="M186" i="12" s="1"/>
  <c r="N186" i="12" s="1"/>
  <c r="L187" i="12" a="1"/>
  <c r="M187" i="12" s="1"/>
  <c r="N187" i="12" s="1"/>
  <c r="L188" i="12" a="1"/>
  <c r="M188" i="12" s="1"/>
  <c r="N188" i="12" s="1"/>
  <c r="L189" i="12" a="1"/>
  <c r="M189" i="12" s="1"/>
  <c r="N189" i="12" s="1"/>
  <c r="L190" i="12" a="1"/>
  <c r="M190" i="12" s="1"/>
  <c r="N190" i="12" s="1"/>
  <c r="L191" i="12" a="1"/>
  <c r="M191" i="12" s="1"/>
  <c r="N191" i="12" s="1"/>
  <c r="L192" i="12" a="1"/>
  <c r="M192" i="12" s="1"/>
  <c r="N192" i="12" s="1"/>
  <c r="L193" i="12" a="1"/>
  <c r="M193" i="12" s="1"/>
  <c r="N193" i="12" s="1"/>
  <c r="L194" i="12" a="1"/>
  <c r="M194" i="12" s="1"/>
  <c r="N194" i="12" s="1"/>
  <c r="L195" i="12" a="1"/>
  <c r="M195" i="12" s="1"/>
  <c r="N195" i="12" s="1"/>
  <c r="L196" i="12" a="1"/>
  <c r="M196" i="12" s="1"/>
  <c r="N196" i="12" s="1"/>
  <c r="L197" i="12" a="1"/>
  <c r="M197" i="12" s="1"/>
  <c r="N197" i="12" s="1"/>
  <c r="L198" i="12" a="1"/>
  <c r="M198" i="12" s="1"/>
  <c r="N198" i="12" s="1"/>
  <c r="L199" i="12" a="1"/>
  <c r="M199" i="12" s="1"/>
  <c r="N199" i="12" s="1"/>
  <c r="L200" i="12" a="1"/>
  <c r="M200" i="12" s="1"/>
  <c r="N200" i="12" s="1"/>
  <c r="L201" i="12" a="1"/>
  <c r="M201" i="12" s="1"/>
  <c r="N201" i="12" s="1"/>
  <c r="L202" i="12" a="1"/>
  <c r="M202" i="12" s="1"/>
  <c r="N202" i="12" s="1"/>
  <c r="L203" i="12" a="1"/>
  <c r="M203" i="12" s="1"/>
  <c r="N203" i="12" s="1"/>
  <c r="L204" i="12" a="1"/>
  <c r="M204" i="12" s="1"/>
  <c r="N204" i="12" s="1"/>
  <c r="L205" i="12" a="1"/>
  <c r="M205" i="12" s="1"/>
  <c r="N205" i="12" s="1"/>
  <c r="L206" i="12" a="1"/>
  <c r="M206" i="12" s="1"/>
  <c r="N206" i="12" s="1"/>
  <c r="L207" i="12" a="1"/>
  <c r="M207" i="12" s="1"/>
  <c r="N207" i="12" s="1"/>
  <c r="L208" i="12" a="1"/>
  <c r="M208" i="12" s="1"/>
  <c r="N208" i="12" s="1"/>
  <c r="L209" i="12" a="1"/>
  <c r="M209" i="12" s="1"/>
  <c r="N209" i="12" s="1"/>
  <c r="L210" i="12" a="1"/>
  <c r="M210" i="12" s="1"/>
  <c r="N210" i="12" s="1"/>
  <c r="L211" i="12" a="1"/>
  <c r="M211" i="12" s="1"/>
  <c r="N211" i="12" s="1"/>
  <c r="L212" i="12" a="1"/>
  <c r="M212" i="12" s="1"/>
  <c r="N212" i="12" s="1"/>
  <c r="L213" i="12" a="1"/>
  <c r="M213" i="12" s="1"/>
  <c r="N213" i="12" s="1"/>
  <c r="L214" i="12" a="1"/>
  <c r="M214" i="12" s="1"/>
  <c r="N214" i="12" s="1"/>
  <c r="L215" i="12" a="1"/>
  <c r="M215" i="12" s="1"/>
  <c r="N215" i="12" s="1"/>
  <c r="L216" i="12" a="1"/>
  <c r="M216" i="12" s="1"/>
  <c r="N216" i="12" s="1"/>
  <c r="L217" i="12" a="1"/>
  <c r="M217" i="12" s="1"/>
  <c r="N217" i="12" s="1"/>
  <c r="L218" i="12" a="1"/>
  <c r="M218" i="12" s="1"/>
  <c r="N218" i="12" s="1"/>
  <c r="L219" i="12" a="1"/>
  <c r="M219" i="12" s="1"/>
  <c r="N219" i="12" s="1"/>
  <c r="L220" i="12" a="1"/>
  <c r="M220" i="12" s="1"/>
  <c r="N220" i="12" s="1"/>
  <c r="L221" i="12" a="1"/>
  <c r="M221" i="12" s="1"/>
  <c r="N221" i="12" s="1"/>
  <c r="L222" i="12" a="1"/>
  <c r="M222" i="12" s="1"/>
  <c r="N222" i="12" s="1"/>
  <c r="L223" i="12" a="1"/>
  <c r="M223" i="12" s="1"/>
  <c r="N223" i="12" s="1"/>
  <c r="L224" i="12" a="1"/>
  <c r="M224" i="12" s="1"/>
  <c r="N224" i="12" s="1"/>
  <c r="L225" i="12" a="1"/>
  <c r="M225" i="12" s="1"/>
  <c r="N225" i="12" s="1"/>
  <c r="L226" i="12" a="1"/>
  <c r="M226" i="12" s="1"/>
  <c r="N226" i="12" s="1"/>
  <c r="L227" i="12" a="1"/>
  <c r="M227" i="12" s="1"/>
  <c r="N227" i="12" s="1"/>
  <c r="L228" i="12" a="1"/>
  <c r="M228" i="12" s="1"/>
  <c r="N228" i="12" s="1"/>
  <c r="L229" i="12" a="1"/>
  <c r="M229" i="12" s="1"/>
  <c r="N229" i="12" s="1"/>
  <c r="L230" i="12" a="1"/>
  <c r="M230" i="12" s="1"/>
  <c r="N230" i="12" s="1"/>
  <c r="L231" i="12" a="1"/>
  <c r="M231" i="12" s="1"/>
  <c r="N231" i="12" s="1"/>
  <c r="L232" i="12" a="1"/>
  <c r="M232" i="12" s="1"/>
  <c r="N232" i="12" s="1"/>
  <c r="L233" i="12" a="1"/>
  <c r="M233" i="12" s="1"/>
  <c r="N233" i="12" s="1"/>
  <c r="L234" i="12" a="1"/>
  <c r="M234" i="12" s="1"/>
  <c r="N234" i="12" s="1"/>
  <c r="L235" i="12" a="1"/>
  <c r="M235" i="12" s="1"/>
  <c r="N235" i="12" s="1"/>
  <c r="L236" i="12" a="1"/>
  <c r="M236" i="12" s="1"/>
  <c r="N236" i="12" s="1"/>
  <c r="L237" i="12" a="1"/>
  <c r="M237" i="12" s="1"/>
  <c r="N237" i="12" s="1"/>
  <c r="L238" i="12" a="1"/>
  <c r="M238" i="12" s="1"/>
  <c r="N238" i="12" s="1"/>
  <c r="L239" i="12" a="1"/>
  <c r="M239" i="12" s="1"/>
  <c r="N239" i="12" s="1"/>
  <c r="L240" i="12" a="1"/>
  <c r="M240" i="12" s="1"/>
  <c r="N240" i="12" s="1"/>
  <c r="L241" i="12" a="1"/>
  <c r="M241" i="12" s="1"/>
  <c r="N241" i="12" s="1"/>
  <c r="L242" i="12" a="1"/>
  <c r="M242" i="12" s="1"/>
  <c r="N242" i="12" s="1"/>
  <c r="L243" i="12" a="1"/>
  <c r="M243" i="12" s="1"/>
  <c r="N243" i="12" s="1"/>
  <c r="L244" i="12" a="1"/>
  <c r="M244" i="12" s="1"/>
  <c r="N244" i="12" s="1"/>
  <c r="L245" i="12" a="1"/>
  <c r="M245" i="12" s="1"/>
  <c r="N245" i="12" s="1"/>
  <c r="L246" i="12" a="1"/>
  <c r="M246" i="12" s="1"/>
  <c r="N246" i="12" s="1"/>
  <c r="L247" i="12" a="1"/>
  <c r="M247" i="12" s="1"/>
  <c r="N247" i="12" s="1"/>
  <c r="L248" i="12" a="1"/>
  <c r="M248" i="12" s="1"/>
  <c r="N248" i="12" s="1"/>
  <c r="L249" i="12" a="1"/>
  <c r="M249" i="12" s="1"/>
  <c r="N249" i="12" s="1"/>
  <c r="L250" i="12" a="1"/>
  <c r="M250" i="12" s="1"/>
  <c r="N250" i="12" s="1"/>
  <c r="L251" i="12" a="1"/>
  <c r="M251" i="12" s="1"/>
  <c r="N251" i="12" s="1"/>
  <c r="L252" i="12" a="1"/>
  <c r="M252" i="12" s="1"/>
  <c r="N252" i="12" s="1"/>
  <c r="L253" i="12" a="1"/>
  <c r="M253" i="12" s="1"/>
  <c r="N253" i="12" s="1"/>
  <c r="L254" i="12" a="1"/>
  <c r="M254" i="12" s="1"/>
  <c r="N254" i="12" s="1"/>
  <c r="L255" i="12" a="1"/>
  <c r="M255" i="12" s="1"/>
  <c r="N255" i="12" s="1"/>
  <c r="L256" i="12" a="1"/>
  <c r="M256" i="12" s="1"/>
  <c r="N256" i="12" s="1"/>
  <c r="L257" i="12" a="1"/>
  <c r="M257" i="12" s="1"/>
  <c r="N257" i="12" s="1"/>
  <c r="L258" i="12" a="1"/>
  <c r="M258" i="12" s="1"/>
  <c r="N258" i="12" s="1"/>
  <c r="L259" i="12" a="1"/>
  <c r="M259" i="12" s="1"/>
  <c r="N259" i="12" s="1"/>
  <c r="L260" i="12" a="1"/>
  <c r="M260" i="12" s="1"/>
  <c r="N260" i="12" s="1"/>
  <c r="L261" i="12" a="1"/>
  <c r="M261" i="12" s="1"/>
  <c r="N261" i="12" s="1"/>
  <c r="L262" i="12" a="1"/>
  <c r="M262" i="12" s="1"/>
  <c r="N262" i="12" s="1"/>
  <c r="L263" i="12" a="1"/>
  <c r="M263" i="12" s="1"/>
  <c r="N263" i="12" s="1"/>
  <c r="L264" i="12" a="1"/>
  <c r="M264" i="12" s="1"/>
  <c r="N264" i="12" s="1"/>
  <c r="L265" i="12" a="1"/>
  <c r="M265" i="12" s="1"/>
  <c r="N265" i="12" s="1"/>
  <c r="L266" i="12" a="1"/>
  <c r="M266" i="12" s="1"/>
  <c r="N266" i="12" s="1"/>
  <c r="L267" i="12" a="1"/>
  <c r="M267" i="12" s="1"/>
  <c r="N267" i="12" s="1"/>
  <c r="L268" i="12" a="1"/>
  <c r="M268" i="12" s="1"/>
  <c r="N268" i="12" s="1"/>
  <c r="L269" i="12" a="1"/>
  <c r="M269" i="12" s="1"/>
  <c r="N269" i="12" s="1"/>
  <c r="L270" i="12" a="1"/>
  <c r="M270" i="12" s="1"/>
  <c r="N270" i="12" s="1"/>
  <c r="L271" i="12" a="1"/>
  <c r="M271" i="12" s="1"/>
  <c r="N271" i="12" s="1"/>
  <c r="L272" i="12" a="1"/>
  <c r="M272" i="12" s="1"/>
  <c r="N272" i="12" s="1"/>
  <c r="L273" i="12" a="1"/>
  <c r="M273" i="12" s="1"/>
  <c r="N273" i="12" s="1"/>
  <c r="L274" i="12" a="1"/>
  <c r="M274" i="12" s="1"/>
  <c r="N274" i="12" s="1"/>
  <c r="L275" i="12" a="1"/>
  <c r="M275" i="12" s="1"/>
  <c r="N275" i="12" s="1"/>
  <c r="L276" i="12" a="1"/>
  <c r="M276" i="12" s="1"/>
  <c r="N276" i="12" s="1"/>
  <c r="L277" i="12" a="1"/>
  <c r="M277" i="12" s="1"/>
  <c r="N277" i="12" s="1"/>
  <c r="L278" i="12" a="1"/>
  <c r="M278" i="12" s="1"/>
  <c r="N278" i="12" s="1"/>
  <c r="L279" i="12" a="1"/>
  <c r="M279" i="12" s="1"/>
  <c r="N279" i="12" s="1"/>
  <c r="L280" i="12" a="1"/>
  <c r="M280" i="12" s="1"/>
  <c r="N280" i="12" s="1"/>
  <c r="L281" i="12" a="1"/>
  <c r="M281" i="12" s="1"/>
  <c r="N281" i="12" s="1"/>
  <c r="L282" i="12" a="1"/>
  <c r="M282" i="12" s="1"/>
  <c r="N282" i="12" s="1"/>
  <c r="L283" i="12" a="1"/>
  <c r="M283" i="12" s="1"/>
  <c r="N283" i="12" s="1"/>
  <c r="L284" i="12" a="1"/>
  <c r="M284" i="12" s="1"/>
  <c r="N284" i="12" s="1"/>
  <c r="L285" i="12" a="1"/>
  <c r="M285" i="12" s="1"/>
  <c r="N285" i="12" s="1"/>
  <c r="L286" i="12" a="1"/>
  <c r="M286" i="12" s="1"/>
  <c r="N286" i="12" s="1"/>
  <c r="L287" i="12" a="1"/>
  <c r="M287" i="12" s="1"/>
  <c r="N287" i="12" s="1"/>
  <c r="L288" i="12" a="1"/>
  <c r="M288" i="12" s="1"/>
  <c r="N288" i="12" s="1"/>
  <c r="L289" i="12" a="1"/>
  <c r="M289" i="12" s="1"/>
  <c r="N289" i="12" s="1"/>
  <c r="L290" i="12" a="1"/>
  <c r="M290" i="12" s="1"/>
  <c r="N290" i="12" s="1"/>
  <c r="L291" i="12" a="1"/>
  <c r="M291" i="12" s="1"/>
  <c r="N291" i="12" s="1"/>
  <c r="L292" i="12" a="1"/>
  <c r="M292" i="12" s="1"/>
  <c r="N292" i="12" s="1"/>
  <c r="L293" i="12" a="1"/>
  <c r="M293" i="12" s="1"/>
  <c r="N293" i="12" s="1"/>
  <c r="L294" i="12" a="1"/>
  <c r="M294" i="12" s="1"/>
  <c r="N294" i="12" s="1"/>
  <c r="L295" i="12" a="1"/>
  <c r="M295" i="12" s="1"/>
  <c r="N295" i="12" s="1"/>
  <c r="L296" i="12" a="1"/>
  <c r="M296" i="12" s="1"/>
  <c r="N296" i="12" s="1"/>
  <c r="L297" i="12" a="1"/>
  <c r="M297" i="12" s="1"/>
  <c r="N297" i="12" s="1"/>
  <c r="L298" i="12" a="1"/>
  <c r="M298" i="12" s="1"/>
  <c r="N298" i="12" s="1"/>
  <c r="L299" i="12" a="1"/>
  <c r="M299" i="12" s="1"/>
  <c r="N299" i="12" s="1"/>
  <c r="L300" i="12" a="1"/>
  <c r="M300" i="12" s="1"/>
  <c r="N300" i="12" s="1"/>
  <c r="L301" i="12" a="1"/>
  <c r="M301" i="12" s="1"/>
  <c r="N301" i="12" s="1"/>
  <c r="L302" i="12" a="1"/>
  <c r="M302" i="12" s="1"/>
  <c r="N302" i="12" s="1"/>
  <c r="L303" i="12" a="1"/>
  <c r="M303" i="12" s="1"/>
  <c r="N303" i="12" s="1"/>
  <c r="L304" i="12" a="1"/>
  <c r="M304" i="12" s="1"/>
  <c r="N304" i="12" s="1"/>
  <c r="L305" i="12" a="1"/>
  <c r="M305" i="12" s="1"/>
  <c r="N305" i="12" s="1"/>
  <c r="L306" i="12" a="1"/>
  <c r="M306" i="12" s="1"/>
  <c r="N306" i="12" s="1"/>
  <c r="L307" i="12" a="1"/>
  <c r="M307" i="12" s="1"/>
  <c r="N307" i="12" s="1"/>
  <c r="L308" i="12" a="1"/>
  <c r="M308" i="12" s="1"/>
  <c r="N308" i="12" s="1"/>
  <c r="L309" i="12" a="1"/>
  <c r="M309" i="12" s="1"/>
  <c r="N309" i="12" s="1"/>
  <c r="L310" i="12" a="1"/>
  <c r="M310" i="12" s="1"/>
  <c r="N310" i="12" s="1"/>
  <c r="L311" i="12" a="1"/>
  <c r="M311" i="12" s="1"/>
  <c r="N311" i="12" s="1"/>
  <c r="L312" i="12" a="1"/>
  <c r="M312" i="12" s="1"/>
  <c r="N312" i="12" s="1"/>
  <c r="L313" i="12" a="1"/>
  <c r="M313" i="12" s="1"/>
  <c r="N313" i="12" s="1"/>
  <c r="L314" i="12" a="1"/>
  <c r="M314" i="12" s="1"/>
  <c r="N314" i="12" s="1"/>
  <c r="L315" i="12" a="1"/>
  <c r="M315" i="12" s="1"/>
  <c r="N315" i="12" s="1"/>
  <c r="L316" i="12" a="1"/>
  <c r="M316" i="12" s="1"/>
  <c r="N316" i="12" s="1"/>
  <c r="L317" i="12" a="1"/>
  <c r="M317" i="12" s="1"/>
  <c r="N317" i="12" s="1"/>
  <c r="L318" i="12" a="1"/>
  <c r="M318" i="12" s="1"/>
  <c r="N318" i="12" s="1"/>
  <c r="L319" i="12" a="1"/>
  <c r="M319" i="12" s="1"/>
  <c r="N319" i="12" s="1"/>
  <c r="L320" i="12" a="1"/>
  <c r="M320" i="12" s="1"/>
  <c r="N320" i="12" s="1"/>
  <c r="L321" i="12" a="1"/>
  <c r="M321" i="12" s="1"/>
  <c r="N321" i="12" s="1"/>
  <c r="L322" i="12" a="1"/>
  <c r="M322" i="12" s="1"/>
  <c r="N322" i="12" s="1"/>
  <c r="L323" i="12" a="1"/>
  <c r="M323" i="12" s="1"/>
  <c r="N323" i="12" s="1"/>
  <c r="L324" i="12" a="1"/>
  <c r="M324" i="12" s="1"/>
  <c r="N324" i="12" s="1"/>
  <c r="L325" i="12" a="1"/>
  <c r="M325" i="12" s="1"/>
  <c r="N325" i="12" s="1"/>
  <c r="L326" i="12" a="1"/>
  <c r="M326" i="12" s="1"/>
  <c r="N326" i="12" s="1"/>
  <c r="L327" i="12" a="1"/>
  <c r="M327" i="12" s="1"/>
  <c r="N327" i="12" s="1"/>
  <c r="L328" i="12" a="1"/>
  <c r="M328" i="12" s="1"/>
  <c r="N328" i="12" s="1"/>
  <c r="L329" i="12" a="1"/>
  <c r="M329" i="12" s="1"/>
  <c r="N329" i="12" s="1"/>
  <c r="L330" i="12" a="1"/>
  <c r="M330" i="12" s="1"/>
  <c r="N330" i="12" s="1"/>
  <c r="L331" i="12" a="1"/>
  <c r="M331" i="12" s="1"/>
  <c r="N331" i="12" s="1"/>
  <c r="L332" i="12" a="1"/>
  <c r="M332" i="12" s="1"/>
  <c r="N332" i="12" s="1"/>
  <c r="L333" i="12" a="1"/>
  <c r="M333" i="12" s="1"/>
  <c r="N333" i="12" s="1"/>
  <c r="L334" i="12" a="1"/>
  <c r="M334" i="12" s="1"/>
  <c r="N334" i="12" s="1"/>
  <c r="L335" i="12" a="1"/>
  <c r="M335" i="12" s="1"/>
  <c r="N335" i="12" s="1"/>
  <c r="L336" i="12" a="1"/>
  <c r="M336" i="12" s="1"/>
  <c r="N336" i="12" s="1"/>
  <c r="L337" i="12" a="1"/>
  <c r="M337" i="12" s="1"/>
  <c r="N337" i="12" s="1"/>
  <c r="L338" i="12" a="1"/>
  <c r="M338" i="12" s="1"/>
  <c r="N338" i="12" s="1"/>
  <c r="L339" i="12" a="1"/>
  <c r="M339" i="12" s="1"/>
  <c r="N339" i="12" s="1"/>
  <c r="L340" i="12" a="1"/>
  <c r="M340" i="12" s="1"/>
  <c r="N340" i="12" s="1"/>
  <c r="L341" i="12" a="1"/>
  <c r="M341" i="12" s="1"/>
  <c r="N341" i="12" s="1"/>
  <c r="L342" i="12" a="1"/>
  <c r="M342" i="12" s="1"/>
  <c r="N342" i="12" s="1"/>
  <c r="L343" i="12" a="1"/>
  <c r="M343" i="12" s="1"/>
  <c r="N343" i="12" s="1"/>
  <c r="L344" i="12" a="1"/>
  <c r="M344" i="12" s="1"/>
  <c r="N344" i="12" s="1"/>
  <c r="L345" i="12" a="1"/>
  <c r="M345" i="12" s="1"/>
  <c r="N345" i="12" s="1"/>
  <c r="L346" i="12" a="1"/>
  <c r="M346" i="12" s="1"/>
  <c r="N346" i="12" s="1"/>
  <c r="L347" i="12" a="1"/>
  <c r="M347" i="12" s="1"/>
  <c r="N347" i="12" s="1"/>
  <c r="L348" i="12" a="1"/>
  <c r="M348" i="12" s="1"/>
  <c r="N348" i="12" s="1"/>
  <c r="L349" i="12" a="1"/>
  <c r="M349" i="12" s="1"/>
  <c r="N349" i="12" s="1"/>
  <c r="L350" i="12" a="1"/>
  <c r="M350" i="12" s="1"/>
  <c r="N350" i="12" s="1"/>
  <c r="L351" i="12" a="1"/>
  <c r="M351" i="12" s="1"/>
  <c r="N351" i="12" s="1"/>
  <c r="L352" i="12" a="1"/>
  <c r="M352" i="12" s="1"/>
  <c r="N352" i="12" s="1"/>
  <c r="L353" i="12" a="1"/>
  <c r="M353" i="12" s="1"/>
  <c r="N353" i="12" s="1"/>
  <c r="L354" i="12" a="1"/>
  <c r="M354" i="12" s="1"/>
  <c r="N354" i="12" s="1"/>
  <c r="L355" i="12" a="1"/>
  <c r="M355" i="12" s="1"/>
  <c r="N355" i="12" s="1"/>
  <c r="L356" i="12" a="1"/>
  <c r="M356" i="12" s="1"/>
  <c r="N356" i="12" s="1"/>
  <c r="L357" i="12" a="1"/>
  <c r="M357" i="12" s="1"/>
  <c r="N357" i="12" s="1"/>
  <c r="L358" i="12" a="1"/>
  <c r="M358" i="12" s="1"/>
  <c r="N358" i="12" s="1"/>
  <c r="L359" i="12" a="1"/>
  <c r="M359" i="12" s="1"/>
  <c r="N359" i="12" s="1"/>
  <c r="L360" i="12" a="1"/>
  <c r="M360" i="12" s="1"/>
  <c r="N360" i="12" s="1"/>
  <c r="L361" i="12" a="1"/>
  <c r="M361" i="12" s="1"/>
  <c r="N361" i="12" s="1"/>
  <c r="L362" i="12" a="1"/>
  <c r="M362" i="12" s="1"/>
  <c r="N362" i="12" s="1"/>
  <c r="L363" i="12" a="1"/>
  <c r="M363" i="12" s="1"/>
  <c r="N363" i="12" s="1"/>
  <c r="L364" i="12" a="1"/>
  <c r="M364" i="12" s="1"/>
  <c r="N364" i="12" s="1"/>
  <c r="L365" i="12" a="1"/>
  <c r="M365" i="12" s="1"/>
  <c r="N365" i="12" s="1"/>
  <c r="L366" i="12" a="1"/>
  <c r="M366" i="12" s="1"/>
  <c r="N366" i="12" s="1"/>
  <c r="L367" i="12" a="1"/>
  <c r="M367" i="12" s="1"/>
  <c r="N367" i="12" s="1"/>
  <c r="L368" i="12" a="1"/>
  <c r="M368" i="12" s="1"/>
  <c r="N368" i="12" s="1"/>
  <c r="L369" i="12" a="1"/>
  <c r="M369" i="12" s="1"/>
  <c r="N369" i="12" s="1"/>
  <c r="L370" i="12" a="1"/>
  <c r="M370" i="12" s="1"/>
  <c r="N370" i="12" s="1"/>
  <c r="L371" i="12" a="1"/>
  <c r="M371" i="12" s="1"/>
  <c r="N371" i="12" s="1"/>
  <c r="L372" i="12" a="1"/>
  <c r="M372" i="12" s="1"/>
  <c r="N372" i="12" s="1"/>
  <c r="L373" i="12" a="1"/>
  <c r="M373" i="12" s="1"/>
  <c r="N373" i="12" s="1"/>
  <c r="L374" i="12" a="1"/>
  <c r="M374" i="12" s="1"/>
  <c r="N374" i="12" s="1"/>
  <c r="L375" i="12" a="1"/>
  <c r="M375" i="12" s="1"/>
  <c r="N375" i="12" s="1"/>
  <c r="L376" i="12" a="1"/>
  <c r="M376" i="12" s="1"/>
  <c r="N376" i="12" s="1"/>
  <c r="L377" i="12" a="1"/>
  <c r="M377" i="12" s="1"/>
  <c r="N377" i="12" s="1"/>
  <c r="L378" i="12" a="1"/>
  <c r="M378" i="12" s="1"/>
  <c r="N378" i="12" s="1"/>
  <c r="L379" i="12" a="1"/>
  <c r="M379" i="12" s="1"/>
  <c r="N379" i="12" s="1"/>
  <c r="L380" i="12" a="1"/>
  <c r="M380" i="12" s="1"/>
  <c r="N380" i="12" s="1"/>
  <c r="L381" i="12" a="1"/>
  <c r="M381" i="12" s="1"/>
  <c r="N381" i="12" s="1"/>
  <c r="L382" i="12" a="1"/>
  <c r="M382" i="12" s="1"/>
  <c r="N382" i="12" s="1"/>
  <c r="L383" i="12" a="1"/>
  <c r="M383" i="12" s="1"/>
  <c r="N383" i="12" s="1"/>
  <c r="L384" i="12" a="1"/>
  <c r="M384" i="12" s="1"/>
  <c r="N384" i="12" s="1"/>
  <c r="L385" i="12" a="1"/>
  <c r="M385" i="12" s="1"/>
  <c r="N385" i="12" s="1"/>
  <c r="L386" i="12" a="1"/>
  <c r="M386" i="12" s="1"/>
  <c r="N386" i="12" s="1"/>
  <c r="L387" i="12" a="1"/>
  <c r="M387" i="12" s="1"/>
  <c r="N387" i="12" s="1"/>
  <c r="L388" i="12" a="1"/>
  <c r="M388" i="12" s="1"/>
  <c r="N388" i="12" s="1"/>
  <c r="L389" i="12" a="1"/>
  <c r="M389" i="12" s="1"/>
  <c r="N389" i="12" s="1"/>
  <c r="L390" i="12" a="1"/>
  <c r="M390" i="12" s="1"/>
  <c r="N390" i="12" s="1"/>
  <c r="L391" i="12" a="1"/>
  <c r="M391" i="12" s="1"/>
  <c r="N391" i="12" s="1"/>
  <c r="L392" i="12" a="1"/>
  <c r="M392" i="12" s="1"/>
  <c r="N392" i="12" s="1"/>
  <c r="L393" i="12" a="1"/>
  <c r="M393" i="12" s="1"/>
  <c r="N393" i="12" s="1"/>
  <c r="L394" i="12" a="1"/>
  <c r="M394" i="12" s="1"/>
  <c r="N394" i="12" s="1"/>
  <c r="L395" i="12" a="1"/>
  <c r="M395" i="12" s="1"/>
  <c r="N395" i="12" s="1"/>
  <c r="L396" i="12" a="1"/>
  <c r="M396" i="12" s="1"/>
  <c r="N396" i="12" s="1"/>
  <c r="L397" i="12" a="1"/>
  <c r="M397" i="12" s="1"/>
  <c r="N397" i="12" s="1"/>
  <c r="L398" i="12" a="1"/>
  <c r="M398" i="12" s="1"/>
  <c r="N398" i="12" s="1"/>
  <c r="L399" i="12" a="1"/>
  <c r="M399" i="12" s="1"/>
  <c r="N399" i="12" s="1"/>
  <c r="L400" i="12" a="1"/>
  <c r="M400" i="12" s="1"/>
  <c r="N400" i="12" s="1"/>
  <c r="L401" i="12" a="1"/>
  <c r="M401" i="12" s="1"/>
  <c r="N401" i="12" s="1"/>
  <c r="L402" i="12" a="1"/>
  <c r="M402" i="12" s="1"/>
  <c r="N402" i="12" s="1"/>
  <c r="L403" i="12" a="1"/>
  <c r="M403" i="12" s="1"/>
  <c r="N403" i="12" s="1"/>
  <c r="L404" i="12" a="1"/>
  <c r="M404" i="12" s="1"/>
  <c r="N404" i="12" s="1"/>
  <c r="L405" i="12" a="1"/>
  <c r="M405" i="12" s="1"/>
  <c r="N405" i="12" s="1"/>
  <c r="L406" i="12" a="1"/>
  <c r="M406" i="12" s="1"/>
  <c r="N406" i="12" s="1"/>
  <c r="L407" i="12" a="1"/>
  <c r="M407" i="12" s="1"/>
  <c r="N407" i="12" s="1"/>
  <c r="L408" i="12" a="1"/>
  <c r="M408" i="12" s="1"/>
  <c r="N408" i="12" s="1"/>
  <c r="L409" i="12" a="1"/>
  <c r="M409" i="12" s="1"/>
  <c r="N409" i="12" s="1"/>
  <c r="L410" i="12" a="1"/>
  <c r="M410" i="12" s="1"/>
  <c r="N410" i="12" s="1"/>
  <c r="L411" i="12" a="1"/>
  <c r="M411" i="12" s="1"/>
  <c r="N411" i="12" s="1"/>
  <c r="L412" i="12" a="1"/>
  <c r="M412" i="12" s="1"/>
  <c r="N412" i="12" s="1"/>
  <c r="L413" i="12" a="1"/>
  <c r="M413" i="12" s="1"/>
  <c r="N413" i="12" s="1"/>
  <c r="L414" i="12" a="1"/>
  <c r="M414" i="12" s="1"/>
  <c r="N414" i="12" s="1"/>
  <c r="L415" i="12" a="1"/>
  <c r="M415" i="12" s="1"/>
  <c r="N415" i="12" s="1"/>
  <c r="L416" i="12" a="1"/>
  <c r="M416" i="12" s="1"/>
  <c r="N416" i="12" s="1"/>
  <c r="L417" i="12" a="1"/>
  <c r="M417" i="12" s="1"/>
  <c r="N417" i="12" s="1"/>
  <c r="L418" i="12" a="1"/>
  <c r="M418" i="12" s="1"/>
  <c r="N418" i="12" s="1"/>
  <c r="L419" i="12" a="1"/>
  <c r="M419" i="12" s="1"/>
  <c r="N419" i="12" s="1"/>
  <c r="L420" i="12" a="1"/>
  <c r="M420" i="12" s="1"/>
  <c r="N420" i="12" s="1"/>
  <c r="L421" i="12" a="1"/>
  <c r="M421" i="12" s="1"/>
  <c r="N421" i="12" s="1"/>
  <c r="L422" i="12" a="1"/>
  <c r="M422" i="12" s="1"/>
  <c r="N422" i="12" s="1"/>
  <c r="L423" i="12" a="1"/>
  <c r="M423" i="12" s="1"/>
  <c r="N423" i="12" s="1"/>
  <c r="L424" i="12" a="1"/>
  <c r="M424" i="12" s="1"/>
  <c r="N424" i="12" s="1"/>
  <c r="L425" i="12" a="1"/>
  <c r="M425" i="12" s="1"/>
  <c r="N425" i="12" s="1"/>
  <c r="L426" i="12" a="1"/>
  <c r="M426" i="12" s="1"/>
  <c r="N426" i="12" s="1"/>
  <c r="L427" i="12" a="1"/>
  <c r="M427" i="12" s="1"/>
  <c r="N427" i="12" s="1"/>
  <c r="L428" i="12" a="1"/>
  <c r="M428" i="12" s="1"/>
  <c r="N428" i="12" s="1"/>
  <c r="L429" i="12" a="1"/>
  <c r="M429" i="12" s="1"/>
  <c r="N429" i="12" s="1"/>
  <c r="L430" i="12" a="1"/>
  <c r="M430" i="12" s="1"/>
  <c r="N430" i="12" s="1"/>
  <c r="L431" i="12" a="1"/>
  <c r="M431" i="12" s="1"/>
  <c r="N431" i="12" s="1"/>
  <c r="L432" i="12" a="1"/>
  <c r="M432" i="12" s="1"/>
  <c r="N432" i="12" s="1"/>
  <c r="L433" i="12" a="1"/>
  <c r="M433" i="12" s="1"/>
  <c r="N433" i="12" s="1"/>
  <c r="L434" i="12" a="1"/>
  <c r="M434" i="12" s="1"/>
  <c r="N434" i="12" s="1"/>
  <c r="L435" i="12" a="1"/>
  <c r="M435" i="12" s="1"/>
  <c r="N435" i="12" s="1"/>
  <c r="L436" i="12" a="1"/>
  <c r="M436" i="12" s="1"/>
  <c r="N436" i="12" s="1"/>
  <c r="L437" i="12" a="1"/>
  <c r="M437" i="12" s="1"/>
  <c r="N437" i="12" s="1"/>
  <c r="L438" i="12" a="1"/>
  <c r="M438" i="12" s="1"/>
  <c r="N438" i="12" s="1"/>
  <c r="L439" i="12" a="1"/>
  <c r="M439" i="12" s="1"/>
  <c r="N439" i="12" s="1"/>
  <c r="L440" i="12" a="1"/>
  <c r="M440" i="12" s="1"/>
  <c r="N440" i="12" s="1"/>
  <c r="L441" i="12" a="1"/>
  <c r="M441" i="12" s="1"/>
  <c r="N441" i="12" s="1"/>
  <c r="L442" i="12" a="1"/>
  <c r="M442" i="12" s="1"/>
  <c r="N442" i="12" s="1"/>
  <c r="L443" i="12" a="1"/>
  <c r="M443" i="12" s="1"/>
  <c r="N443" i="12" s="1"/>
  <c r="L444" i="12" a="1"/>
  <c r="M444" i="12" s="1"/>
  <c r="N444" i="12" s="1"/>
  <c r="L445" i="12" a="1"/>
  <c r="M445" i="12" s="1"/>
  <c r="N445" i="12" s="1"/>
  <c r="L446" i="12" a="1"/>
  <c r="M446" i="12" s="1"/>
  <c r="N446" i="12" s="1"/>
  <c r="L447" i="12" a="1"/>
  <c r="M447" i="12" s="1"/>
  <c r="N447" i="12" s="1"/>
  <c r="L448" i="12" a="1"/>
  <c r="M448" i="12" s="1"/>
  <c r="N448" i="12" s="1"/>
  <c r="L449" i="12" a="1"/>
  <c r="M449" i="12" s="1"/>
  <c r="N449" i="12" s="1"/>
  <c r="L450" i="12" a="1"/>
  <c r="M450" i="12" s="1"/>
  <c r="N450" i="12" s="1"/>
  <c r="L451" i="12" a="1"/>
  <c r="M451" i="12" s="1"/>
  <c r="N451" i="12" s="1"/>
  <c r="L452" i="12" a="1"/>
  <c r="M452" i="12" s="1"/>
  <c r="N452" i="12" s="1"/>
  <c r="L453" i="12" a="1"/>
  <c r="M453" i="12" s="1"/>
  <c r="N453" i="12" s="1"/>
  <c r="L454" i="12" a="1"/>
  <c r="M454" i="12" s="1"/>
  <c r="N454" i="12" s="1"/>
  <c r="L455" i="12" a="1"/>
  <c r="M455" i="12" s="1"/>
  <c r="N455" i="12" s="1"/>
  <c r="L456" i="12" a="1"/>
  <c r="M456" i="12" s="1"/>
  <c r="N456" i="12" s="1"/>
  <c r="L457" i="12" a="1"/>
  <c r="M457" i="12" s="1"/>
  <c r="N457" i="12" s="1"/>
  <c r="L458" i="12" a="1"/>
  <c r="M458" i="12" s="1"/>
  <c r="N458" i="12" s="1"/>
  <c r="L459" i="12" a="1"/>
  <c r="M459" i="12" s="1"/>
  <c r="N459" i="12" s="1"/>
  <c r="L460" i="12" a="1"/>
  <c r="M460" i="12" s="1"/>
  <c r="N460" i="12" s="1"/>
  <c r="L461" i="12" a="1"/>
  <c r="M461" i="12" s="1"/>
  <c r="N461" i="12" s="1"/>
  <c r="L462" i="12" a="1"/>
  <c r="M462" i="12" s="1"/>
  <c r="N462" i="12" s="1"/>
  <c r="L463" i="12" a="1"/>
  <c r="M463" i="12" s="1"/>
  <c r="N463" i="12" s="1"/>
  <c r="L464" i="12" a="1"/>
  <c r="M464" i="12" s="1"/>
  <c r="N464" i="12" s="1"/>
  <c r="L465" i="12" a="1"/>
  <c r="M465" i="12" s="1"/>
  <c r="N465" i="12" s="1"/>
  <c r="L466" i="12" a="1"/>
  <c r="M466" i="12" s="1"/>
  <c r="N466" i="12" s="1"/>
  <c r="L467" i="12" a="1"/>
  <c r="M467" i="12" s="1"/>
  <c r="N467" i="12" s="1"/>
  <c r="L468" i="12" a="1"/>
  <c r="M468" i="12" s="1"/>
  <c r="N468" i="12" s="1"/>
  <c r="L469" i="12" a="1"/>
  <c r="M469" i="12" s="1"/>
  <c r="N469" i="12" s="1"/>
  <c r="L470" i="12" a="1"/>
  <c r="M470" i="12" s="1"/>
  <c r="N470" i="12" s="1"/>
  <c r="L471" i="12" a="1"/>
  <c r="M471" i="12" s="1"/>
  <c r="N471" i="12" s="1"/>
  <c r="L472" i="12" a="1"/>
  <c r="M472" i="12" s="1"/>
  <c r="N472" i="12" s="1"/>
  <c r="L473" i="12" a="1"/>
  <c r="M473" i="12" s="1"/>
  <c r="N473" i="12" s="1"/>
  <c r="L474" i="12" a="1"/>
  <c r="M474" i="12" s="1"/>
  <c r="N474" i="12" s="1"/>
  <c r="L475" i="12" a="1"/>
  <c r="M475" i="12" s="1"/>
  <c r="N475" i="12" s="1"/>
  <c r="L476" i="12" a="1"/>
  <c r="M476" i="12" s="1"/>
  <c r="N476" i="12" s="1"/>
  <c r="L477" i="12" a="1"/>
  <c r="M477" i="12" s="1"/>
  <c r="N477" i="12" s="1"/>
  <c r="L478" i="12" a="1"/>
  <c r="M478" i="12" s="1"/>
  <c r="N478" i="12" s="1"/>
  <c r="L479" i="12" a="1"/>
  <c r="M479" i="12" s="1"/>
  <c r="N479" i="12" s="1"/>
  <c r="L480" i="12" a="1"/>
  <c r="M480" i="12" s="1"/>
  <c r="N480" i="12" s="1"/>
  <c r="L481" i="12" a="1"/>
  <c r="M481" i="12" s="1"/>
  <c r="N481" i="12" s="1"/>
  <c r="L482" i="12" a="1"/>
  <c r="M482" i="12" s="1"/>
  <c r="N482" i="12" s="1"/>
  <c r="L483" i="12" a="1"/>
  <c r="M483" i="12" s="1"/>
  <c r="N483" i="12" s="1"/>
  <c r="L484" i="12" a="1"/>
  <c r="M484" i="12" s="1"/>
  <c r="N484" i="12" s="1"/>
  <c r="L485" i="12" a="1"/>
  <c r="M485" i="12" s="1"/>
  <c r="N485" i="12" s="1"/>
  <c r="L486" i="12" a="1"/>
  <c r="M486" i="12" s="1"/>
  <c r="N486" i="12" s="1"/>
  <c r="L487" i="12" a="1"/>
  <c r="M487" i="12" s="1"/>
  <c r="N487" i="12" s="1"/>
  <c r="L488" i="12" a="1"/>
  <c r="M488" i="12" s="1"/>
  <c r="N488" i="12" s="1"/>
  <c r="L489" i="12" a="1"/>
  <c r="M489" i="12" s="1"/>
  <c r="N489" i="12" s="1"/>
  <c r="L490" i="12" a="1"/>
  <c r="M490" i="12" s="1"/>
  <c r="N490" i="12" s="1"/>
  <c r="L491" i="12" a="1"/>
  <c r="M491" i="12" s="1"/>
  <c r="N491" i="12" s="1"/>
  <c r="L492" i="12" a="1"/>
  <c r="M492" i="12" s="1"/>
  <c r="N492" i="12" s="1"/>
  <c r="L493" i="12" a="1"/>
  <c r="M493" i="12" s="1"/>
  <c r="N493" i="12" s="1"/>
  <c r="L494" i="12" a="1"/>
  <c r="M494" i="12" s="1"/>
  <c r="N494" i="12" s="1"/>
  <c r="L495" i="12" a="1"/>
  <c r="M495" i="12" s="1"/>
  <c r="N495" i="12" s="1"/>
  <c r="L496" i="12" a="1"/>
  <c r="M496" i="12" s="1"/>
  <c r="N496" i="12" s="1"/>
  <c r="L497" i="12" a="1"/>
  <c r="M497" i="12" s="1"/>
  <c r="N497" i="12" s="1"/>
  <c r="L498" i="12" a="1"/>
  <c r="M498" i="12" s="1"/>
  <c r="N498" i="12" s="1"/>
  <c r="L499" i="12" a="1"/>
  <c r="M499" i="12" s="1"/>
  <c r="N499" i="12" s="1"/>
  <c r="L500" i="12" a="1"/>
  <c r="M500" i="12" s="1"/>
  <c r="N500" i="12" s="1"/>
  <c r="L501" i="12" a="1"/>
  <c r="M501" i="12" s="1"/>
  <c r="N501" i="12" s="1"/>
  <c r="L502" i="12" a="1"/>
  <c r="M502" i="12" s="1"/>
  <c r="N502" i="12" s="1"/>
  <c r="L503" i="12" a="1"/>
  <c r="M503" i="12" s="1"/>
  <c r="N503" i="12" s="1"/>
  <c r="L504" i="12" a="1"/>
  <c r="M504" i="12" s="1"/>
  <c r="N504" i="12" s="1"/>
  <c r="L505" i="12" a="1"/>
  <c r="M505" i="12" s="1"/>
  <c r="N505" i="12" s="1"/>
  <c r="L506" i="12" a="1"/>
  <c r="M506" i="12" s="1"/>
  <c r="N506" i="12" s="1"/>
  <c r="L507" i="12" a="1"/>
  <c r="M507" i="12" s="1"/>
  <c r="N507" i="12" s="1"/>
  <c r="L508" i="12" a="1"/>
  <c r="M508" i="12" s="1"/>
  <c r="N508" i="12" s="1"/>
  <c r="L509" i="12" a="1"/>
  <c r="M509" i="12" s="1"/>
  <c r="N509" i="12" s="1"/>
  <c r="L510" i="12" a="1"/>
  <c r="M510" i="12" s="1"/>
  <c r="N510" i="12" s="1"/>
  <c r="L511" i="12" a="1"/>
  <c r="M511" i="12" s="1"/>
  <c r="N511" i="12" s="1"/>
  <c r="L512" i="12" a="1"/>
  <c r="M512" i="12" s="1"/>
  <c r="N512" i="12" s="1"/>
  <c r="L513" i="12" a="1"/>
  <c r="M513" i="12" s="1"/>
  <c r="N513" i="12" s="1"/>
  <c r="L514" i="12" a="1"/>
  <c r="M514" i="12" s="1"/>
  <c r="N514" i="12" s="1"/>
  <c r="L515" i="12" a="1"/>
  <c r="M515" i="12" s="1"/>
  <c r="N515" i="12" s="1"/>
  <c r="L516" i="12" a="1"/>
  <c r="M516" i="12" s="1"/>
  <c r="N516" i="12" s="1"/>
  <c r="L517" i="12" a="1"/>
  <c r="M517" i="12" s="1"/>
  <c r="N517" i="12" s="1"/>
  <c r="L518" i="12" a="1"/>
  <c r="M518" i="12" s="1"/>
  <c r="N518" i="12" s="1"/>
  <c r="L519" i="12" a="1"/>
  <c r="M519" i="12" s="1"/>
  <c r="N519" i="12" s="1"/>
  <c r="L520" i="12" a="1"/>
  <c r="M520" i="12" s="1"/>
  <c r="N520" i="12" s="1"/>
  <c r="L521" i="12" a="1"/>
  <c r="M521" i="12" s="1"/>
  <c r="N521" i="12" s="1"/>
  <c r="L522" i="12" a="1"/>
  <c r="M522" i="12" s="1"/>
  <c r="N522" i="12" s="1"/>
  <c r="L523" i="12" a="1"/>
  <c r="M523" i="12" s="1"/>
  <c r="N523" i="12" s="1"/>
  <c r="L524" i="12" a="1"/>
  <c r="M524" i="12" s="1"/>
  <c r="N524" i="12" s="1"/>
  <c r="L525" i="12" a="1"/>
  <c r="M525" i="12" s="1"/>
  <c r="N525" i="12" s="1"/>
  <c r="L526" i="12" a="1"/>
  <c r="M526" i="12" s="1"/>
  <c r="N526" i="12" s="1"/>
  <c r="L527" i="12" a="1"/>
  <c r="M527" i="12" s="1"/>
  <c r="N527" i="12" s="1"/>
  <c r="L528" i="12" a="1"/>
  <c r="M528" i="12" s="1"/>
  <c r="N528" i="12" s="1"/>
  <c r="L529" i="12" a="1"/>
  <c r="M529" i="12" s="1"/>
  <c r="N529" i="12" s="1"/>
  <c r="L530" i="12" a="1"/>
  <c r="M530" i="12" s="1"/>
  <c r="N530" i="12" s="1"/>
  <c r="L531" i="12" a="1"/>
  <c r="M531" i="12" s="1"/>
  <c r="N531" i="12" s="1"/>
  <c r="L532" i="12" a="1"/>
  <c r="M532" i="12" s="1"/>
  <c r="N532" i="12" s="1"/>
  <c r="L533" i="12" a="1"/>
  <c r="M533" i="12" s="1"/>
  <c r="N533" i="12" s="1"/>
  <c r="L534" i="12" a="1"/>
  <c r="M534" i="12" s="1"/>
  <c r="N534" i="12" s="1"/>
  <c r="L535" i="12" a="1"/>
  <c r="M535" i="12" s="1"/>
  <c r="N535" i="12" s="1"/>
  <c r="L536" i="12" a="1"/>
  <c r="M536" i="12" s="1"/>
  <c r="N536" i="12" s="1"/>
  <c r="L537" i="12" a="1"/>
  <c r="M537" i="12" s="1"/>
  <c r="N537" i="12" s="1"/>
  <c r="L538" i="12" a="1"/>
  <c r="M538" i="12" s="1"/>
  <c r="N538" i="12" s="1"/>
  <c r="L539" i="12" a="1"/>
  <c r="M539" i="12" s="1"/>
  <c r="N539" i="12" s="1"/>
  <c r="L540" i="12" a="1"/>
  <c r="M540" i="12" s="1"/>
  <c r="N540" i="12" s="1"/>
  <c r="L541" i="12" a="1"/>
  <c r="M541" i="12" s="1"/>
  <c r="N541" i="12" s="1"/>
  <c r="L542" i="12" a="1"/>
  <c r="M542" i="12" s="1"/>
  <c r="N542" i="12" s="1"/>
  <c r="L543" i="12" a="1"/>
  <c r="M543" i="12" s="1"/>
  <c r="N543" i="12" s="1"/>
  <c r="L544" i="12" a="1"/>
  <c r="M544" i="12" s="1"/>
  <c r="N544" i="12" s="1"/>
  <c r="L545" i="12" a="1"/>
  <c r="M545" i="12" s="1"/>
  <c r="N545" i="12" s="1"/>
  <c r="L546" i="12" a="1"/>
  <c r="M546" i="12" s="1"/>
  <c r="N546" i="12" s="1"/>
  <c r="L547" i="12" a="1"/>
  <c r="M547" i="12" s="1"/>
  <c r="N547" i="12" s="1"/>
  <c r="L548" i="12" a="1"/>
  <c r="M548" i="12" s="1"/>
  <c r="N548" i="12" s="1"/>
  <c r="L549" i="12" a="1"/>
  <c r="M549" i="12" s="1"/>
  <c r="N549" i="12" s="1"/>
  <c r="L550" i="12" a="1"/>
  <c r="M550" i="12" s="1"/>
  <c r="N550" i="12" s="1"/>
  <c r="L551" i="12" a="1"/>
  <c r="M551" i="12" s="1"/>
  <c r="N551" i="12" s="1"/>
  <c r="L552" i="12" a="1"/>
  <c r="M552" i="12" s="1"/>
  <c r="N552" i="12" s="1"/>
  <c r="L553" i="12" a="1"/>
  <c r="M553" i="12" s="1"/>
  <c r="N553" i="12" s="1"/>
  <c r="L554" i="12" a="1"/>
  <c r="M554" i="12" s="1"/>
  <c r="N554" i="12" s="1"/>
  <c r="L555" i="12" a="1"/>
  <c r="M555" i="12" s="1"/>
  <c r="N555" i="12" s="1"/>
  <c r="L556" i="12" a="1"/>
  <c r="M556" i="12" s="1"/>
  <c r="N556" i="12" s="1"/>
  <c r="L557" i="12" a="1"/>
  <c r="M557" i="12" s="1"/>
  <c r="N557" i="12" s="1"/>
  <c r="L558" i="12" a="1"/>
  <c r="M558" i="12" s="1"/>
  <c r="N558" i="12" s="1"/>
  <c r="L559" i="12" a="1"/>
  <c r="M559" i="12" s="1"/>
  <c r="N559" i="12" s="1"/>
  <c r="L560" i="12" a="1"/>
  <c r="M560" i="12" s="1"/>
  <c r="N560" i="12" s="1"/>
  <c r="L561" i="12" a="1"/>
  <c r="M561" i="12" s="1"/>
  <c r="N561" i="12" s="1"/>
  <c r="L562" i="12" a="1"/>
  <c r="M562" i="12" s="1"/>
  <c r="N562" i="12" s="1"/>
  <c r="L563" i="12" a="1"/>
  <c r="M563" i="12" s="1"/>
  <c r="N563" i="12" s="1"/>
  <c r="L564" i="12" a="1"/>
  <c r="M564" i="12" s="1"/>
  <c r="N564" i="12" s="1"/>
  <c r="L565" i="12" a="1"/>
  <c r="M565" i="12" s="1"/>
  <c r="N565" i="12" s="1"/>
  <c r="L566" i="12" a="1"/>
  <c r="M566" i="12" s="1"/>
  <c r="N566" i="12" s="1"/>
  <c r="L567" i="12" a="1"/>
  <c r="M567" i="12" s="1"/>
  <c r="N567" i="12" s="1"/>
  <c r="L568" i="12" a="1"/>
  <c r="M568" i="12" s="1"/>
  <c r="N568" i="12" s="1"/>
  <c r="L569" i="12" a="1"/>
  <c r="M569" i="12" s="1"/>
  <c r="N569" i="12" s="1"/>
  <c r="L570" i="12" a="1"/>
  <c r="M570" i="12" s="1"/>
  <c r="N570" i="12" s="1"/>
  <c r="L571" i="12" a="1"/>
  <c r="M571" i="12" s="1"/>
  <c r="N571" i="12" s="1"/>
  <c r="L572" i="12" a="1"/>
  <c r="M572" i="12" s="1"/>
  <c r="N572" i="12" s="1"/>
  <c r="L573" i="12" a="1"/>
  <c r="M573" i="12" s="1"/>
  <c r="N573" i="12" s="1"/>
  <c r="L574" i="12" a="1"/>
  <c r="M574" i="12" s="1"/>
  <c r="N574" i="12" s="1"/>
  <c r="L575" i="12" a="1"/>
  <c r="M575" i="12" s="1"/>
  <c r="N575" i="12" s="1"/>
  <c r="L576" i="12" a="1"/>
  <c r="M576" i="12" s="1"/>
  <c r="N576" i="12" s="1"/>
  <c r="L577" i="12" a="1"/>
  <c r="M577" i="12" s="1"/>
  <c r="N577" i="12" s="1"/>
  <c r="L578" i="12" a="1"/>
  <c r="M578" i="12" s="1"/>
  <c r="N578" i="12" s="1"/>
  <c r="L579" i="12" a="1"/>
  <c r="M579" i="12" s="1"/>
  <c r="N579" i="12" s="1"/>
  <c r="L580" i="12" a="1"/>
  <c r="M580" i="12" s="1"/>
  <c r="N580" i="12" s="1"/>
  <c r="L581" i="12" a="1"/>
  <c r="M581" i="12" s="1"/>
  <c r="N581" i="12" s="1"/>
  <c r="L582" i="12" a="1"/>
  <c r="M582" i="12" s="1"/>
  <c r="N582" i="12" s="1"/>
  <c r="L583" i="12" a="1"/>
  <c r="M583" i="12" s="1"/>
  <c r="N583" i="12" s="1"/>
  <c r="L584" i="12" a="1"/>
  <c r="M584" i="12" s="1"/>
  <c r="N584" i="12" s="1"/>
  <c r="L585" i="12" a="1"/>
  <c r="M585" i="12" s="1"/>
  <c r="N585" i="12" s="1"/>
  <c r="L586" i="12" a="1"/>
  <c r="M586" i="12" s="1"/>
  <c r="N586" i="12" s="1"/>
  <c r="L587" i="12" a="1"/>
  <c r="M587" i="12" s="1"/>
  <c r="N587" i="12" s="1"/>
  <c r="L588" i="12" a="1"/>
  <c r="M588" i="12" s="1"/>
  <c r="N588" i="12" s="1"/>
  <c r="L589" i="12" a="1"/>
  <c r="M589" i="12" s="1"/>
  <c r="N589" i="12" s="1"/>
  <c r="L590" i="12" a="1"/>
  <c r="M590" i="12" s="1"/>
  <c r="N590" i="12" s="1"/>
  <c r="L591" i="12" a="1"/>
  <c r="M591" i="12" s="1"/>
  <c r="N591" i="12" s="1"/>
  <c r="L592" i="12" a="1"/>
  <c r="M592" i="12" s="1"/>
  <c r="N592" i="12" s="1"/>
  <c r="L593" i="12" a="1"/>
  <c r="M593" i="12" s="1"/>
  <c r="N593" i="12" s="1"/>
  <c r="L594" i="12" a="1"/>
  <c r="M594" i="12" s="1"/>
  <c r="N594" i="12" s="1"/>
  <c r="L595" i="12" a="1"/>
  <c r="M595" i="12" s="1"/>
  <c r="N595" i="12" s="1"/>
  <c r="L596" i="12" a="1"/>
  <c r="M596" i="12" s="1"/>
  <c r="N596" i="12" s="1"/>
  <c r="L597" i="12" a="1"/>
  <c r="M597" i="12" s="1"/>
  <c r="N597" i="12" s="1"/>
  <c r="L598" i="12" a="1"/>
  <c r="M598" i="12" s="1"/>
  <c r="N598" i="12" s="1"/>
  <c r="L599" i="12" a="1"/>
  <c r="M599" i="12" s="1"/>
  <c r="N599" i="12" s="1"/>
  <c r="L600" i="12" a="1"/>
  <c r="M600" i="12" s="1"/>
  <c r="N600" i="12" s="1"/>
  <c r="L601" i="12" a="1"/>
  <c r="M601" i="12" s="1"/>
  <c r="N601" i="12" s="1"/>
  <c r="L602" i="12" a="1"/>
  <c r="M602" i="12" s="1"/>
  <c r="N602" i="12" s="1"/>
  <c r="L603" i="12" a="1"/>
  <c r="M603" i="12" s="1"/>
  <c r="N603" i="12" s="1"/>
  <c r="L604" i="12" a="1"/>
  <c r="M604" i="12" s="1"/>
  <c r="N604" i="12" s="1"/>
  <c r="L605" i="12" a="1"/>
  <c r="M605" i="12" s="1"/>
  <c r="N605" i="12" s="1"/>
  <c r="L606" i="12" a="1"/>
  <c r="M606" i="12" s="1"/>
  <c r="N606" i="12" s="1"/>
  <c r="L607" i="12" a="1"/>
  <c r="M607" i="12" s="1"/>
  <c r="N607" i="12" s="1"/>
  <c r="L608" i="12" a="1"/>
  <c r="M608" i="12" s="1"/>
  <c r="N608" i="12" s="1"/>
  <c r="L609" i="12" a="1"/>
  <c r="M609" i="12" s="1"/>
  <c r="N609" i="12" s="1"/>
  <c r="L610" i="12" a="1"/>
  <c r="M610" i="12" s="1"/>
  <c r="N610" i="12" s="1"/>
  <c r="L611" i="12" a="1"/>
  <c r="M611" i="12" s="1"/>
  <c r="N611" i="12" s="1"/>
  <c r="L612" i="12" a="1"/>
  <c r="M612" i="12" s="1"/>
  <c r="N612" i="12" s="1"/>
  <c r="L613" i="12" a="1"/>
  <c r="M613" i="12" s="1"/>
  <c r="N613" i="12" s="1"/>
  <c r="L614" i="12" a="1"/>
  <c r="M614" i="12" s="1"/>
  <c r="N614" i="12" s="1"/>
  <c r="L615" i="12" a="1"/>
  <c r="M615" i="12" s="1"/>
  <c r="N615" i="12" s="1"/>
  <c r="L616" i="12" a="1"/>
  <c r="M616" i="12" s="1"/>
  <c r="N616" i="12" s="1"/>
  <c r="L617" i="12" a="1"/>
  <c r="M617" i="12" s="1"/>
  <c r="N617" i="12" s="1"/>
  <c r="L618" i="12" a="1"/>
  <c r="M618" i="12" s="1"/>
  <c r="N618" i="12" s="1"/>
  <c r="L619" i="12" a="1"/>
  <c r="M619" i="12" s="1"/>
  <c r="N619" i="12" s="1"/>
  <c r="L620" i="12" a="1"/>
  <c r="M620" i="12" s="1"/>
  <c r="N620" i="12" s="1"/>
  <c r="L621" i="12" a="1"/>
  <c r="M621" i="12" s="1"/>
  <c r="N621" i="12" s="1"/>
  <c r="L622" i="12" a="1"/>
  <c r="M622" i="12" s="1"/>
  <c r="N622" i="12" s="1"/>
  <c r="L623" i="12" a="1"/>
  <c r="M623" i="12" s="1"/>
  <c r="N623" i="12" s="1"/>
  <c r="L624" i="12" a="1"/>
  <c r="M624" i="12" s="1"/>
  <c r="N624" i="12" s="1"/>
  <c r="L625" i="12" a="1"/>
  <c r="M625" i="12" s="1"/>
  <c r="N625" i="12" s="1"/>
  <c r="L626" i="12" a="1"/>
  <c r="M626" i="12" s="1"/>
  <c r="N626" i="12" s="1"/>
  <c r="L627" i="12" a="1"/>
  <c r="M627" i="12" s="1"/>
  <c r="N627" i="12" s="1"/>
  <c r="L628" i="12" a="1"/>
  <c r="M628" i="12" s="1"/>
  <c r="N628" i="12" s="1"/>
  <c r="L629" i="12" a="1"/>
  <c r="M629" i="12" s="1"/>
  <c r="N629" i="12" s="1"/>
  <c r="L630" i="12" a="1"/>
  <c r="M630" i="12" s="1"/>
  <c r="N630" i="12" s="1"/>
  <c r="L631" i="12" a="1"/>
  <c r="M631" i="12" s="1"/>
  <c r="N631" i="12" s="1"/>
  <c r="L632" i="12" a="1"/>
  <c r="M632" i="12" s="1"/>
  <c r="N632" i="12" s="1"/>
  <c r="L633" i="12" a="1"/>
  <c r="M633" i="12" s="1"/>
  <c r="N633" i="12" s="1"/>
  <c r="L634" i="12" a="1"/>
  <c r="M634" i="12" s="1"/>
  <c r="N634" i="12" s="1"/>
  <c r="L635" i="12" a="1"/>
  <c r="M635" i="12" s="1"/>
  <c r="N635" i="12" s="1"/>
  <c r="L636" i="12" a="1"/>
  <c r="M636" i="12" s="1"/>
  <c r="N636" i="12" s="1"/>
  <c r="L637" i="12" a="1"/>
  <c r="M637" i="12" s="1"/>
  <c r="N637" i="12" s="1"/>
  <c r="L638" i="12" a="1"/>
  <c r="M638" i="12" s="1"/>
  <c r="N638" i="12" s="1"/>
  <c r="L639" i="12" a="1"/>
  <c r="M639" i="12" s="1"/>
  <c r="N639" i="12" s="1"/>
  <c r="L640" i="12" a="1"/>
  <c r="M640" i="12" s="1"/>
  <c r="N640" i="12" s="1"/>
  <c r="L641" i="12" a="1"/>
  <c r="M641" i="12" s="1"/>
  <c r="N641" i="12" s="1"/>
  <c r="L642" i="12" a="1"/>
  <c r="M642" i="12" s="1"/>
  <c r="N642" i="12" s="1"/>
  <c r="L643" i="12" a="1"/>
  <c r="M643" i="12" s="1"/>
  <c r="N643" i="12" s="1"/>
  <c r="L644" i="12" a="1"/>
  <c r="M644" i="12" s="1"/>
  <c r="N644" i="12" s="1"/>
  <c r="L645" i="12" a="1"/>
  <c r="M645" i="12" s="1"/>
  <c r="N645" i="12" s="1"/>
  <c r="L646" i="12" a="1"/>
  <c r="M646" i="12" s="1"/>
  <c r="N646" i="12" s="1"/>
  <c r="L647" i="12" a="1"/>
  <c r="M647" i="12" s="1"/>
  <c r="N647" i="12" s="1"/>
  <c r="L648" i="12" a="1"/>
  <c r="M648" i="12" s="1"/>
  <c r="N648" i="12" s="1"/>
  <c r="L649" i="12" a="1"/>
  <c r="M649" i="12" s="1"/>
  <c r="N649" i="12" s="1"/>
  <c r="L650" i="12" a="1"/>
  <c r="M650" i="12" s="1"/>
  <c r="N650" i="12" s="1"/>
  <c r="L651" i="12" a="1"/>
  <c r="M651" i="12" s="1"/>
  <c r="N651" i="12" s="1"/>
  <c r="L652" i="12" a="1"/>
  <c r="M652" i="12" s="1"/>
  <c r="N652" i="12" s="1"/>
  <c r="L653" i="12" a="1"/>
  <c r="M653" i="12" s="1"/>
  <c r="N653" i="12" s="1"/>
  <c r="L654" i="12" a="1"/>
  <c r="M654" i="12" s="1"/>
  <c r="N654" i="12" s="1"/>
  <c r="L655" i="12" a="1"/>
  <c r="M655" i="12" s="1"/>
  <c r="N655" i="12" s="1"/>
  <c r="L656" i="12" a="1"/>
  <c r="M656" i="12" s="1"/>
  <c r="N656" i="12" s="1"/>
  <c r="L657" i="12" a="1"/>
  <c r="M657" i="12" s="1"/>
  <c r="N657" i="12" s="1"/>
  <c r="L658" i="12" a="1"/>
  <c r="M658" i="12" s="1"/>
  <c r="N658" i="12" s="1"/>
  <c r="L659" i="12" a="1"/>
  <c r="M659" i="12" s="1"/>
  <c r="N659" i="12" s="1"/>
  <c r="L660" i="12" a="1"/>
  <c r="M660" i="12" s="1"/>
  <c r="N660" i="12" s="1"/>
  <c r="L661" i="12" a="1"/>
  <c r="M661" i="12" s="1"/>
  <c r="N661" i="12" s="1"/>
  <c r="L662" i="12" a="1"/>
  <c r="M662" i="12" s="1"/>
  <c r="N662" i="12" s="1"/>
  <c r="L663" i="12" a="1"/>
  <c r="M663" i="12" s="1"/>
  <c r="N663" i="12" s="1"/>
  <c r="L664" i="12" a="1"/>
  <c r="M664" i="12" s="1"/>
  <c r="N664" i="12" s="1"/>
  <c r="L665" i="12" a="1"/>
  <c r="M665" i="12" s="1"/>
  <c r="N665" i="12" s="1"/>
  <c r="L666" i="12" a="1"/>
  <c r="M666" i="12" s="1"/>
  <c r="N666" i="12" s="1"/>
  <c r="L667" i="12" a="1"/>
  <c r="M667" i="12" s="1"/>
  <c r="N667" i="12" s="1"/>
  <c r="L668" i="12" a="1"/>
  <c r="M668" i="12" s="1"/>
  <c r="N668" i="12" s="1"/>
  <c r="L669" i="12" a="1"/>
  <c r="M669" i="12" s="1"/>
  <c r="N669" i="12" s="1"/>
  <c r="L670" i="12" a="1"/>
  <c r="M670" i="12" s="1"/>
  <c r="N670" i="12" s="1"/>
  <c r="L671" i="12" a="1"/>
  <c r="M671" i="12" s="1"/>
  <c r="N671" i="12" s="1"/>
  <c r="L672" i="12" a="1"/>
  <c r="M672" i="12" s="1"/>
  <c r="N672" i="12" s="1"/>
  <c r="L673" i="12" a="1"/>
  <c r="M673" i="12" s="1"/>
  <c r="N673" i="12" s="1"/>
  <c r="L674" i="12" a="1"/>
  <c r="M674" i="12" s="1"/>
  <c r="N674" i="12" s="1"/>
  <c r="L675" i="12" a="1"/>
  <c r="M675" i="12" s="1"/>
  <c r="N675" i="12" s="1"/>
  <c r="L676" i="12" a="1"/>
  <c r="M676" i="12" s="1"/>
  <c r="N676" i="12" s="1"/>
  <c r="L677" i="12" a="1"/>
  <c r="M677" i="12" s="1"/>
  <c r="N677" i="12" s="1"/>
  <c r="L678" i="12" a="1"/>
  <c r="M678" i="12" s="1"/>
  <c r="N678" i="12" s="1"/>
  <c r="L679" i="12" a="1"/>
  <c r="M679" i="12" s="1"/>
  <c r="N679" i="12" s="1"/>
  <c r="L680" i="12" a="1"/>
  <c r="M680" i="12" s="1"/>
  <c r="N680" i="12" s="1"/>
  <c r="L681" i="12" a="1"/>
  <c r="M681" i="12" s="1"/>
  <c r="N681" i="12" s="1"/>
  <c r="L682" i="12" a="1"/>
  <c r="M682" i="12" s="1"/>
  <c r="N682" i="12" s="1"/>
  <c r="L683" i="12" a="1"/>
  <c r="M683" i="12" s="1"/>
  <c r="N683" i="12" s="1"/>
  <c r="L684" i="12" a="1"/>
  <c r="M684" i="12" s="1"/>
  <c r="N684" i="12" s="1"/>
  <c r="L685" i="12" a="1"/>
  <c r="M685" i="12" s="1"/>
  <c r="N685" i="12" s="1"/>
  <c r="L686" i="12" a="1"/>
  <c r="M686" i="12" s="1"/>
  <c r="N686" i="12" s="1"/>
  <c r="L687" i="12" a="1"/>
  <c r="M687" i="12" s="1"/>
  <c r="N687" i="12" s="1"/>
  <c r="L688" i="12" a="1"/>
  <c r="M688" i="12" s="1"/>
  <c r="N688" i="12" s="1"/>
  <c r="L689" i="12" a="1"/>
  <c r="M689" i="12" s="1"/>
  <c r="N689" i="12" s="1"/>
  <c r="L690" i="12" a="1"/>
  <c r="M690" i="12" s="1"/>
  <c r="N690" i="12" s="1"/>
  <c r="L691" i="12" a="1"/>
  <c r="M691" i="12" s="1"/>
  <c r="N691" i="12" s="1"/>
  <c r="L692" i="12" a="1"/>
  <c r="M692" i="12" s="1"/>
  <c r="N692" i="12" s="1"/>
  <c r="L693" i="12" a="1"/>
  <c r="M693" i="12" s="1"/>
  <c r="N693" i="12" s="1"/>
  <c r="L694" i="12" a="1"/>
  <c r="M694" i="12" s="1"/>
  <c r="N694" i="12" s="1"/>
  <c r="L695" i="12" a="1"/>
  <c r="M695" i="12" s="1"/>
  <c r="N695" i="12" s="1"/>
  <c r="L696" i="12" a="1"/>
  <c r="M696" i="12" s="1"/>
  <c r="N696" i="12" s="1"/>
  <c r="L697" i="12" a="1"/>
  <c r="M697" i="12" s="1"/>
  <c r="N697" i="12" s="1"/>
  <c r="L698" i="12" a="1"/>
  <c r="M698" i="12" s="1"/>
  <c r="N698" i="12" s="1"/>
  <c r="L699" i="12" a="1"/>
  <c r="M699" i="12" s="1"/>
  <c r="N699" i="12" s="1"/>
  <c r="L700" i="12" a="1"/>
  <c r="M700" i="12" s="1"/>
  <c r="N700" i="12" s="1"/>
  <c r="L701" i="12" a="1"/>
  <c r="M701" i="12" s="1"/>
  <c r="N701" i="12" s="1"/>
  <c r="L702" i="12" a="1"/>
  <c r="M702" i="12" s="1"/>
  <c r="N702" i="12" s="1"/>
  <c r="L703" i="12" a="1"/>
  <c r="M703" i="12" s="1"/>
  <c r="N703" i="12" s="1"/>
  <c r="L704" i="12" a="1"/>
  <c r="M704" i="12" s="1"/>
  <c r="N704" i="12" s="1"/>
  <c r="L705" i="12" a="1"/>
  <c r="M705" i="12" s="1"/>
  <c r="N705" i="12" s="1"/>
  <c r="L706" i="12" a="1"/>
  <c r="M706" i="12" s="1"/>
  <c r="N706" i="12" s="1"/>
  <c r="L707" i="12" a="1"/>
  <c r="M707" i="12" s="1"/>
  <c r="N707" i="12" s="1"/>
  <c r="L708" i="12" a="1"/>
  <c r="M708" i="12" s="1"/>
  <c r="N708" i="12" s="1"/>
  <c r="L709" i="12" a="1"/>
  <c r="M709" i="12" s="1"/>
  <c r="N709" i="12" s="1"/>
  <c r="L710" i="12" a="1"/>
  <c r="M710" i="12" s="1"/>
  <c r="N710" i="12" s="1"/>
  <c r="L711" i="12" a="1"/>
  <c r="M711" i="12" s="1"/>
  <c r="N711" i="12" s="1"/>
  <c r="L712" i="12" a="1"/>
  <c r="M712" i="12" s="1"/>
  <c r="N712" i="12" s="1"/>
  <c r="L713" i="12" a="1"/>
  <c r="M713" i="12" s="1"/>
  <c r="N713" i="12" s="1"/>
  <c r="L714" i="12" a="1"/>
  <c r="M714" i="12" s="1"/>
  <c r="N714" i="12" s="1"/>
  <c r="L715" i="12" a="1"/>
  <c r="M715" i="12" s="1"/>
  <c r="N715" i="12" s="1"/>
  <c r="L716" i="12" a="1"/>
  <c r="M716" i="12" s="1"/>
  <c r="N716" i="12" s="1"/>
  <c r="L717" i="12" a="1"/>
  <c r="M717" i="12" s="1"/>
  <c r="N717" i="12" s="1"/>
  <c r="L718" i="12" a="1"/>
  <c r="M718" i="12" s="1"/>
  <c r="N718" i="12" s="1"/>
  <c r="L719" i="12" a="1"/>
  <c r="M719" i="12" s="1"/>
  <c r="N719" i="12" s="1"/>
  <c r="L720" i="12" a="1"/>
  <c r="M720" i="12" s="1"/>
  <c r="N720" i="12" s="1"/>
  <c r="L721" i="12" a="1"/>
  <c r="M721" i="12" s="1"/>
  <c r="N721" i="12" s="1"/>
  <c r="L722" i="12" a="1"/>
  <c r="M722" i="12" s="1"/>
  <c r="N722" i="12" s="1"/>
  <c r="L723" i="12" a="1"/>
  <c r="M723" i="12" s="1"/>
  <c r="N723" i="12" s="1"/>
  <c r="L724" i="12" a="1"/>
  <c r="M724" i="12" s="1"/>
  <c r="N724" i="12" s="1"/>
  <c r="L725" i="12" a="1"/>
  <c r="M725" i="12" s="1"/>
  <c r="N725" i="12" s="1"/>
  <c r="L726" i="12" a="1"/>
  <c r="M726" i="12" s="1"/>
  <c r="N726" i="12" s="1"/>
  <c r="L727" i="12" a="1"/>
  <c r="M727" i="12" s="1"/>
  <c r="N727" i="12" s="1"/>
  <c r="L728" i="12" a="1"/>
  <c r="M728" i="12" s="1"/>
  <c r="N728" i="12" s="1"/>
  <c r="L729" i="12" a="1"/>
  <c r="M729" i="12" s="1"/>
  <c r="N729" i="12" s="1"/>
  <c r="L730" i="12" a="1"/>
  <c r="M730" i="12" s="1"/>
  <c r="N730" i="12" s="1"/>
  <c r="L731" i="12" a="1"/>
  <c r="M731" i="12" s="1"/>
  <c r="N731" i="12" s="1"/>
  <c r="L732" i="12" a="1"/>
  <c r="M732" i="12" s="1"/>
  <c r="N732" i="12" s="1"/>
  <c r="L733" i="12" a="1"/>
  <c r="M733" i="12" s="1"/>
  <c r="N733" i="12" s="1"/>
  <c r="L734" i="12" a="1"/>
  <c r="M734" i="12" s="1"/>
  <c r="N734" i="12" s="1"/>
  <c r="L735" i="12" a="1"/>
  <c r="M735" i="12" s="1"/>
  <c r="N735" i="12" s="1"/>
  <c r="L736" i="12" a="1"/>
  <c r="M736" i="12" s="1"/>
  <c r="N736" i="12" s="1"/>
  <c r="L737" i="12" a="1"/>
  <c r="M737" i="12" s="1"/>
  <c r="N737" i="12" s="1"/>
  <c r="L738" i="12" a="1"/>
  <c r="M738" i="12" s="1"/>
  <c r="N738" i="12" s="1"/>
  <c r="L739" i="12" a="1"/>
  <c r="M739" i="12" s="1"/>
  <c r="N739" i="12" s="1"/>
  <c r="L740" i="12" a="1"/>
  <c r="M740" i="12" s="1"/>
  <c r="N740" i="12" s="1"/>
  <c r="L741" i="12" a="1"/>
  <c r="M741" i="12" s="1"/>
  <c r="N741" i="12" s="1"/>
  <c r="L742" i="12" a="1"/>
  <c r="M742" i="12" s="1"/>
  <c r="N742" i="12" s="1"/>
  <c r="L743" i="12" a="1"/>
  <c r="M743" i="12" s="1"/>
  <c r="N743" i="12" s="1"/>
  <c r="L744" i="12" a="1"/>
  <c r="M744" i="12" s="1"/>
  <c r="N744" i="12" s="1"/>
  <c r="L745" i="12" a="1"/>
  <c r="M745" i="12" s="1"/>
  <c r="N745" i="12" s="1"/>
  <c r="L746" i="12" a="1"/>
  <c r="M746" i="12" s="1"/>
  <c r="N746" i="12" s="1"/>
  <c r="L747" i="12" a="1"/>
  <c r="M747" i="12" s="1"/>
  <c r="N747" i="12" s="1"/>
  <c r="L748" i="12" a="1"/>
  <c r="M748" i="12" s="1"/>
  <c r="N748" i="12" s="1"/>
  <c r="L749" i="12" a="1"/>
  <c r="M749" i="12" s="1"/>
  <c r="N749" i="12" s="1"/>
  <c r="L750" i="12" a="1"/>
  <c r="M750" i="12" s="1"/>
  <c r="N750" i="12" s="1"/>
  <c r="L751" i="12" a="1"/>
  <c r="M751" i="12" s="1"/>
  <c r="N751" i="12" s="1"/>
  <c r="L752" i="12" a="1"/>
  <c r="M752" i="12" s="1"/>
  <c r="N752" i="12" s="1"/>
  <c r="L753" i="12" a="1"/>
  <c r="M753" i="12" s="1"/>
  <c r="N753" i="12" s="1"/>
  <c r="L754" i="12" a="1"/>
  <c r="M754" i="12" s="1"/>
  <c r="N754" i="12" s="1"/>
  <c r="L755" i="12" a="1"/>
  <c r="M755" i="12" s="1"/>
  <c r="N755" i="12" s="1"/>
  <c r="L756" i="12" a="1"/>
  <c r="M756" i="12" s="1"/>
  <c r="N756" i="12" s="1"/>
  <c r="L757" i="12" a="1"/>
  <c r="M757" i="12" s="1"/>
  <c r="N757" i="12" s="1"/>
  <c r="L2" i="12" a="1"/>
  <c r="M2" i="12" s="1"/>
  <c r="N2" i="12" s="1"/>
  <c r="D73" i="5"/>
  <c r="Z73" i="5" a="1"/>
  <c r="AA73" i="5" a="1"/>
  <c r="AB73" i="5" a="1"/>
  <c r="D72" i="5"/>
  <c r="Z72" i="5" a="1"/>
  <c r="AA72" i="5" a="1"/>
  <c r="AB72" i="5" a="1"/>
  <c r="K1279" i="12" a="1"/>
  <c r="J1279" i="12" a="1"/>
  <c r="I1279" i="12" a="1"/>
  <c r="H1279" i="12"/>
  <c r="K1278" i="12" a="1"/>
  <c r="J1278" i="12" a="1"/>
  <c r="I1278" i="12" a="1"/>
  <c r="H1278" i="12"/>
  <c r="K1277" i="12" a="1"/>
  <c r="J1277" i="12" a="1"/>
  <c r="I1277" i="12" a="1"/>
  <c r="H1277" i="12"/>
  <c r="K1276" i="12" a="1"/>
  <c r="J1276" i="12" a="1"/>
  <c r="I1276" i="12" a="1"/>
  <c r="H1276" i="12"/>
  <c r="K1275" i="12" a="1"/>
  <c r="J1275" i="12" a="1"/>
  <c r="I1275" i="12" a="1"/>
  <c r="H1275" i="12"/>
  <c r="K1274" i="12" a="1"/>
  <c r="J1274" i="12" a="1"/>
  <c r="I1274" i="12" a="1"/>
  <c r="H1274" i="12"/>
  <c r="K1273" i="12" a="1"/>
  <c r="J1273" i="12" a="1"/>
  <c r="I1273" i="12" a="1"/>
  <c r="H1273" i="12"/>
  <c r="K1272" i="12" a="1"/>
  <c r="J1272" i="12" a="1"/>
  <c r="I1272" i="12" a="1"/>
  <c r="H1272" i="12"/>
  <c r="K1271" i="12" a="1"/>
  <c r="J1271" i="12" a="1"/>
  <c r="I1271" i="12" a="1"/>
  <c r="H1271" i="12"/>
  <c r="K1270" i="12" a="1"/>
  <c r="J1270" i="12" a="1"/>
  <c r="I1270" i="12" a="1"/>
  <c r="H1270" i="12"/>
  <c r="K1269" i="12" a="1"/>
  <c r="J1269" i="12" a="1"/>
  <c r="I1269" i="12" a="1"/>
  <c r="H1269" i="12"/>
  <c r="K1268" i="12" a="1"/>
  <c r="J1268" i="12" a="1"/>
  <c r="I1268" i="12" a="1"/>
  <c r="H1268" i="12"/>
  <c r="K1267" i="12" a="1"/>
  <c r="J1267" i="12" a="1"/>
  <c r="I1267" i="12" a="1"/>
  <c r="H1267" i="12"/>
  <c r="K1266" i="12" a="1"/>
  <c r="J1266" i="12" a="1"/>
  <c r="I1266" i="12" a="1"/>
  <c r="H1266" i="12"/>
  <c r="K1265" i="12" a="1"/>
  <c r="J1265" i="12" a="1"/>
  <c r="I1265" i="12" a="1"/>
  <c r="H1265" i="12"/>
  <c r="K1264" i="12" a="1"/>
  <c r="J1264" i="12" a="1"/>
  <c r="I1264" i="12" a="1"/>
  <c r="H1264" i="12"/>
  <c r="K1263" i="12" a="1"/>
  <c r="J1263" i="12" a="1"/>
  <c r="I1263" i="12" a="1"/>
  <c r="H1263" i="12"/>
  <c r="K1262" i="12" a="1"/>
  <c r="J1262" i="12" a="1"/>
  <c r="I1262" i="12" a="1"/>
  <c r="H1262" i="12"/>
  <c r="K1261" i="12" a="1"/>
  <c r="J1261" i="12" a="1"/>
  <c r="I1261" i="12" a="1"/>
  <c r="H1261" i="12"/>
  <c r="K1260" i="12" a="1"/>
  <c r="J1260" i="12" a="1"/>
  <c r="I1260" i="12" a="1"/>
  <c r="H1260" i="12"/>
  <c r="K1259" i="12" a="1"/>
  <c r="J1259" i="12" a="1"/>
  <c r="I1259" i="12" a="1"/>
  <c r="H1259" i="12"/>
  <c r="K1258" i="12" a="1"/>
  <c r="J1258" i="12" a="1"/>
  <c r="I1258" i="12" a="1"/>
  <c r="H1258" i="12"/>
  <c r="K1257" i="12" a="1"/>
  <c r="J1257" i="12" a="1"/>
  <c r="I1257" i="12" a="1"/>
  <c r="H1257" i="12"/>
  <c r="K1256" i="12" a="1"/>
  <c r="J1256" i="12" a="1"/>
  <c r="I1256" i="12" a="1"/>
  <c r="H1256" i="12"/>
  <c r="K1255" i="12" a="1"/>
  <c r="J1255" i="12" a="1"/>
  <c r="I1255" i="12" a="1"/>
  <c r="H1255" i="12"/>
  <c r="K1254" i="12" a="1"/>
  <c r="J1254" i="12" a="1"/>
  <c r="I1254" i="12" a="1"/>
  <c r="H1254" i="12"/>
  <c r="K1253" i="12" a="1"/>
  <c r="J1253" i="12" a="1"/>
  <c r="I1253" i="12" a="1"/>
  <c r="H1253" i="12"/>
  <c r="K1252" i="12" a="1"/>
  <c r="J1252" i="12" a="1"/>
  <c r="I1252" i="12" a="1"/>
  <c r="H1252" i="12"/>
  <c r="K1251" i="12" a="1"/>
  <c r="J1251" i="12" a="1"/>
  <c r="I1251" i="12" a="1"/>
  <c r="H1251" i="12"/>
  <c r="K1250" i="12" a="1"/>
  <c r="J1250" i="12" a="1"/>
  <c r="I1250" i="12" a="1"/>
  <c r="H1250" i="12"/>
  <c r="K1249" i="12" a="1"/>
  <c r="J1249" i="12" a="1"/>
  <c r="I1249" i="12" a="1"/>
  <c r="H1249" i="12"/>
  <c r="K1248" i="12" a="1"/>
  <c r="J1248" i="12" a="1"/>
  <c r="I1248" i="12" a="1"/>
  <c r="H1248" i="12"/>
  <c r="K1247" i="12" a="1"/>
  <c r="J1247" i="12" a="1"/>
  <c r="I1247" i="12" a="1"/>
  <c r="H1247" i="12"/>
  <c r="K1246" i="12" a="1"/>
  <c r="J1246" i="12" a="1"/>
  <c r="I1246" i="12" a="1"/>
  <c r="H1246" i="12"/>
  <c r="K1245" i="12" a="1"/>
  <c r="J1245" i="12" a="1"/>
  <c r="I1245" i="12" a="1"/>
  <c r="H1245" i="12"/>
  <c r="K1244" i="12" a="1"/>
  <c r="J1244" i="12" a="1"/>
  <c r="I1244" i="12" a="1"/>
  <c r="H1244" i="12"/>
  <c r="F73" i="4" a="1"/>
  <c r="G73" i="4" a="1"/>
  <c r="F72" i="4" a="1"/>
  <c r="H72" i="4" s="1"/>
  <c r="G72" i="4" a="1"/>
  <c r="Q74" i="2"/>
  <c r="F75" i="2"/>
  <c r="Q75" i="2"/>
  <c r="F74" i="2"/>
  <c r="D71" i="9"/>
  <c r="W71" i="9" s="1"/>
  <c r="D71" i="8"/>
  <c r="W71" i="8"/>
  <c r="D71" i="7"/>
  <c r="Z71" i="7" a="1"/>
  <c r="AA71" i="7" a="1"/>
  <c r="AB71" i="7" a="1"/>
  <c r="D71" i="5"/>
  <c r="Z71" i="5" a="1"/>
  <c r="AA71" i="5" a="1"/>
  <c r="AB71" i="5" a="1"/>
  <c r="I1226" i="12" a="1"/>
  <c r="J1226" i="12" a="1"/>
  <c r="K1226" i="12" a="1"/>
  <c r="I1227" i="12" a="1"/>
  <c r="J1227" i="12" a="1"/>
  <c r="K1227" i="12" a="1"/>
  <c r="I1228" i="12" a="1"/>
  <c r="J1228" i="12" a="1"/>
  <c r="K1228" i="12" a="1"/>
  <c r="I1229" i="12" a="1"/>
  <c r="J1229" i="12" a="1"/>
  <c r="K1229" i="12" a="1"/>
  <c r="I1230" i="12" a="1"/>
  <c r="J1230" i="12" a="1"/>
  <c r="K1230" i="12" a="1"/>
  <c r="I1231" i="12" a="1"/>
  <c r="J1231" i="12" a="1"/>
  <c r="K1231" i="12" a="1"/>
  <c r="I1232" i="12" a="1"/>
  <c r="J1232" i="12" a="1"/>
  <c r="K1232" i="12" a="1"/>
  <c r="I1233" i="12" a="1"/>
  <c r="J1233" i="12" a="1"/>
  <c r="K1233" i="12" a="1"/>
  <c r="I1234" i="12" a="1"/>
  <c r="J1234" i="12" a="1"/>
  <c r="K1234" i="12" a="1"/>
  <c r="I1235" i="12" a="1"/>
  <c r="J1235" i="12" a="1"/>
  <c r="K1235" i="12" a="1"/>
  <c r="I1236" i="12" a="1"/>
  <c r="J1236" i="12" a="1"/>
  <c r="K1236" i="12" a="1"/>
  <c r="I1237" i="12" a="1"/>
  <c r="J1237" i="12" a="1"/>
  <c r="K1237" i="12" a="1"/>
  <c r="I1238" i="12" a="1"/>
  <c r="J1238" i="12" a="1"/>
  <c r="K1238" i="12" a="1"/>
  <c r="I1239" i="12" a="1"/>
  <c r="J1239" i="12" a="1"/>
  <c r="K1239" i="12" a="1"/>
  <c r="I1240" i="12" a="1"/>
  <c r="J1240" i="12" a="1"/>
  <c r="K1240" i="12" a="1"/>
  <c r="I1241" i="12" a="1"/>
  <c r="J1241" i="12" a="1"/>
  <c r="K1241" i="12" a="1"/>
  <c r="I1242" i="12" a="1"/>
  <c r="J1242" i="12" a="1"/>
  <c r="K1242" i="12" a="1"/>
  <c r="I1243" i="12" a="1"/>
  <c r="J1243" i="12" a="1"/>
  <c r="K1243" i="12" a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G71" i="4" a="1"/>
  <c r="F73" i="2"/>
  <c r="Q73" i="2"/>
  <c r="D70" i="9"/>
  <c r="W70" i="9" s="1"/>
  <c r="D70" i="8"/>
  <c r="W70" i="8"/>
  <c r="D70" i="7"/>
  <c r="Z70" i="7" a="1"/>
  <c r="AA70" i="7" a="1"/>
  <c r="AB70" i="7" a="1"/>
  <c r="D70" i="5"/>
  <c r="Z70" i="5" a="1"/>
  <c r="AA70" i="5" a="1"/>
  <c r="AB70" i="5" a="1"/>
  <c r="I1208" i="12" a="1"/>
  <c r="J1208" i="12" a="1"/>
  <c r="K1208" i="12" a="1"/>
  <c r="I1209" i="12" a="1"/>
  <c r="J1209" i="12" a="1"/>
  <c r="K1209" i="12" a="1"/>
  <c r="I1210" i="12" a="1"/>
  <c r="J1210" i="12" a="1"/>
  <c r="K1210" i="12" a="1"/>
  <c r="I1211" i="12" a="1"/>
  <c r="J1211" i="12" a="1"/>
  <c r="K1211" i="12" a="1"/>
  <c r="I1212" i="12" a="1"/>
  <c r="J1212" i="12" a="1"/>
  <c r="K1212" i="12" a="1"/>
  <c r="I1213" i="12" a="1"/>
  <c r="J1213" i="12" a="1"/>
  <c r="K1213" i="12" a="1"/>
  <c r="I1214" i="12" a="1"/>
  <c r="J1214" i="12" a="1"/>
  <c r="K1214" i="12" a="1"/>
  <c r="I1215" i="12" a="1"/>
  <c r="J1215" i="12" a="1"/>
  <c r="K1215" i="12" a="1"/>
  <c r="I1216" i="12" a="1"/>
  <c r="J1216" i="12" a="1"/>
  <c r="K1216" i="12" a="1"/>
  <c r="I1217" i="12" a="1"/>
  <c r="J1217" i="12" a="1"/>
  <c r="K1217" i="12" a="1"/>
  <c r="I1218" i="12" a="1"/>
  <c r="J1218" i="12" a="1"/>
  <c r="K1218" i="12" a="1"/>
  <c r="I1219" i="12" a="1"/>
  <c r="J1219" i="12" a="1"/>
  <c r="K1219" i="12" a="1"/>
  <c r="I1220" i="12" a="1"/>
  <c r="J1220" i="12" a="1"/>
  <c r="K1220" i="12" a="1"/>
  <c r="I1221" i="12" a="1"/>
  <c r="J1221" i="12" a="1"/>
  <c r="K1221" i="12" a="1"/>
  <c r="I1222" i="12" a="1"/>
  <c r="J1222" i="12" a="1"/>
  <c r="K1222" i="12" a="1"/>
  <c r="I1223" i="12" a="1"/>
  <c r="J1223" i="12" a="1"/>
  <c r="K1223" i="12" a="1"/>
  <c r="I1224" i="12" a="1"/>
  <c r="J1224" i="12" a="1"/>
  <c r="K1224" i="12" a="1"/>
  <c r="I1225" i="12" a="1"/>
  <c r="J1225" i="12" a="1"/>
  <c r="K1225" i="12" a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G12" i="4" a="1"/>
  <c r="F72" i="2"/>
  <c r="Q72" i="2"/>
  <c r="H1172" i="12"/>
  <c r="I1172" i="12" a="1"/>
  <c r="J1172" i="12" a="1"/>
  <c r="K1172" i="12" a="1"/>
  <c r="H1173" i="12"/>
  <c r="I1173" i="12" a="1"/>
  <c r="J1173" i="12" a="1"/>
  <c r="K1173" i="12" a="1"/>
  <c r="H1174" i="12"/>
  <c r="I1174" i="12" a="1"/>
  <c r="J1174" i="12" a="1"/>
  <c r="K1174" i="12" a="1"/>
  <c r="H1175" i="12"/>
  <c r="I1175" i="12" a="1"/>
  <c r="J1175" i="12" a="1"/>
  <c r="K1175" i="12" a="1"/>
  <c r="H1176" i="12"/>
  <c r="I1176" i="12" a="1"/>
  <c r="J1176" i="12" a="1"/>
  <c r="K1176" i="12" a="1"/>
  <c r="H1177" i="12"/>
  <c r="I1177" i="12" a="1"/>
  <c r="J1177" i="12" a="1"/>
  <c r="K1177" i="12" a="1"/>
  <c r="H1178" i="12"/>
  <c r="I1178" i="12" a="1"/>
  <c r="J1178" i="12" a="1"/>
  <c r="K1178" i="12" a="1"/>
  <c r="H1179" i="12"/>
  <c r="I1179" i="12" a="1"/>
  <c r="J1179" i="12" a="1"/>
  <c r="K1179" i="12" a="1"/>
  <c r="H1180" i="12"/>
  <c r="I1180" i="12" a="1"/>
  <c r="J1180" i="12" a="1"/>
  <c r="K1180" i="12" a="1"/>
  <c r="H1181" i="12"/>
  <c r="I1181" i="12" a="1"/>
  <c r="J1181" i="12" a="1"/>
  <c r="K1181" i="12" a="1"/>
  <c r="H1182" i="12"/>
  <c r="I1182" i="12" a="1"/>
  <c r="J1182" i="12" a="1"/>
  <c r="K1182" i="12" a="1"/>
  <c r="H1183" i="12"/>
  <c r="I1183" i="12" a="1"/>
  <c r="J1183" i="12" a="1"/>
  <c r="K1183" i="12" a="1"/>
  <c r="H1184" i="12"/>
  <c r="I1184" i="12" a="1"/>
  <c r="J1184" i="12" a="1"/>
  <c r="K1184" i="12" a="1"/>
  <c r="H1185" i="12"/>
  <c r="I1185" i="12" a="1"/>
  <c r="J1185" i="12" a="1"/>
  <c r="K1185" i="12" a="1"/>
  <c r="H1186" i="12"/>
  <c r="I1186" i="12" a="1"/>
  <c r="J1186" i="12" a="1"/>
  <c r="K1186" i="12" a="1"/>
  <c r="H1187" i="12"/>
  <c r="I1187" i="12" a="1"/>
  <c r="J1187" i="12" a="1"/>
  <c r="K1187" i="12" a="1"/>
  <c r="H1188" i="12"/>
  <c r="I1188" i="12" a="1"/>
  <c r="J1188" i="12" a="1"/>
  <c r="K1188" i="12" a="1"/>
  <c r="H1189" i="12"/>
  <c r="I1189" i="12" a="1"/>
  <c r="J1189" i="12" a="1"/>
  <c r="K1189" i="12" a="1"/>
  <c r="H1190" i="12"/>
  <c r="I1190" i="12" a="1"/>
  <c r="J1190" i="12" a="1"/>
  <c r="K1190" i="12" a="1"/>
  <c r="H1191" i="12"/>
  <c r="I1191" i="12" a="1"/>
  <c r="J1191" i="12" a="1"/>
  <c r="K1191" i="12" a="1"/>
  <c r="H1192" i="12"/>
  <c r="I1192" i="12" a="1"/>
  <c r="J1192" i="12" a="1"/>
  <c r="K1192" i="12" a="1"/>
  <c r="H1193" i="12"/>
  <c r="I1193" i="12" a="1"/>
  <c r="J1193" i="12" a="1"/>
  <c r="K1193" i="12" a="1"/>
  <c r="H1194" i="12"/>
  <c r="I1194" i="12" a="1"/>
  <c r="J1194" i="12" a="1"/>
  <c r="K1194" i="12" a="1"/>
  <c r="H1195" i="12"/>
  <c r="I1195" i="12" a="1"/>
  <c r="J1195" i="12" a="1"/>
  <c r="K1195" i="12" a="1"/>
  <c r="H1196" i="12"/>
  <c r="I1196" i="12" a="1"/>
  <c r="J1196" i="12" a="1"/>
  <c r="K1196" i="12" a="1"/>
  <c r="H1197" i="12"/>
  <c r="I1197" i="12" a="1"/>
  <c r="J1197" i="12" a="1"/>
  <c r="K1197" i="12" a="1"/>
  <c r="H1198" i="12"/>
  <c r="I1198" i="12" a="1"/>
  <c r="J1198" i="12" a="1"/>
  <c r="K1198" i="12" a="1"/>
  <c r="H1199" i="12"/>
  <c r="I1199" i="12" a="1"/>
  <c r="J1199" i="12" a="1"/>
  <c r="K1199" i="12" a="1"/>
  <c r="H1200" i="12"/>
  <c r="I1200" i="12" a="1"/>
  <c r="J1200" i="12" a="1"/>
  <c r="K1200" i="12" a="1"/>
  <c r="H1201" i="12"/>
  <c r="I1201" i="12" a="1"/>
  <c r="J1201" i="12" a="1"/>
  <c r="K1201" i="12" a="1"/>
  <c r="H1202" i="12"/>
  <c r="I1202" i="12" a="1"/>
  <c r="J1202" i="12" a="1"/>
  <c r="K1202" i="12" a="1"/>
  <c r="H1203" i="12"/>
  <c r="I1203" i="12" a="1"/>
  <c r="J1203" i="12" a="1"/>
  <c r="K1203" i="12" a="1"/>
  <c r="H1204" i="12"/>
  <c r="I1204" i="12" a="1"/>
  <c r="J1204" i="12" a="1"/>
  <c r="K1204" i="12" a="1"/>
  <c r="H1205" i="12"/>
  <c r="I1205" i="12" a="1"/>
  <c r="J1205" i="12" a="1"/>
  <c r="K1205" i="12" a="1"/>
  <c r="H1206" i="12"/>
  <c r="I1206" i="12" a="1"/>
  <c r="J1206" i="12" a="1"/>
  <c r="K1206" i="12" a="1"/>
  <c r="H1207" i="12"/>
  <c r="I1207" i="12" a="1"/>
  <c r="J1207" i="12" a="1"/>
  <c r="K1207" i="12" a="1"/>
  <c r="D68" i="9"/>
  <c r="W68" i="9"/>
  <c r="D69" i="9"/>
  <c r="W69" i="9" s="1"/>
  <c r="D68" i="8"/>
  <c r="D69" i="8"/>
  <c r="W68" i="8"/>
  <c r="W69" i="8"/>
  <c r="D68" i="7"/>
  <c r="D69" i="7"/>
  <c r="Z68" i="7" a="1"/>
  <c r="Z69" i="7" a="1"/>
  <c r="AA68" i="7" a="1"/>
  <c r="AA69" i="7" a="1"/>
  <c r="AB68" i="7" a="1"/>
  <c r="AB69" i="7" a="1"/>
  <c r="D69" i="5"/>
  <c r="Z69" i="5" a="1"/>
  <c r="AA69" i="5" a="1"/>
  <c r="AB69" i="5" a="1"/>
  <c r="D68" i="5"/>
  <c r="Z68" i="5" a="1"/>
  <c r="AA68" i="5" a="1"/>
  <c r="AB68" i="5" a="1"/>
  <c r="F23" i="4" a="1"/>
  <c r="G23" i="4" a="1"/>
  <c r="F26" i="4" a="1"/>
  <c r="H26" i="4" s="1"/>
  <c r="G26" i="4" a="1"/>
  <c r="F71" i="2"/>
  <c r="Q71" i="2"/>
  <c r="F70" i="2"/>
  <c r="Q70" i="2"/>
  <c r="F24" i="6"/>
  <c r="D67" i="9"/>
  <c r="W67" i="9"/>
  <c r="D66" i="9"/>
  <c r="W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AA67" i="7" a="1"/>
  <c r="AB67" i="7" a="1"/>
  <c r="D66" i="7"/>
  <c r="Z66" i="7" a="1"/>
  <c r="AA66" i="7" a="1"/>
  <c r="AB66" i="7" a="1"/>
  <c r="D67" i="5"/>
  <c r="Z67" i="5" a="1"/>
  <c r="AA67" i="5" a="1"/>
  <c r="AB67" i="5" a="1"/>
  <c r="D66" i="5"/>
  <c r="Z66" i="5" a="1"/>
  <c r="AA66" i="5" a="1"/>
  <c r="AB66" i="5" a="1"/>
  <c r="I1136" i="12" a="1"/>
  <c r="J1136" i="12" a="1"/>
  <c r="K1136" i="12" a="1"/>
  <c r="I1137" i="12" a="1"/>
  <c r="J1137" i="12" a="1"/>
  <c r="K1137" i="12" a="1"/>
  <c r="I1138" i="12" a="1"/>
  <c r="J1138" i="12" a="1"/>
  <c r="K1138" i="12" a="1"/>
  <c r="I1139" i="12" a="1"/>
  <c r="J1139" i="12" a="1"/>
  <c r="K1139" i="12" a="1"/>
  <c r="I1140" i="12" a="1"/>
  <c r="J1140" i="12" a="1"/>
  <c r="K1140" i="12" a="1"/>
  <c r="I1141" i="12" a="1"/>
  <c r="J1141" i="12" a="1"/>
  <c r="K1141" i="12" a="1"/>
  <c r="I1142" i="12" a="1"/>
  <c r="J1142" i="12" a="1"/>
  <c r="K1142" i="12" a="1"/>
  <c r="I1143" i="12" a="1"/>
  <c r="J1143" i="12" a="1"/>
  <c r="K1143" i="12" a="1"/>
  <c r="I1144" i="12" a="1"/>
  <c r="J1144" i="12" a="1"/>
  <c r="K1144" i="12" a="1"/>
  <c r="I1145" i="12" a="1"/>
  <c r="J1145" i="12" a="1"/>
  <c r="K1145" i="12" a="1"/>
  <c r="I1146" i="12" a="1"/>
  <c r="J1146" i="12" a="1"/>
  <c r="K1146" i="12" a="1"/>
  <c r="I1147" i="12" a="1"/>
  <c r="J1147" i="12" a="1"/>
  <c r="K1147" i="12" a="1"/>
  <c r="I1148" i="12" a="1"/>
  <c r="J1148" i="12" a="1"/>
  <c r="K1148" i="12" a="1"/>
  <c r="I1149" i="12" a="1"/>
  <c r="J1149" i="12" a="1"/>
  <c r="K1149" i="12" a="1"/>
  <c r="I1150" i="12" a="1"/>
  <c r="J1150" i="12" a="1"/>
  <c r="K1150" i="12" a="1"/>
  <c r="I1151" i="12" a="1"/>
  <c r="J1151" i="12" a="1"/>
  <c r="K1151" i="12" a="1"/>
  <c r="I1152" i="12" a="1"/>
  <c r="J1152" i="12" a="1"/>
  <c r="K1152" i="12" a="1"/>
  <c r="I1153" i="12" a="1"/>
  <c r="J1153" i="12" a="1"/>
  <c r="K1153" i="12" a="1"/>
  <c r="I1154" i="12" a="1"/>
  <c r="J1154" i="12" a="1"/>
  <c r="K1154" i="12" a="1"/>
  <c r="I1155" i="12" a="1"/>
  <c r="J1155" i="12" a="1"/>
  <c r="K1155" i="12" a="1"/>
  <c r="I1156" i="12" a="1"/>
  <c r="J1156" i="12" a="1"/>
  <c r="K1156" i="12" a="1"/>
  <c r="I1157" i="12" a="1"/>
  <c r="J1157" i="12" a="1"/>
  <c r="K1157" i="12" a="1"/>
  <c r="I1158" i="12" a="1"/>
  <c r="J1158" i="12" a="1"/>
  <c r="K1158" i="12" a="1"/>
  <c r="I1159" i="12" a="1"/>
  <c r="J1159" i="12" a="1"/>
  <c r="K1159" i="12" a="1"/>
  <c r="I1160" i="12" a="1"/>
  <c r="J1160" i="12" a="1"/>
  <c r="K1160" i="12" a="1"/>
  <c r="I1161" i="12" a="1"/>
  <c r="J1161" i="12" a="1"/>
  <c r="K1161" i="12" a="1"/>
  <c r="I1162" i="12" a="1"/>
  <c r="J1162" i="12" a="1"/>
  <c r="K1162" i="12" a="1"/>
  <c r="I1163" i="12" a="1"/>
  <c r="J1163" i="12" a="1"/>
  <c r="K1163" i="12" a="1"/>
  <c r="I1164" i="12" a="1"/>
  <c r="J1164" i="12" a="1"/>
  <c r="K1164" i="12" a="1"/>
  <c r="I1165" i="12" a="1"/>
  <c r="J1165" i="12" a="1"/>
  <c r="K1165" i="12" a="1"/>
  <c r="I1166" i="12" a="1"/>
  <c r="J1166" i="12" a="1"/>
  <c r="K1166" i="12" a="1"/>
  <c r="I1167" i="12" a="1"/>
  <c r="J1167" i="12" a="1"/>
  <c r="K1167" i="12" a="1"/>
  <c r="I1168" i="12" a="1"/>
  <c r="J1168" i="12" a="1"/>
  <c r="K1168" i="12" a="1"/>
  <c r="I1169" i="12" a="1"/>
  <c r="J1169" i="12" a="1"/>
  <c r="K1169" i="12" a="1"/>
  <c r="I1170" i="12" a="1"/>
  <c r="J1170" i="12" a="1"/>
  <c r="K1170" i="12" a="1"/>
  <c r="I1171" i="12" a="1"/>
  <c r="J1171" i="12" a="1"/>
  <c r="K1171" i="12" a="1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G57" i="4" a="1"/>
  <c r="F56" i="4" a="1"/>
  <c r="G56" i="4" a="1"/>
  <c r="F3" i="2"/>
  <c r="Q3" i="2"/>
  <c r="F2" i="2"/>
  <c r="Q2" i="2"/>
  <c r="W12" i="9"/>
  <c r="W50" i="9"/>
  <c r="D12" i="9"/>
  <c r="D48" i="9"/>
  <c r="W48" i="9"/>
  <c r="D65" i="9"/>
  <c r="W65" i="9"/>
  <c r="D65" i="8"/>
  <c r="D65" i="7"/>
  <c r="Z65" i="7" a="1"/>
  <c r="AA65" i="7" a="1"/>
  <c r="AB65" i="7" a="1"/>
  <c r="D65" i="5"/>
  <c r="Z65" i="5" a="1"/>
  <c r="AA65" i="5" a="1"/>
  <c r="AB65" i="5" a="1"/>
  <c r="F18" i="4" a="1"/>
  <c r="G18" i="4" a="1"/>
  <c r="F57" i="2"/>
  <c r="Q57" i="2"/>
  <c r="D64" i="9"/>
  <c r="W64" i="9"/>
  <c r="D64" i="8"/>
  <c r="D64" i="7"/>
  <c r="Z64" i="7" a="1"/>
  <c r="AA64" i="7" a="1"/>
  <c r="AB64" i="7" a="1"/>
  <c r="D64" i="5"/>
  <c r="Z64" i="5" a="1"/>
  <c r="AA64" i="5" a="1"/>
  <c r="AB64" i="5" a="1"/>
  <c r="F38" i="4" a="1"/>
  <c r="H38" i="4" s="1"/>
  <c r="G38" i="4" a="1"/>
  <c r="F42" i="2"/>
  <c r="Q42" i="2"/>
  <c r="D63" i="9"/>
  <c r="W63" i="9" s="1"/>
  <c r="D63" i="8"/>
  <c r="D63" i="7"/>
  <c r="Z63" i="7" a="1"/>
  <c r="AA63" i="7" a="1"/>
  <c r="AB63" i="7" a="1"/>
  <c r="D63" i="5"/>
  <c r="Z63" i="5" a="1"/>
  <c r="AA63" i="5" a="1"/>
  <c r="AB63" i="5" a="1"/>
  <c r="F47" i="4" a="1"/>
  <c r="H47" i="4" s="1"/>
  <c r="G47" i="4" a="1"/>
  <c r="F33" i="2"/>
  <c r="Q33" i="2"/>
  <c r="H1082" i="12"/>
  <c r="I1082" i="12" a="1"/>
  <c r="J1082" i="12" a="1"/>
  <c r="K1082" i="12" a="1"/>
  <c r="H1083" i="12"/>
  <c r="I1083" i="12" a="1"/>
  <c r="J1083" i="12" a="1"/>
  <c r="K1083" i="12" a="1"/>
  <c r="H1084" i="12"/>
  <c r="I1084" i="12" a="1"/>
  <c r="J1084" i="12" a="1"/>
  <c r="K1084" i="12" a="1"/>
  <c r="H1085" i="12"/>
  <c r="I1085" i="12" a="1"/>
  <c r="J1085" i="12" a="1"/>
  <c r="K1085" i="12" a="1"/>
  <c r="H1086" i="12"/>
  <c r="I1086" i="12" a="1"/>
  <c r="J1086" i="12" a="1"/>
  <c r="K1086" i="12" a="1"/>
  <c r="H1087" i="12"/>
  <c r="I1087" i="12" a="1"/>
  <c r="J1087" i="12" a="1"/>
  <c r="K1087" i="12" a="1"/>
  <c r="H1088" i="12"/>
  <c r="I1088" i="12" a="1"/>
  <c r="J1088" i="12" a="1"/>
  <c r="K1088" i="12" a="1"/>
  <c r="H1089" i="12"/>
  <c r="I1089" i="12" a="1"/>
  <c r="J1089" i="12" a="1"/>
  <c r="K1089" i="12" a="1"/>
  <c r="H1090" i="12"/>
  <c r="I1090" i="12" a="1"/>
  <c r="J1090" i="12" a="1"/>
  <c r="K1090" i="12" a="1"/>
  <c r="H1091" i="12"/>
  <c r="I1091" i="12" a="1"/>
  <c r="J1091" i="12" a="1"/>
  <c r="K1091" i="12" a="1"/>
  <c r="H1092" i="12"/>
  <c r="I1092" i="12" a="1"/>
  <c r="J1092" i="12" a="1"/>
  <c r="K1092" i="12" a="1"/>
  <c r="H1093" i="12"/>
  <c r="I1093" i="12" a="1"/>
  <c r="J1093" i="12" a="1"/>
  <c r="K1093" i="12" a="1"/>
  <c r="H1094" i="12"/>
  <c r="I1094" i="12" a="1"/>
  <c r="J1094" i="12" a="1"/>
  <c r="K1094" i="12" a="1"/>
  <c r="H1095" i="12"/>
  <c r="I1095" i="12" a="1"/>
  <c r="J1095" i="12" a="1"/>
  <c r="K1095" i="12" a="1"/>
  <c r="H1096" i="12"/>
  <c r="I1096" i="12" a="1"/>
  <c r="J1096" i="12" a="1"/>
  <c r="K1096" i="12" a="1"/>
  <c r="H1097" i="12"/>
  <c r="I1097" i="12" a="1"/>
  <c r="J1097" i="12" a="1"/>
  <c r="K1097" i="12" a="1"/>
  <c r="H1098" i="12"/>
  <c r="I1098" i="12" a="1"/>
  <c r="J1098" i="12" a="1"/>
  <c r="K1098" i="12" a="1"/>
  <c r="H1099" i="12"/>
  <c r="I1099" i="12" a="1"/>
  <c r="J1099" i="12" a="1"/>
  <c r="K1099" i="12" a="1"/>
  <c r="H1100" i="12"/>
  <c r="I1100" i="12" a="1"/>
  <c r="J1100" i="12" a="1"/>
  <c r="K1100" i="12" a="1"/>
  <c r="H1101" i="12"/>
  <c r="I1101" i="12" a="1"/>
  <c r="J1101" i="12" a="1"/>
  <c r="K1101" i="12" a="1"/>
  <c r="H1102" i="12"/>
  <c r="I1102" i="12" a="1"/>
  <c r="J1102" i="12" a="1"/>
  <c r="K1102" i="12" a="1"/>
  <c r="H1103" i="12"/>
  <c r="I1103" i="12" a="1"/>
  <c r="J1103" i="12" a="1"/>
  <c r="K1103" i="12" a="1"/>
  <c r="H1104" i="12"/>
  <c r="I1104" i="12" a="1"/>
  <c r="J1104" i="12" a="1"/>
  <c r="K1104" i="12" a="1"/>
  <c r="H1105" i="12"/>
  <c r="I1105" i="12" a="1"/>
  <c r="J1105" i="12" a="1"/>
  <c r="K1105" i="12" a="1"/>
  <c r="H1106" i="12"/>
  <c r="I1106" i="12" a="1"/>
  <c r="J1106" i="12" a="1"/>
  <c r="K1106" i="12" a="1"/>
  <c r="H1107" i="12"/>
  <c r="I1107" i="12" a="1"/>
  <c r="J1107" i="12" a="1"/>
  <c r="K1107" i="12" a="1"/>
  <c r="H1108" i="12"/>
  <c r="I1108" i="12" a="1"/>
  <c r="J1108" i="12" a="1"/>
  <c r="K1108" i="12" a="1"/>
  <c r="H1109" i="12"/>
  <c r="I1109" i="12" a="1"/>
  <c r="J1109" i="12" a="1"/>
  <c r="K1109" i="12" a="1"/>
  <c r="H1110" i="12"/>
  <c r="I1110" i="12" a="1"/>
  <c r="J1110" i="12" a="1"/>
  <c r="K1110" i="12" a="1"/>
  <c r="H1111" i="12"/>
  <c r="I1111" i="12" a="1"/>
  <c r="J1111" i="12" a="1"/>
  <c r="K1111" i="12" a="1"/>
  <c r="H1112" i="12"/>
  <c r="I1112" i="12" a="1"/>
  <c r="J1112" i="12" a="1"/>
  <c r="K1112" i="12" a="1"/>
  <c r="H1113" i="12"/>
  <c r="I1113" i="12" a="1"/>
  <c r="J1113" i="12" a="1"/>
  <c r="K1113" i="12" a="1"/>
  <c r="H1114" i="12"/>
  <c r="I1114" i="12" a="1"/>
  <c r="J1114" i="12" a="1"/>
  <c r="K1114" i="12" a="1"/>
  <c r="H1115" i="12"/>
  <c r="I1115" i="12" a="1"/>
  <c r="J1115" i="12" a="1"/>
  <c r="K1115" i="12" a="1"/>
  <c r="H1116" i="12"/>
  <c r="I1116" i="12" a="1"/>
  <c r="J1116" i="12" a="1"/>
  <c r="K1116" i="12" a="1"/>
  <c r="H1117" i="12"/>
  <c r="I1117" i="12" a="1"/>
  <c r="J1117" i="12" a="1"/>
  <c r="K1117" i="12" a="1"/>
  <c r="H1118" i="12"/>
  <c r="I1118" i="12" a="1"/>
  <c r="J1118" i="12" a="1"/>
  <c r="K1118" i="12" a="1"/>
  <c r="H1119" i="12"/>
  <c r="I1119" i="12" a="1"/>
  <c r="J1119" i="12" a="1"/>
  <c r="K1119" i="12" a="1"/>
  <c r="H1120" i="12"/>
  <c r="I1120" i="12" a="1"/>
  <c r="J1120" i="12" a="1"/>
  <c r="K1120" i="12" a="1"/>
  <c r="H1121" i="12"/>
  <c r="I1121" i="12" a="1"/>
  <c r="J1121" i="12" a="1"/>
  <c r="K1121" i="12" a="1"/>
  <c r="H1122" i="12"/>
  <c r="I1122" i="12" a="1"/>
  <c r="J1122" i="12" a="1"/>
  <c r="K1122" i="12" a="1"/>
  <c r="H1123" i="12"/>
  <c r="I1123" i="12" a="1"/>
  <c r="J1123" i="12" a="1"/>
  <c r="K1123" i="12" a="1"/>
  <c r="H1124" i="12"/>
  <c r="I1124" i="12" a="1"/>
  <c r="J1124" i="12" a="1"/>
  <c r="K1124" i="12" a="1"/>
  <c r="H1125" i="12"/>
  <c r="I1125" i="12" a="1"/>
  <c r="J1125" i="12" a="1"/>
  <c r="K1125" i="12" a="1"/>
  <c r="H1126" i="12"/>
  <c r="I1126" i="12" a="1"/>
  <c r="J1126" i="12" a="1"/>
  <c r="K1126" i="12" a="1"/>
  <c r="H1127" i="12"/>
  <c r="I1127" i="12" a="1"/>
  <c r="J1127" i="12" a="1"/>
  <c r="K1127" i="12" a="1"/>
  <c r="H1128" i="12"/>
  <c r="I1128" i="12" a="1"/>
  <c r="J1128" i="12" a="1"/>
  <c r="K1128" i="12" a="1"/>
  <c r="H1129" i="12"/>
  <c r="I1129" i="12" a="1"/>
  <c r="J1129" i="12" a="1"/>
  <c r="K1129" i="12" a="1"/>
  <c r="H1130" i="12"/>
  <c r="I1130" i="12" a="1"/>
  <c r="J1130" i="12" a="1"/>
  <c r="K1130" i="12" a="1"/>
  <c r="H1131" i="12"/>
  <c r="I1131" i="12" a="1"/>
  <c r="J1131" i="12" a="1"/>
  <c r="K1131" i="12" a="1"/>
  <c r="H1132" i="12"/>
  <c r="I1132" i="12" a="1"/>
  <c r="J1132" i="12" a="1"/>
  <c r="K1132" i="12" a="1"/>
  <c r="H1133" i="12"/>
  <c r="I1133" i="12" a="1"/>
  <c r="J1133" i="12" a="1"/>
  <c r="K1133" i="12" a="1"/>
  <c r="H1134" i="12"/>
  <c r="I1134" i="12" a="1"/>
  <c r="J1134" i="12" a="1"/>
  <c r="K1134" i="12" a="1"/>
  <c r="H1135" i="12"/>
  <c r="I1135" i="12" a="1"/>
  <c r="J1135" i="12" a="1"/>
  <c r="K1135" i="12" a="1"/>
  <c r="D62" i="9"/>
  <c r="W62" i="9"/>
  <c r="D62" i="8"/>
  <c r="D62" i="7"/>
  <c r="Z62" i="7" a="1"/>
  <c r="AA62" i="7" a="1"/>
  <c r="AB62" i="7" a="1"/>
  <c r="D62" i="5"/>
  <c r="Z62" i="5" a="1"/>
  <c r="AA62" i="5" a="1"/>
  <c r="AB62" i="5" a="1"/>
  <c r="F34" i="4" a="1"/>
  <c r="G34" i="4" a="1"/>
  <c r="F31" i="2"/>
  <c r="Q31" i="2"/>
  <c r="D61" i="9"/>
  <c r="W61" i="9" s="1"/>
  <c r="D61" i="8"/>
  <c r="D61" i="7"/>
  <c r="Z61" i="7" a="1"/>
  <c r="AA61" i="7" a="1"/>
  <c r="AB61" i="7" a="1"/>
  <c r="D61" i="5"/>
  <c r="Z61" i="5" a="1"/>
  <c r="AA61" i="5" a="1"/>
  <c r="AB61" i="5" a="1"/>
  <c r="F58" i="4" a="1"/>
  <c r="H58" i="4" s="1"/>
  <c r="G58" i="4" a="1"/>
  <c r="F28" i="2"/>
  <c r="Q28" i="2"/>
  <c r="D60" i="9"/>
  <c r="W60" i="9" s="1"/>
  <c r="D60" i="8"/>
  <c r="D60" i="7"/>
  <c r="Z60" i="7" a="1"/>
  <c r="AA60" i="7" a="1"/>
  <c r="AB60" i="7" a="1"/>
  <c r="D60" i="5"/>
  <c r="Z60" i="5" a="1"/>
  <c r="AA60" i="5" a="1"/>
  <c r="AB60" i="5" a="1"/>
  <c r="F45" i="4" a="1"/>
  <c r="G45" i="4" a="1"/>
  <c r="Q24" i="2"/>
  <c r="F24" i="2"/>
  <c r="D59" i="9"/>
  <c r="W59" i="9" s="1"/>
  <c r="D59" i="8"/>
  <c r="D59" i="7"/>
  <c r="Z59" i="7" a="1"/>
  <c r="AA59" i="7" a="1"/>
  <c r="AB59" i="7" a="1"/>
  <c r="D59" i="5"/>
  <c r="Z59" i="5" a="1"/>
  <c r="AA59" i="5" a="1"/>
  <c r="AB59" i="5" a="1"/>
  <c r="F61" i="4" a="1"/>
  <c r="H61" i="4" s="1"/>
  <c r="G61" i="4" a="1"/>
  <c r="F26" i="2"/>
  <c r="Q26" i="2"/>
  <c r="D58" i="9"/>
  <c r="W58" i="9"/>
  <c r="D58" i="8"/>
  <c r="D58" i="7"/>
  <c r="Z58" i="7" a="1"/>
  <c r="AA58" i="7" a="1"/>
  <c r="AB58" i="7" a="1"/>
  <c r="D58" i="5"/>
  <c r="Z58" i="5" a="1"/>
  <c r="AA58" i="5" a="1"/>
  <c r="AB58" i="5" a="1"/>
  <c r="F28" i="4" a="1"/>
  <c r="G28" i="4" a="1"/>
  <c r="F17" i="2"/>
  <c r="Q17" i="2"/>
  <c r="D57" i="9"/>
  <c r="W57" i="9"/>
  <c r="D57" i="8"/>
  <c r="D57" i="7"/>
  <c r="Z57" i="7" a="1"/>
  <c r="AA57" i="7" a="1"/>
  <c r="AB57" i="7" a="1"/>
  <c r="D57" i="5"/>
  <c r="Z57" i="5" a="1"/>
  <c r="AA57" i="5" a="1"/>
  <c r="AB57" i="5" a="1"/>
  <c r="F25" i="4" a="1"/>
  <c r="G25" i="4" a="1"/>
  <c r="F14" i="2"/>
  <c r="Q14" i="2"/>
  <c r="D56" i="9"/>
  <c r="W56" i="9"/>
  <c r="D56" i="8"/>
  <c r="D56" i="7"/>
  <c r="Z56" i="7" a="1"/>
  <c r="AA56" i="7" a="1"/>
  <c r="AB56" i="7" a="1"/>
  <c r="Z56" i="5" a="1"/>
  <c r="F29" i="4" a="1"/>
  <c r="G29" i="4" a="1"/>
  <c r="Q20" i="2"/>
  <c r="F20" i="2"/>
  <c r="D55" i="9"/>
  <c r="W55" i="9"/>
  <c r="D55" i="8"/>
  <c r="D55" i="7"/>
  <c r="Z55" i="7" a="1"/>
  <c r="AA55" i="7" a="1"/>
  <c r="AB55" i="7" a="1"/>
  <c r="D56" i="5"/>
  <c r="AA56" i="5" a="1"/>
  <c r="AB56" i="5" a="1"/>
  <c r="D55" i="5"/>
  <c r="Z55" i="5" a="1"/>
  <c r="AA55" i="5" a="1"/>
  <c r="AB55" i="5" a="1"/>
  <c r="F48" i="4" a="1"/>
  <c r="H48" i="4" s="1"/>
  <c r="G48" i="4" a="1"/>
  <c r="Q5" i="2"/>
  <c r="F5" i="2"/>
  <c r="D54" i="9"/>
  <c r="W54" i="9"/>
  <c r="D54" i="8"/>
  <c r="D54" i="7"/>
  <c r="Z54" i="7" a="1"/>
  <c r="AA54" i="7" a="1"/>
  <c r="AB54" i="7" a="1"/>
  <c r="D54" i="5"/>
  <c r="Z54" i="5" a="1"/>
  <c r="AA54" i="5" a="1"/>
  <c r="AB54" i="5" a="1"/>
  <c r="F41" i="4" a="1"/>
  <c r="G41" i="4" a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AA53" i="7" a="1"/>
  <c r="AB53" i="7" a="1"/>
  <c r="D53" i="5"/>
  <c r="Z53" i="5" a="1"/>
  <c r="AA53" i="5" a="1"/>
  <c r="AB53" i="5" a="1"/>
  <c r="F49" i="4" a="1"/>
  <c r="G49" i="4" a="1"/>
  <c r="H49" i="4" s="1"/>
  <c r="F9" i="2"/>
  <c r="D52" i="9"/>
  <c r="W52" i="9"/>
  <c r="D52" i="8"/>
  <c r="D52" i="7"/>
  <c r="Z52" i="7" a="1"/>
  <c r="AA52" i="7" a="1"/>
  <c r="AB52" i="7" a="1"/>
  <c r="D52" i="5"/>
  <c r="Z52" i="5" a="1"/>
  <c r="AA52" i="5" a="1"/>
  <c r="AB52" i="5" a="1"/>
  <c r="H848" i="12"/>
  <c r="I848" i="12" a="1"/>
  <c r="J848" i="12" a="1"/>
  <c r="K848" i="12" a="1"/>
  <c r="H849" i="12"/>
  <c r="I849" i="12" a="1"/>
  <c r="J849" i="12" a="1"/>
  <c r="K849" i="12" a="1"/>
  <c r="H850" i="12"/>
  <c r="I850" i="12" a="1"/>
  <c r="J850" i="12" a="1"/>
  <c r="K850" i="12" a="1"/>
  <c r="H851" i="12"/>
  <c r="I851" i="12" a="1"/>
  <c r="J851" i="12" a="1"/>
  <c r="K851" i="12" a="1"/>
  <c r="H852" i="12"/>
  <c r="I852" i="12" a="1"/>
  <c r="J852" i="12" a="1"/>
  <c r="K852" i="12" a="1"/>
  <c r="H853" i="12"/>
  <c r="I853" i="12" a="1"/>
  <c r="J853" i="12" a="1"/>
  <c r="K853" i="12" a="1"/>
  <c r="H854" i="12"/>
  <c r="I854" i="12" a="1"/>
  <c r="J854" i="12" a="1"/>
  <c r="K854" i="12" a="1"/>
  <c r="H855" i="12"/>
  <c r="I855" i="12" a="1"/>
  <c r="J855" i="12" a="1"/>
  <c r="K855" i="12" a="1"/>
  <c r="H856" i="12"/>
  <c r="I856" i="12" a="1"/>
  <c r="J856" i="12" a="1"/>
  <c r="K856" i="12" a="1"/>
  <c r="H857" i="12"/>
  <c r="I857" i="12" a="1"/>
  <c r="J857" i="12" a="1"/>
  <c r="K857" i="12" a="1"/>
  <c r="H858" i="12"/>
  <c r="I858" i="12" a="1"/>
  <c r="J858" i="12" a="1"/>
  <c r="K858" i="12" a="1"/>
  <c r="H859" i="12"/>
  <c r="I859" i="12" a="1"/>
  <c r="J859" i="12" a="1"/>
  <c r="K859" i="12" a="1"/>
  <c r="H860" i="12"/>
  <c r="I860" i="12" a="1"/>
  <c r="J860" i="12" a="1"/>
  <c r="K860" i="12" a="1"/>
  <c r="H861" i="12"/>
  <c r="I861" i="12" a="1"/>
  <c r="J861" i="12" a="1"/>
  <c r="K861" i="12" a="1"/>
  <c r="H862" i="12"/>
  <c r="I862" i="12" a="1"/>
  <c r="J862" i="12" a="1"/>
  <c r="K862" i="12" a="1"/>
  <c r="H863" i="12"/>
  <c r="I863" i="12" a="1"/>
  <c r="J863" i="12" a="1"/>
  <c r="K863" i="12" a="1"/>
  <c r="H864" i="12"/>
  <c r="I864" i="12" a="1"/>
  <c r="J864" i="12" a="1"/>
  <c r="K864" i="12" a="1"/>
  <c r="H865" i="12"/>
  <c r="I865" i="12" a="1"/>
  <c r="J865" i="12" a="1"/>
  <c r="K865" i="12" a="1"/>
  <c r="H866" i="12"/>
  <c r="I866" i="12" a="1"/>
  <c r="J866" i="12" a="1"/>
  <c r="K866" i="12" a="1"/>
  <c r="H867" i="12"/>
  <c r="I867" i="12" a="1"/>
  <c r="J867" i="12" a="1"/>
  <c r="K867" i="12" a="1"/>
  <c r="H868" i="12"/>
  <c r="I868" i="12" a="1"/>
  <c r="J868" i="12" a="1"/>
  <c r="K868" i="12" a="1"/>
  <c r="H869" i="12"/>
  <c r="I869" i="12" a="1"/>
  <c r="J869" i="12" a="1"/>
  <c r="K869" i="12" a="1"/>
  <c r="H870" i="12"/>
  <c r="I870" i="12" a="1"/>
  <c r="J870" i="12" a="1"/>
  <c r="K870" i="12" a="1"/>
  <c r="H871" i="12"/>
  <c r="I871" i="12" a="1"/>
  <c r="J871" i="12" a="1"/>
  <c r="K871" i="12" a="1"/>
  <c r="H872" i="12"/>
  <c r="I872" i="12" a="1"/>
  <c r="J872" i="12" a="1"/>
  <c r="K872" i="12" a="1"/>
  <c r="H873" i="12"/>
  <c r="I873" i="12" a="1"/>
  <c r="J873" i="12" a="1"/>
  <c r="K873" i="12" a="1"/>
  <c r="H874" i="12"/>
  <c r="I874" i="12" a="1"/>
  <c r="J874" i="12" a="1"/>
  <c r="K874" i="12" a="1"/>
  <c r="H875" i="12"/>
  <c r="I875" i="12" a="1"/>
  <c r="J875" i="12" a="1"/>
  <c r="K875" i="12" a="1"/>
  <c r="H876" i="12"/>
  <c r="I876" i="12" a="1"/>
  <c r="J876" i="12" a="1"/>
  <c r="K876" i="12" a="1"/>
  <c r="H877" i="12"/>
  <c r="I877" i="12" a="1"/>
  <c r="J877" i="12" a="1"/>
  <c r="K877" i="12" a="1"/>
  <c r="H878" i="12"/>
  <c r="I878" i="12" a="1"/>
  <c r="J878" i="12" a="1"/>
  <c r="K878" i="12" a="1"/>
  <c r="H879" i="12"/>
  <c r="I879" i="12" a="1"/>
  <c r="J879" i="12" a="1"/>
  <c r="K879" i="12" a="1"/>
  <c r="H880" i="12"/>
  <c r="I880" i="12" a="1"/>
  <c r="J880" i="12" a="1"/>
  <c r="K880" i="12" a="1"/>
  <c r="H881" i="12"/>
  <c r="I881" i="12" a="1"/>
  <c r="J881" i="12" a="1"/>
  <c r="K881" i="12" a="1"/>
  <c r="H882" i="12"/>
  <c r="I882" i="12" a="1"/>
  <c r="J882" i="12" a="1"/>
  <c r="K882" i="12" a="1"/>
  <c r="H883" i="12"/>
  <c r="I883" i="12" a="1"/>
  <c r="J883" i="12" a="1"/>
  <c r="K883" i="12" a="1"/>
  <c r="H884" i="12"/>
  <c r="I884" i="12" a="1"/>
  <c r="J884" i="12" a="1"/>
  <c r="K884" i="12" a="1"/>
  <c r="H885" i="12"/>
  <c r="I885" i="12" a="1"/>
  <c r="J885" i="12" a="1"/>
  <c r="K885" i="12" a="1"/>
  <c r="H886" i="12"/>
  <c r="I886" i="12" a="1"/>
  <c r="J886" i="12" a="1"/>
  <c r="K886" i="12" a="1"/>
  <c r="H887" i="12"/>
  <c r="I887" i="12" a="1"/>
  <c r="J887" i="12" a="1"/>
  <c r="K887" i="12" a="1"/>
  <c r="H888" i="12"/>
  <c r="I888" i="12" a="1"/>
  <c r="J888" i="12" a="1"/>
  <c r="K888" i="12" a="1"/>
  <c r="H889" i="12"/>
  <c r="I889" i="12" a="1"/>
  <c r="J889" i="12" a="1"/>
  <c r="K889" i="12" a="1"/>
  <c r="H890" i="12"/>
  <c r="I890" i="12" a="1"/>
  <c r="J890" i="12" a="1"/>
  <c r="K890" i="12" a="1"/>
  <c r="H891" i="12"/>
  <c r="I891" i="12" a="1"/>
  <c r="J891" i="12" a="1"/>
  <c r="K891" i="12" a="1"/>
  <c r="H892" i="12"/>
  <c r="I892" i="12" a="1"/>
  <c r="J892" i="12" a="1"/>
  <c r="K892" i="12" a="1"/>
  <c r="H893" i="12"/>
  <c r="I893" i="12" a="1"/>
  <c r="J893" i="12" a="1"/>
  <c r="K893" i="12" a="1"/>
  <c r="H894" i="12"/>
  <c r="I894" i="12" a="1"/>
  <c r="J894" i="12" a="1"/>
  <c r="K894" i="12" a="1"/>
  <c r="H895" i="12"/>
  <c r="I895" i="12" a="1"/>
  <c r="J895" i="12" a="1"/>
  <c r="K895" i="12" a="1"/>
  <c r="H896" i="12"/>
  <c r="I896" i="12" a="1"/>
  <c r="J896" i="12" a="1"/>
  <c r="K896" i="12" a="1"/>
  <c r="H897" i="12"/>
  <c r="I897" i="12" a="1"/>
  <c r="J897" i="12" a="1"/>
  <c r="K897" i="12" a="1"/>
  <c r="H898" i="12"/>
  <c r="I898" i="12" a="1"/>
  <c r="J898" i="12" a="1"/>
  <c r="K898" i="12" a="1"/>
  <c r="H899" i="12"/>
  <c r="I899" i="12" a="1"/>
  <c r="J899" i="12" a="1"/>
  <c r="K899" i="12" a="1"/>
  <c r="H900" i="12"/>
  <c r="I900" i="12" a="1"/>
  <c r="J900" i="12" a="1"/>
  <c r="K900" i="12" a="1"/>
  <c r="H901" i="12"/>
  <c r="I901" i="12" a="1"/>
  <c r="J901" i="12" a="1"/>
  <c r="K901" i="12" a="1"/>
  <c r="H902" i="12"/>
  <c r="I902" i="12" a="1"/>
  <c r="J902" i="12" a="1"/>
  <c r="K902" i="12" a="1"/>
  <c r="H903" i="12"/>
  <c r="I903" i="12" a="1"/>
  <c r="J903" i="12" a="1"/>
  <c r="K903" i="12" a="1"/>
  <c r="H904" i="12"/>
  <c r="I904" i="12" a="1"/>
  <c r="J904" i="12" a="1"/>
  <c r="K904" i="12" a="1"/>
  <c r="H905" i="12"/>
  <c r="I905" i="12" a="1"/>
  <c r="J905" i="12" a="1"/>
  <c r="K905" i="12" a="1"/>
  <c r="H906" i="12"/>
  <c r="I906" i="12" a="1"/>
  <c r="J906" i="12" a="1"/>
  <c r="K906" i="12" a="1"/>
  <c r="H907" i="12"/>
  <c r="I907" i="12" a="1"/>
  <c r="J907" i="12" a="1"/>
  <c r="K907" i="12" a="1"/>
  <c r="H908" i="12"/>
  <c r="I908" i="12" a="1"/>
  <c r="J908" i="12" a="1"/>
  <c r="K908" i="12" a="1"/>
  <c r="H909" i="12"/>
  <c r="I909" i="12" a="1"/>
  <c r="J909" i="12" a="1"/>
  <c r="K909" i="12" a="1"/>
  <c r="H910" i="12"/>
  <c r="I910" i="12" a="1"/>
  <c r="J910" i="12" a="1"/>
  <c r="K910" i="12" a="1"/>
  <c r="H911" i="12"/>
  <c r="I911" i="12" a="1"/>
  <c r="J911" i="12" a="1"/>
  <c r="K911" i="12" a="1"/>
  <c r="H912" i="12"/>
  <c r="I912" i="12" a="1"/>
  <c r="J912" i="12" a="1"/>
  <c r="K912" i="12" a="1"/>
  <c r="H913" i="12"/>
  <c r="I913" i="12" a="1"/>
  <c r="J913" i="12" a="1"/>
  <c r="K913" i="12" a="1"/>
  <c r="H914" i="12"/>
  <c r="I914" i="12" a="1"/>
  <c r="J914" i="12" a="1"/>
  <c r="K914" i="12" a="1"/>
  <c r="H915" i="12"/>
  <c r="I915" i="12" a="1"/>
  <c r="J915" i="12" a="1"/>
  <c r="K915" i="12" a="1"/>
  <c r="H916" i="12"/>
  <c r="I916" i="12" a="1"/>
  <c r="J916" i="12" a="1"/>
  <c r="K916" i="12" a="1"/>
  <c r="H917" i="12"/>
  <c r="I917" i="12" a="1"/>
  <c r="J917" i="12" a="1"/>
  <c r="K917" i="12" a="1"/>
  <c r="H918" i="12"/>
  <c r="I918" i="12" a="1"/>
  <c r="J918" i="12" a="1"/>
  <c r="K918" i="12" a="1"/>
  <c r="H919" i="12"/>
  <c r="I919" i="12" a="1"/>
  <c r="J919" i="12" a="1"/>
  <c r="K919" i="12" a="1"/>
  <c r="H920" i="12"/>
  <c r="I920" i="12" a="1"/>
  <c r="J920" i="12" a="1"/>
  <c r="K920" i="12" a="1"/>
  <c r="H921" i="12"/>
  <c r="I921" i="12" a="1"/>
  <c r="J921" i="12" a="1"/>
  <c r="K921" i="12" a="1"/>
  <c r="H922" i="12"/>
  <c r="I922" i="12" a="1"/>
  <c r="J922" i="12" a="1"/>
  <c r="K922" i="12" a="1"/>
  <c r="H923" i="12"/>
  <c r="I923" i="12" a="1"/>
  <c r="J923" i="12" a="1"/>
  <c r="K923" i="12" a="1"/>
  <c r="H924" i="12"/>
  <c r="I924" i="12" a="1"/>
  <c r="J924" i="12" a="1"/>
  <c r="K924" i="12" a="1"/>
  <c r="H925" i="12"/>
  <c r="I925" i="12" a="1"/>
  <c r="J925" i="12" a="1"/>
  <c r="K925" i="12" a="1"/>
  <c r="H926" i="12"/>
  <c r="I926" i="12" a="1"/>
  <c r="J926" i="12" a="1"/>
  <c r="K926" i="12" a="1"/>
  <c r="H927" i="12"/>
  <c r="I927" i="12" a="1"/>
  <c r="J927" i="12" a="1"/>
  <c r="K927" i="12" a="1"/>
  <c r="H928" i="12"/>
  <c r="I928" i="12" a="1"/>
  <c r="J928" i="12" a="1"/>
  <c r="K928" i="12" a="1"/>
  <c r="H929" i="12"/>
  <c r="I929" i="12" a="1"/>
  <c r="J929" i="12" a="1"/>
  <c r="K929" i="12" a="1"/>
  <c r="H930" i="12"/>
  <c r="I930" i="12" a="1"/>
  <c r="J930" i="12" a="1"/>
  <c r="K930" i="12" a="1"/>
  <c r="H931" i="12"/>
  <c r="I931" i="12" a="1"/>
  <c r="J931" i="12" a="1"/>
  <c r="K931" i="12" a="1"/>
  <c r="H932" i="12"/>
  <c r="I932" i="12" a="1"/>
  <c r="J932" i="12" a="1"/>
  <c r="K932" i="12" a="1"/>
  <c r="H933" i="12"/>
  <c r="I933" i="12" a="1"/>
  <c r="J933" i="12" a="1"/>
  <c r="K933" i="12" a="1"/>
  <c r="H934" i="12"/>
  <c r="I934" i="12" a="1"/>
  <c r="J934" i="12" a="1"/>
  <c r="K934" i="12" a="1"/>
  <c r="H935" i="12"/>
  <c r="I935" i="12" a="1"/>
  <c r="J935" i="12" a="1"/>
  <c r="K935" i="12" a="1"/>
  <c r="H936" i="12"/>
  <c r="I936" i="12" a="1"/>
  <c r="J936" i="12" a="1"/>
  <c r="K936" i="12" a="1"/>
  <c r="H937" i="12"/>
  <c r="I937" i="12" a="1"/>
  <c r="J937" i="12" a="1"/>
  <c r="K937" i="12" a="1"/>
  <c r="H938" i="12"/>
  <c r="I938" i="12" a="1"/>
  <c r="J938" i="12" a="1"/>
  <c r="K938" i="12" a="1"/>
  <c r="H939" i="12"/>
  <c r="I939" i="12" a="1"/>
  <c r="J939" i="12" a="1"/>
  <c r="K939" i="12" a="1"/>
  <c r="H940" i="12"/>
  <c r="I940" i="12" a="1"/>
  <c r="J940" i="12" a="1"/>
  <c r="K940" i="12" a="1"/>
  <c r="H941" i="12"/>
  <c r="I941" i="12" a="1"/>
  <c r="J941" i="12" a="1"/>
  <c r="K941" i="12" a="1"/>
  <c r="H942" i="12"/>
  <c r="I942" i="12" a="1"/>
  <c r="J942" i="12" a="1"/>
  <c r="K942" i="12" a="1"/>
  <c r="H943" i="12"/>
  <c r="I943" i="12" a="1"/>
  <c r="J943" i="12" a="1"/>
  <c r="K943" i="12" a="1"/>
  <c r="H944" i="12"/>
  <c r="I944" i="12" a="1"/>
  <c r="J944" i="12" a="1"/>
  <c r="K944" i="12" a="1"/>
  <c r="H945" i="12"/>
  <c r="I945" i="12" a="1"/>
  <c r="J945" i="12" a="1"/>
  <c r="K945" i="12" a="1"/>
  <c r="H946" i="12"/>
  <c r="I946" i="12" a="1"/>
  <c r="J946" i="12" a="1"/>
  <c r="K946" i="12" a="1"/>
  <c r="H947" i="12"/>
  <c r="I947" i="12" a="1"/>
  <c r="J947" i="12" a="1"/>
  <c r="K947" i="12" a="1"/>
  <c r="H948" i="12"/>
  <c r="I948" i="12" a="1"/>
  <c r="J948" i="12" a="1"/>
  <c r="K948" i="12" a="1"/>
  <c r="H949" i="12"/>
  <c r="I949" i="12" a="1"/>
  <c r="J949" i="12" a="1"/>
  <c r="K949" i="12" a="1"/>
  <c r="H950" i="12"/>
  <c r="I950" i="12" a="1"/>
  <c r="J950" i="12" a="1"/>
  <c r="K950" i="12" a="1"/>
  <c r="H951" i="12"/>
  <c r="I951" i="12" a="1"/>
  <c r="J951" i="12" a="1"/>
  <c r="K951" i="12" a="1"/>
  <c r="H952" i="12"/>
  <c r="I952" i="12" a="1"/>
  <c r="J952" i="12" a="1"/>
  <c r="K952" i="12" a="1"/>
  <c r="H953" i="12"/>
  <c r="I953" i="12" a="1"/>
  <c r="J953" i="12" a="1"/>
  <c r="K953" i="12" a="1"/>
  <c r="H954" i="12"/>
  <c r="I954" i="12" a="1"/>
  <c r="J954" i="12" a="1"/>
  <c r="K954" i="12" a="1"/>
  <c r="H955" i="12"/>
  <c r="I955" i="12" a="1"/>
  <c r="J955" i="12" a="1"/>
  <c r="K955" i="12" a="1"/>
  <c r="H956" i="12"/>
  <c r="I956" i="12" a="1"/>
  <c r="J956" i="12" a="1"/>
  <c r="K956" i="12" a="1"/>
  <c r="H957" i="12"/>
  <c r="I957" i="12" a="1"/>
  <c r="J957" i="12" a="1"/>
  <c r="K957" i="12" a="1"/>
  <c r="H958" i="12"/>
  <c r="I958" i="12" a="1"/>
  <c r="J958" i="12" a="1"/>
  <c r="K958" i="12" a="1"/>
  <c r="H959" i="12"/>
  <c r="I959" i="12" a="1"/>
  <c r="J959" i="12" a="1"/>
  <c r="K959" i="12" a="1"/>
  <c r="H960" i="12"/>
  <c r="I960" i="12" a="1"/>
  <c r="J960" i="12" a="1"/>
  <c r="K960" i="12" a="1"/>
  <c r="H961" i="12"/>
  <c r="I961" i="12" a="1"/>
  <c r="J961" i="12" a="1"/>
  <c r="K961" i="12" a="1"/>
  <c r="H962" i="12"/>
  <c r="I962" i="12" a="1"/>
  <c r="J962" i="12" a="1"/>
  <c r="K962" i="12" a="1"/>
  <c r="H963" i="12"/>
  <c r="I963" i="12" a="1"/>
  <c r="J963" i="12" a="1"/>
  <c r="K963" i="12" a="1"/>
  <c r="H964" i="12"/>
  <c r="I964" i="12" a="1"/>
  <c r="J964" i="12" a="1"/>
  <c r="K964" i="12" a="1"/>
  <c r="H965" i="12"/>
  <c r="I965" i="12" a="1"/>
  <c r="J965" i="12" a="1"/>
  <c r="K965" i="12" a="1"/>
  <c r="H966" i="12"/>
  <c r="I966" i="12" a="1"/>
  <c r="J966" i="12" a="1"/>
  <c r="K966" i="12" a="1"/>
  <c r="H967" i="12"/>
  <c r="I967" i="12" a="1"/>
  <c r="J967" i="12" a="1"/>
  <c r="K967" i="12" a="1"/>
  <c r="H968" i="12"/>
  <c r="I968" i="12" a="1"/>
  <c r="J968" i="12" a="1"/>
  <c r="K968" i="12" a="1"/>
  <c r="H969" i="12"/>
  <c r="I969" i="12" a="1"/>
  <c r="J969" i="12" a="1"/>
  <c r="K969" i="12" a="1"/>
  <c r="H970" i="12"/>
  <c r="I970" i="12" a="1"/>
  <c r="J970" i="12" a="1"/>
  <c r="K970" i="12" a="1"/>
  <c r="H971" i="12"/>
  <c r="I971" i="12" a="1"/>
  <c r="J971" i="12" a="1"/>
  <c r="K971" i="12" a="1"/>
  <c r="H972" i="12"/>
  <c r="I972" i="12" a="1"/>
  <c r="J972" i="12" a="1"/>
  <c r="K972" i="12" a="1"/>
  <c r="H973" i="12"/>
  <c r="I973" i="12" a="1"/>
  <c r="J973" i="12" a="1"/>
  <c r="K973" i="12" a="1"/>
  <c r="H974" i="12"/>
  <c r="I974" i="12" a="1"/>
  <c r="J974" i="12" a="1"/>
  <c r="K974" i="12" a="1"/>
  <c r="H975" i="12"/>
  <c r="I975" i="12" a="1"/>
  <c r="J975" i="12" a="1"/>
  <c r="K975" i="12" a="1"/>
  <c r="H976" i="12"/>
  <c r="I976" i="12" a="1"/>
  <c r="J976" i="12" a="1"/>
  <c r="K976" i="12" a="1"/>
  <c r="H977" i="12"/>
  <c r="I977" i="12" a="1"/>
  <c r="J977" i="12" a="1"/>
  <c r="K977" i="12" a="1"/>
  <c r="H978" i="12"/>
  <c r="I978" i="12" a="1"/>
  <c r="J978" i="12" a="1"/>
  <c r="K978" i="12" a="1"/>
  <c r="H979" i="12"/>
  <c r="I979" i="12" a="1"/>
  <c r="J979" i="12" a="1"/>
  <c r="K979" i="12" a="1"/>
  <c r="H980" i="12"/>
  <c r="I980" i="12" a="1"/>
  <c r="J980" i="12" a="1"/>
  <c r="K980" i="12" a="1"/>
  <c r="H981" i="12"/>
  <c r="I981" i="12" a="1"/>
  <c r="J981" i="12" a="1"/>
  <c r="K981" i="12" a="1"/>
  <c r="H982" i="12"/>
  <c r="I982" i="12" a="1"/>
  <c r="J982" i="12" a="1"/>
  <c r="K982" i="12" a="1"/>
  <c r="H983" i="12"/>
  <c r="I983" i="12" a="1"/>
  <c r="J983" i="12" a="1"/>
  <c r="K983" i="12" a="1"/>
  <c r="H984" i="12"/>
  <c r="I984" i="12" a="1"/>
  <c r="J984" i="12" a="1"/>
  <c r="K984" i="12" a="1"/>
  <c r="H985" i="12"/>
  <c r="I985" i="12" a="1"/>
  <c r="J985" i="12" a="1"/>
  <c r="K985" i="12" a="1"/>
  <c r="H986" i="12"/>
  <c r="I986" i="12" a="1"/>
  <c r="J986" i="12" a="1"/>
  <c r="K986" i="12" a="1"/>
  <c r="H987" i="12"/>
  <c r="I987" i="12" a="1"/>
  <c r="J987" i="12" a="1"/>
  <c r="K987" i="12" a="1"/>
  <c r="H988" i="12"/>
  <c r="I988" i="12" a="1"/>
  <c r="J988" i="12" a="1"/>
  <c r="K988" i="12" a="1"/>
  <c r="H989" i="12"/>
  <c r="I989" i="12" a="1"/>
  <c r="J989" i="12" a="1"/>
  <c r="K989" i="12" a="1"/>
  <c r="H990" i="12"/>
  <c r="I990" i="12" a="1"/>
  <c r="J990" i="12" a="1"/>
  <c r="K990" i="12" a="1"/>
  <c r="H991" i="12"/>
  <c r="I991" i="12" a="1"/>
  <c r="J991" i="12" a="1"/>
  <c r="K991" i="12" a="1"/>
  <c r="H992" i="12"/>
  <c r="I992" i="12" a="1"/>
  <c r="J992" i="12" a="1"/>
  <c r="K992" i="12" a="1"/>
  <c r="H993" i="12"/>
  <c r="I993" i="12" a="1"/>
  <c r="J993" i="12" a="1"/>
  <c r="K993" i="12" a="1"/>
  <c r="H994" i="12"/>
  <c r="I994" i="12" a="1"/>
  <c r="J994" i="12" a="1"/>
  <c r="K994" i="12" a="1"/>
  <c r="H995" i="12"/>
  <c r="I995" i="12" a="1"/>
  <c r="J995" i="12" a="1"/>
  <c r="K995" i="12" a="1"/>
  <c r="H996" i="12"/>
  <c r="I996" i="12" a="1"/>
  <c r="J996" i="12" a="1"/>
  <c r="K996" i="12" a="1"/>
  <c r="H997" i="12"/>
  <c r="I997" i="12" a="1"/>
  <c r="J997" i="12" a="1"/>
  <c r="K997" i="12" a="1"/>
  <c r="H998" i="12"/>
  <c r="I998" i="12" a="1"/>
  <c r="J998" i="12" a="1"/>
  <c r="K998" i="12" a="1"/>
  <c r="H999" i="12"/>
  <c r="I999" i="12" a="1"/>
  <c r="J999" i="12" a="1"/>
  <c r="K999" i="12" a="1"/>
  <c r="H1000" i="12"/>
  <c r="I1000" i="12" a="1"/>
  <c r="J1000" i="12" a="1"/>
  <c r="K1000" i="12" a="1"/>
  <c r="H1001" i="12"/>
  <c r="I1001" i="12" a="1"/>
  <c r="J1001" i="12" a="1"/>
  <c r="K1001" i="12" a="1"/>
  <c r="H1002" i="12"/>
  <c r="I1002" i="12" a="1"/>
  <c r="J1002" i="12" a="1"/>
  <c r="K1002" i="12" a="1"/>
  <c r="H1003" i="12"/>
  <c r="I1003" i="12" a="1"/>
  <c r="J1003" i="12" a="1"/>
  <c r="K1003" i="12" a="1"/>
  <c r="H1004" i="12"/>
  <c r="I1004" i="12" a="1"/>
  <c r="J1004" i="12" a="1"/>
  <c r="K1004" i="12" a="1"/>
  <c r="H1005" i="12"/>
  <c r="I1005" i="12" a="1"/>
  <c r="J1005" i="12" a="1"/>
  <c r="K1005" i="12" a="1"/>
  <c r="H1006" i="12"/>
  <c r="I1006" i="12" a="1"/>
  <c r="J1006" i="12" a="1"/>
  <c r="K1006" i="12" a="1"/>
  <c r="H1007" i="12"/>
  <c r="I1007" i="12" a="1"/>
  <c r="J1007" i="12" a="1"/>
  <c r="K1007" i="12" a="1"/>
  <c r="H1008" i="12"/>
  <c r="I1008" i="12" a="1"/>
  <c r="J1008" i="12" a="1"/>
  <c r="K1008" i="12" a="1"/>
  <c r="H1009" i="12"/>
  <c r="I1009" i="12" a="1"/>
  <c r="J1009" i="12" a="1"/>
  <c r="K1009" i="12" a="1"/>
  <c r="H1010" i="12"/>
  <c r="I1010" i="12" a="1"/>
  <c r="J1010" i="12" a="1"/>
  <c r="K1010" i="12" a="1"/>
  <c r="H1011" i="12"/>
  <c r="I1011" i="12" a="1"/>
  <c r="J1011" i="12" a="1"/>
  <c r="K1011" i="12" a="1"/>
  <c r="H1012" i="12"/>
  <c r="I1012" i="12" a="1"/>
  <c r="J1012" i="12" a="1"/>
  <c r="K1012" i="12" a="1"/>
  <c r="H1013" i="12"/>
  <c r="I1013" i="12" a="1"/>
  <c r="J1013" i="12" a="1"/>
  <c r="K1013" i="12" a="1"/>
  <c r="H1014" i="12"/>
  <c r="I1014" i="12" a="1"/>
  <c r="J1014" i="12" a="1"/>
  <c r="K1014" i="12" a="1"/>
  <c r="H1015" i="12"/>
  <c r="I1015" i="12" a="1"/>
  <c r="J1015" i="12" a="1"/>
  <c r="K1015" i="12" a="1"/>
  <c r="H1016" i="12"/>
  <c r="I1016" i="12" a="1"/>
  <c r="J1016" i="12" a="1"/>
  <c r="K1016" i="12" a="1"/>
  <c r="H1017" i="12"/>
  <c r="I1017" i="12" a="1"/>
  <c r="J1017" i="12" a="1"/>
  <c r="K1017" i="12" a="1"/>
  <c r="H1018" i="12"/>
  <c r="I1018" i="12" a="1"/>
  <c r="J1018" i="12" a="1"/>
  <c r="K1018" i="12" a="1"/>
  <c r="H1019" i="12"/>
  <c r="I1019" i="12" a="1"/>
  <c r="J1019" i="12" a="1"/>
  <c r="K1019" i="12" a="1"/>
  <c r="H1020" i="12"/>
  <c r="I1020" i="12" a="1"/>
  <c r="J1020" i="12" a="1"/>
  <c r="K1020" i="12" a="1"/>
  <c r="H1021" i="12"/>
  <c r="I1021" i="12" a="1"/>
  <c r="J1021" i="12" a="1"/>
  <c r="K1021" i="12" a="1"/>
  <c r="H1022" i="12"/>
  <c r="I1022" i="12" a="1"/>
  <c r="J1022" i="12" a="1"/>
  <c r="K1022" i="12" a="1"/>
  <c r="H1023" i="12"/>
  <c r="I1023" i="12" a="1"/>
  <c r="J1023" i="12" a="1"/>
  <c r="K1023" i="12" a="1"/>
  <c r="H1024" i="12"/>
  <c r="I1024" i="12" a="1"/>
  <c r="J1024" i="12" a="1"/>
  <c r="K1024" i="12" a="1"/>
  <c r="H1025" i="12"/>
  <c r="I1025" i="12" a="1"/>
  <c r="J1025" i="12" a="1"/>
  <c r="K1025" i="12" a="1"/>
  <c r="H1026" i="12"/>
  <c r="I1026" i="12" a="1"/>
  <c r="J1026" i="12" a="1"/>
  <c r="K1026" i="12" a="1"/>
  <c r="H1027" i="12"/>
  <c r="I1027" i="12" a="1"/>
  <c r="J1027" i="12" a="1"/>
  <c r="K1027" i="12" a="1"/>
  <c r="H1028" i="12"/>
  <c r="I1028" i="12" a="1"/>
  <c r="J1028" i="12" a="1"/>
  <c r="K1028" i="12" a="1"/>
  <c r="H1029" i="12"/>
  <c r="I1029" i="12" a="1"/>
  <c r="J1029" i="12" a="1"/>
  <c r="K1029" i="12" a="1"/>
  <c r="H1030" i="12"/>
  <c r="I1030" i="12" a="1"/>
  <c r="J1030" i="12" a="1"/>
  <c r="K1030" i="12" a="1"/>
  <c r="H1031" i="12"/>
  <c r="I1031" i="12" a="1"/>
  <c r="J1031" i="12" a="1"/>
  <c r="K1031" i="12" a="1"/>
  <c r="H1032" i="12"/>
  <c r="I1032" i="12" a="1"/>
  <c r="J1032" i="12" a="1"/>
  <c r="K1032" i="12" a="1"/>
  <c r="H1033" i="12"/>
  <c r="I1033" i="12" a="1"/>
  <c r="J1033" i="12" a="1"/>
  <c r="K1033" i="12" a="1"/>
  <c r="H1034" i="12"/>
  <c r="I1034" i="12" a="1"/>
  <c r="J1034" i="12" a="1"/>
  <c r="K1034" i="12" a="1"/>
  <c r="H1035" i="12"/>
  <c r="I1035" i="12" a="1"/>
  <c r="J1035" i="12" a="1"/>
  <c r="K1035" i="12" a="1"/>
  <c r="H1036" i="12"/>
  <c r="I1036" i="12" a="1"/>
  <c r="J1036" i="12" a="1"/>
  <c r="K1036" i="12" a="1"/>
  <c r="H1037" i="12"/>
  <c r="I1037" i="12" a="1"/>
  <c r="J1037" i="12" a="1"/>
  <c r="K1037" i="12" a="1"/>
  <c r="H1038" i="12"/>
  <c r="I1038" i="12" a="1"/>
  <c r="J1038" i="12" a="1"/>
  <c r="K1038" i="12" a="1"/>
  <c r="H1039" i="12"/>
  <c r="I1039" i="12" a="1"/>
  <c r="J1039" i="12" a="1"/>
  <c r="K1039" i="12" a="1"/>
  <c r="H1040" i="12"/>
  <c r="I1040" i="12" a="1"/>
  <c r="J1040" i="12" a="1"/>
  <c r="K1040" i="12" a="1"/>
  <c r="H1041" i="12"/>
  <c r="I1041" i="12" a="1"/>
  <c r="J1041" i="12" a="1"/>
  <c r="K1041" i="12" a="1"/>
  <c r="H1042" i="12"/>
  <c r="I1042" i="12" a="1"/>
  <c r="J1042" i="12" a="1"/>
  <c r="K1042" i="12" a="1"/>
  <c r="H1043" i="12"/>
  <c r="I1043" i="12" a="1"/>
  <c r="J1043" i="12" a="1"/>
  <c r="K1043" i="12" a="1"/>
  <c r="H1044" i="12"/>
  <c r="I1044" i="12" a="1"/>
  <c r="J1044" i="12" a="1"/>
  <c r="K1044" i="12" a="1"/>
  <c r="H1045" i="12"/>
  <c r="I1045" i="12" a="1"/>
  <c r="J1045" i="12" a="1"/>
  <c r="K1045" i="12" a="1"/>
  <c r="H1046" i="12"/>
  <c r="I1046" i="12" a="1"/>
  <c r="J1046" i="12" a="1"/>
  <c r="K1046" i="12" a="1"/>
  <c r="H1047" i="12"/>
  <c r="I1047" i="12" a="1"/>
  <c r="J1047" i="12" a="1"/>
  <c r="K1047" i="12" a="1"/>
  <c r="H1048" i="12"/>
  <c r="I1048" i="12" a="1"/>
  <c r="J1048" i="12" a="1"/>
  <c r="K1048" i="12" a="1"/>
  <c r="H1049" i="12"/>
  <c r="I1049" i="12" a="1"/>
  <c r="J1049" i="12" a="1"/>
  <c r="K1049" i="12" a="1"/>
  <c r="H1050" i="12"/>
  <c r="I1050" i="12" a="1"/>
  <c r="J1050" i="12" a="1"/>
  <c r="K1050" i="12" a="1"/>
  <c r="H1051" i="12"/>
  <c r="I1051" i="12" a="1"/>
  <c r="J1051" i="12" a="1"/>
  <c r="K1051" i="12" a="1"/>
  <c r="H1052" i="12"/>
  <c r="I1052" i="12" a="1"/>
  <c r="J1052" i="12" a="1"/>
  <c r="K1052" i="12" a="1"/>
  <c r="H1053" i="12"/>
  <c r="I1053" i="12" a="1"/>
  <c r="J1053" i="12" a="1"/>
  <c r="K1053" i="12" a="1"/>
  <c r="H1054" i="12"/>
  <c r="I1054" i="12" a="1"/>
  <c r="J1054" i="12" a="1"/>
  <c r="K1054" i="12" a="1"/>
  <c r="H1055" i="12"/>
  <c r="I1055" i="12" a="1"/>
  <c r="J1055" i="12" a="1"/>
  <c r="K1055" i="12" a="1"/>
  <c r="H1056" i="12"/>
  <c r="I1056" i="12" a="1"/>
  <c r="J1056" i="12" a="1"/>
  <c r="K1056" i="12" a="1"/>
  <c r="H1057" i="12"/>
  <c r="I1057" i="12" a="1"/>
  <c r="J1057" i="12" a="1"/>
  <c r="K1057" i="12" a="1"/>
  <c r="H1058" i="12"/>
  <c r="I1058" i="12" a="1"/>
  <c r="J1058" i="12" a="1"/>
  <c r="K1058" i="12" a="1"/>
  <c r="H1059" i="12"/>
  <c r="I1059" i="12" a="1"/>
  <c r="J1059" i="12" a="1"/>
  <c r="K1059" i="12" a="1"/>
  <c r="H1060" i="12"/>
  <c r="I1060" i="12" a="1"/>
  <c r="J1060" i="12" a="1"/>
  <c r="K1060" i="12" a="1"/>
  <c r="H1061" i="12"/>
  <c r="I1061" i="12" a="1"/>
  <c r="J1061" i="12" a="1"/>
  <c r="K1061" i="12" a="1"/>
  <c r="H1062" i="12"/>
  <c r="I1062" i="12" a="1"/>
  <c r="J1062" i="12" a="1"/>
  <c r="K1062" i="12" a="1"/>
  <c r="H1063" i="12"/>
  <c r="I1063" i="12" a="1"/>
  <c r="J1063" i="12" a="1"/>
  <c r="K1063" i="12" a="1"/>
  <c r="H1064" i="12"/>
  <c r="I1064" i="12" a="1"/>
  <c r="J1064" i="12" a="1"/>
  <c r="K1064" i="12" a="1"/>
  <c r="H1065" i="12"/>
  <c r="I1065" i="12" a="1"/>
  <c r="J1065" i="12" a="1"/>
  <c r="K1065" i="12" a="1"/>
  <c r="H1066" i="12"/>
  <c r="I1066" i="12" a="1"/>
  <c r="J1066" i="12" a="1"/>
  <c r="K1066" i="12" a="1"/>
  <c r="H1067" i="12"/>
  <c r="I1067" i="12" a="1"/>
  <c r="J1067" i="12" a="1"/>
  <c r="K1067" i="12" a="1"/>
  <c r="H1068" i="12"/>
  <c r="I1068" i="12" a="1"/>
  <c r="J1068" i="12" a="1"/>
  <c r="K1068" i="12" a="1"/>
  <c r="H1069" i="12"/>
  <c r="I1069" i="12" a="1"/>
  <c r="J1069" i="12" a="1"/>
  <c r="K1069" i="12" a="1"/>
  <c r="H1070" i="12"/>
  <c r="I1070" i="12" a="1"/>
  <c r="J1070" i="12" a="1"/>
  <c r="K1070" i="12" a="1"/>
  <c r="H1071" i="12"/>
  <c r="I1071" i="12" a="1"/>
  <c r="J1071" i="12" a="1"/>
  <c r="K1071" i="12" a="1"/>
  <c r="H1072" i="12"/>
  <c r="I1072" i="12" a="1"/>
  <c r="J1072" i="12" a="1"/>
  <c r="K1072" i="12" a="1"/>
  <c r="H1073" i="12"/>
  <c r="I1073" i="12" a="1"/>
  <c r="J1073" i="12" a="1"/>
  <c r="K1073" i="12" a="1"/>
  <c r="H1074" i="12"/>
  <c r="I1074" i="12" a="1"/>
  <c r="J1074" i="12" a="1"/>
  <c r="K1074" i="12" a="1"/>
  <c r="H1075" i="12"/>
  <c r="I1075" i="12" a="1"/>
  <c r="J1075" i="12" a="1"/>
  <c r="K1075" i="12" a="1"/>
  <c r="H1076" i="12"/>
  <c r="I1076" i="12" a="1"/>
  <c r="J1076" i="12" a="1"/>
  <c r="K1076" i="12" a="1"/>
  <c r="H1077" i="12"/>
  <c r="I1077" i="12" a="1"/>
  <c r="J1077" i="12" a="1"/>
  <c r="K1077" i="12" a="1"/>
  <c r="H1078" i="12"/>
  <c r="I1078" i="12" a="1"/>
  <c r="J1078" i="12" a="1"/>
  <c r="K1078" i="12" a="1"/>
  <c r="H1079" i="12"/>
  <c r="I1079" i="12" a="1"/>
  <c r="J1079" i="12" a="1"/>
  <c r="K1079" i="12" a="1"/>
  <c r="H1080" i="12"/>
  <c r="I1080" i="12" a="1"/>
  <c r="J1080" i="12" a="1"/>
  <c r="K1080" i="12" a="1"/>
  <c r="H1081" i="12"/>
  <c r="I1081" i="12" a="1"/>
  <c r="J1081" i="12" a="1"/>
  <c r="K1081" i="12" a="1"/>
  <c r="F52" i="4" a="1"/>
  <c r="H52" i="4" s="1"/>
  <c r="G52" i="4" a="1"/>
  <c r="F36" i="2"/>
  <c r="D51" i="9"/>
  <c r="W51" i="9" s="1"/>
  <c r="D51" i="8"/>
  <c r="D51" i="7"/>
  <c r="Z51" i="7" a="1"/>
  <c r="AA51" i="7" a="1"/>
  <c r="AB51" i="7" a="1"/>
  <c r="D51" i="5"/>
  <c r="Z51" i="5" a="1"/>
  <c r="AA51" i="5" a="1"/>
  <c r="AB51" i="5" a="1"/>
  <c r="F64" i="4" a="1"/>
  <c r="G64" i="4" a="1"/>
  <c r="H64" i="4" s="1"/>
  <c r="F48" i="2"/>
  <c r="D50" i="7"/>
  <c r="Z50" i="7" a="1"/>
  <c r="AA50" i="7" a="1"/>
  <c r="AB50" i="7" a="1"/>
  <c r="F35" i="4" a="1"/>
  <c r="G35" i="4" a="1"/>
  <c r="D50" i="5"/>
  <c r="Z50" i="5" a="1"/>
  <c r="AA50" i="5" a="1"/>
  <c r="AB50" i="5" a="1"/>
  <c r="F59" i="2"/>
  <c r="D49" i="9"/>
  <c r="W49" i="9" s="1"/>
  <c r="D49" i="8"/>
  <c r="D49" i="7"/>
  <c r="Z49" i="7" a="1"/>
  <c r="AA49" i="7" a="1"/>
  <c r="AB49" i="7" a="1"/>
  <c r="D49" i="5"/>
  <c r="Z49" i="5" a="1"/>
  <c r="AA49" i="5" a="1"/>
  <c r="AB49" i="5" a="1"/>
  <c r="H830" i="12"/>
  <c r="I830" i="12" a="1"/>
  <c r="J830" i="12" a="1"/>
  <c r="K830" i="12" a="1"/>
  <c r="H831" i="12"/>
  <c r="I831" i="12" a="1"/>
  <c r="J831" i="12" a="1"/>
  <c r="K831" i="12" a="1"/>
  <c r="H832" i="12"/>
  <c r="I832" i="12" a="1"/>
  <c r="J832" i="12" a="1"/>
  <c r="K832" i="12" a="1"/>
  <c r="H833" i="12"/>
  <c r="I833" i="12" a="1"/>
  <c r="J833" i="12" a="1"/>
  <c r="K833" i="12" a="1"/>
  <c r="H834" i="12"/>
  <c r="I834" i="12" a="1"/>
  <c r="J834" i="12" a="1"/>
  <c r="K834" i="12" a="1"/>
  <c r="H835" i="12"/>
  <c r="I835" i="12" a="1"/>
  <c r="J835" i="12" a="1"/>
  <c r="K835" i="12" a="1"/>
  <c r="H836" i="12"/>
  <c r="I836" i="12" a="1"/>
  <c r="J836" i="12" a="1"/>
  <c r="K836" i="12" a="1"/>
  <c r="H837" i="12"/>
  <c r="I837" i="12" a="1"/>
  <c r="J837" i="12" a="1"/>
  <c r="K837" i="12" a="1"/>
  <c r="H838" i="12"/>
  <c r="I838" i="12" a="1"/>
  <c r="J838" i="12" a="1"/>
  <c r="K838" i="12" a="1"/>
  <c r="H839" i="12"/>
  <c r="I839" i="12" a="1"/>
  <c r="J839" i="12" a="1"/>
  <c r="K839" i="12" a="1"/>
  <c r="H840" i="12"/>
  <c r="I840" i="12" a="1"/>
  <c r="J840" i="12" a="1"/>
  <c r="K840" i="12" a="1"/>
  <c r="H841" i="12"/>
  <c r="I841" i="12" a="1"/>
  <c r="J841" i="12" a="1"/>
  <c r="K841" i="12" a="1"/>
  <c r="H842" i="12"/>
  <c r="I842" i="12" a="1"/>
  <c r="J842" i="12" a="1"/>
  <c r="K842" i="12" a="1"/>
  <c r="H843" i="12"/>
  <c r="I843" i="12" a="1"/>
  <c r="J843" i="12" a="1"/>
  <c r="K843" i="12" a="1"/>
  <c r="H844" i="12"/>
  <c r="I844" i="12" a="1"/>
  <c r="J844" i="12" a="1"/>
  <c r="K844" i="12" a="1"/>
  <c r="H845" i="12"/>
  <c r="I845" i="12" a="1"/>
  <c r="J845" i="12" a="1"/>
  <c r="K845" i="12" a="1"/>
  <c r="H846" i="12"/>
  <c r="I846" i="12" a="1"/>
  <c r="J846" i="12" a="1"/>
  <c r="K846" i="12" a="1"/>
  <c r="H847" i="12"/>
  <c r="I847" i="12" a="1"/>
  <c r="J847" i="12" a="1"/>
  <c r="K847" i="12" a="1"/>
  <c r="F68" i="4" a="1"/>
  <c r="G68" i="4" a="1"/>
  <c r="F52" i="2"/>
  <c r="D48" i="8"/>
  <c r="D48" i="7"/>
  <c r="Z48" i="7" a="1"/>
  <c r="AA48" i="7" a="1"/>
  <c r="AB48" i="7" a="1"/>
  <c r="D48" i="5"/>
  <c r="Z48" i="5" a="1"/>
  <c r="AA48" i="5" a="1"/>
  <c r="AB48" i="5" a="1"/>
  <c r="F66" i="4" a="1"/>
  <c r="G66" i="4" a="1"/>
  <c r="F40" i="2"/>
  <c r="D47" i="9"/>
  <c r="W47" i="9" s="1"/>
  <c r="D47" i="8"/>
  <c r="D47" i="7"/>
  <c r="Z47" i="7" a="1"/>
  <c r="AA47" i="7" a="1"/>
  <c r="AB47" i="7" a="1"/>
  <c r="D47" i="5"/>
  <c r="Z47" i="5" a="1"/>
  <c r="AA47" i="5" a="1"/>
  <c r="AB47" i="5" a="1"/>
  <c r="F65" i="4" a="1"/>
  <c r="G65" i="4" a="1"/>
  <c r="F34" i="2"/>
  <c r="D46" i="9"/>
  <c r="W46" i="9"/>
  <c r="D46" i="8"/>
  <c r="D46" i="7"/>
  <c r="Z46" i="7" a="1"/>
  <c r="AA46" i="7" a="1"/>
  <c r="AB46" i="7" a="1"/>
  <c r="D46" i="5"/>
  <c r="Z46" i="5" a="1"/>
  <c r="AA46" i="5" a="1"/>
  <c r="AB46" i="5" a="1"/>
  <c r="F23" i="6"/>
  <c r="F21" i="2"/>
  <c r="F69" i="4" a="1"/>
  <c r="G69" i="4" a="1"/>
  <c r="F67" i="4" a="1"/>
  <c r="G67" i="4" a="1"/>
  <c r="F22" i="6"/>
  <c r="H758" i="12"/>
  <c r="I758" i="12" a="1"/>
  <c r="J758" i="12" a="1"/>
  <c r="K758" i="12" a="1"/>
  <c r="H759" i="12"/>
  <c r="I759" i="12" a="1"/>
  <c r="J759" i="12" a="1"/>
  <c r="K759" i="12" a="1"/>
  <c r="H760" i="12"/>
  <c r="I760" i="12" a="1"/>
  <c r="J760" i="12" a="1"/>
  <c r="K760" i="12" a="1"/>
  <c r="H761" i="12"/>
  <c r="I761" i="12" a="1"/>
  <c r="J761" i="12" a="1"/>
  <c r="K761" i="12" a="1"/>
  <c r="H762" i="12"/>
  <c r="I762" i="12" a="1"/>
  <c r="J762" i="12" a="1"/>
  <c r="K762" i="12" a="1"/>
  <c r="H763" i="12"/>
  <c r="I763" i="12" a="1"/>
  <c r="J763" i="12" a="1"/>
  <c r="K763" i="12" a="1"/>
  <c r="H764" i="12"/>
  <c r="I764" i="12" a="1"/>
  <c r="J764" i="12" a="1"/>
  <c r="K764" i="12" a="1"/>
  <c r="H765" i="12"/>
  <c r="I765" i="12" a="1"/>
  <c r="J765" i="12" a="1"/>
  <c r="K765" i="12" a="1"/>
  <c r="H766" i="12"/>
  <c r="I766" i="12" a="1"/>
  <c r="J766" i="12" a="1"/>
  <c r="K766" i="12" a="1"/>
  <c r="H767" i="12"/>
  <c r="I767" i="12" a="1"/>
  <c r="J767" i="12" a="1"/>
  <c r="K767" i="12" a="1"/>
  <c r="H768" i="12"/>
  <c r="I768" i="12" a="1"/>
  <c r="J768" i="12" a="1"/>
  <c r="K768" i="12" a="1"/>
  <c r="H769" i="12"/>
  <c r="I769" i="12" a="1"/>
  <c r="J769" i="12" a="1"/>
  <c r="K769" i="12" a="1"/>
  <c r="H770" i="12"/>
  <c r="I770" i="12" a="1"/>
  <c r="J770" i="12" a="1"/>
  <c r="K770" i="12" a="1"/>
  <c r="H771" i="12"/>
  <c r="I771" i="12" a="1"/>
  <c r="J771" i="12" a="1"/>
  <c r="K771" i="12" a="1"/>
  <c r="H772" i="12"/>
  <c r="I772" i="12" a="1"/>
  <c r="J772" i="12" a="1"/>
  <c r="K772" i="12" a="1"/>
  <c r="H773" i="12"/>
  <c r="I773" i="12" a="1"/>
  <c r="J773" i="12" a="1"/>
  <c r="K773" i="12" a="1"/>
  <c r="H774" i="12"/>
  <c r="I774" i="12" a="1"/>
  <c r="J774" i="12" a="1"/>
  <c r="K774" i="12" a="1"/>
  <c r="H775" i="12"/>
  <c r="I775" i="12" a="1"/>
  <c r="J775" i="12" a="1"/>
  <c r="K775" i="12" a="1"/>
  <c r="H776" i="12"/>
  <c r="I776" i="12" a="1"/>
  <c r="J776" i="12" a="1"/>
  <c r="K776" i="12" a="1"/>
  <c r="H777" i="12"/>
  <c r="I777" i="12" a="1"/>
  <c r="J777" i="12" a="1"/>
  <c r="K777" i="12" a="1"/>
  <c r="H778" i="12"/>
  <c r="I778" i="12" a="1"/>
  <c r="J778" i="12" a="1"/>
  <c r="K778" i="12" a="1"/>
  <c r="H779" i="12"/>
  <c r="I779" i="12" a="1"/>
  <c r="J779" i="12" a="1"/>
  <c r="K779" i="12" a="1"/>
  <c r="H780" i="12"/>
  <c r="I780" i="12" a="1"/>
  <c r="J780" i="12" a="1"/>
  <c r="K780" i="12" a="1"/>
  <c r="H781" i="12"/>
  <c r="I781" i="12" a="1"/>
  <c r="J781" i="12" a="1"/>
  <c r="K781" i="12" a="1"/>
  <c r="H782" i="12"/>
  <c r="I782" i="12" a="1"/>
  <c r="J782" i="12" a="1"/>
  <c r="K782" i="12" a="1"/>
  <c r="H783" i="12"/>
  <c r="I783" i="12" a="1"/>
  <c r="J783" i="12" a="1"/>
  <c r="K783" i="12" a="1"/>
  <c r="H784" i="12"/>
  <c r="I784" i="12" a="1"/>
  <c r="J784" i="12" a="1"/>
  <c r="K784" i="12" a="1"/>
  <c r="H785" i="12"/>
  <c r="I785" i="12" a="1"/>
  <c r="J785" i="12" a="1"/>
  <c r="K785" i="12" a="1"/>
  <c r="H786" i="12"/>
  <c r="I786" i="12" a="1"/>
  <c r="J786" i="12" a="1"/>
  <c r="K786" i="12" a="1"/>
  <c r="H787" i="12"/>
  <c r="I787" i="12" a="1"/>
  <c r="J787" i="12" a="1"/>
  <c r="K787" i="12" a="1"/>
  <c r="H788" i="12"/>
  <c r="I788" i="12" a="1"/>
  <c r="J788" i="12" a="1"/>
  <c r="K788" i="12" a="1"/>
  <c r="H789" i="12"/>
  <c r="I789" i="12" a="1"/>
  <c r="J789" i="12" a="1"/>
  <c r="K789" i="12" a="1"/>
  <c r="H790" i="12"/>
  <c r="I790" i="12" a="1"/>
  <c r="J790" i="12" a="1"/>
  <c r="K790" i="12" a="1"/>
  <c r="H791" i="12"/>
  <c r="I791" i="12" a="1"/>
  <c r="J791" i="12" a="1"/>
  <c r="K791" i="12" a="1"/>
  <c r="H792" i="12"/>
  <c r="I792" i="12" a="1"/>
  <c r="J792" i="12" a="1"/>
  <c r="K792" i="12" a="1"/>
  <c r="H793" i="12"/>
  <c r="I793" i="12" a="1"/>
  <c r="J793" i="12" a="1"/>
  <c r="K793" i="12" a="1"/>
  <c r="H794" i="12"/>
  <c r="I794" i="12" a="1"/>
  <c r="J794" i="12" a="1"/>
  <c r="K794" i="12" a="1"/>
  <c r="H795" i="12"/>
  <c r="I795" i="12" a="1"/>
  <c r="J795" i="12" a="1"/>
  <c r="K795" i="12" a="1"/>
  <c r="H796" i="12"/>
  <c r="I796" i="12" a="1"/>
  <c r="J796" i="12" a="1"/>
  <c r="K796" i="12" a="1"/>
  <c r="H797" i="12"/>
  <c r="I797" i="12" a="1"/>
  <c r="J797" i="12" a="1"/>
  <c r="K797" i="12" a="1"/>
  <c r="H798" i="12"/>
  <c r="I798" i="12" a="1"/>
  <c r="J798" i="12" a="1"/>
  <c r="K798" i="12" a="1"/>
  <c r="H799" i="12"/>
  <c r="I799" i="12" a="1"/>
  <c r="J799" i="12" a="1"/>
  <c r="K799" i="12" a="1"/>
  <c r="H800" i="12"/>
  <c r="I800" i="12" a="1"/>
  <c r="J800" i="12" a="1"/>
  <c r="K800" i="12" a="1"/>
  <c r="H801" i="12"/>
  <c r="I801" i="12" a="1"/>
  <c r="J801" i="12" a="1"/>
  <c r="K801" i="12" a="1"/>
  <c r="H802" i="12"/>
  <c r="I802" i="12" a="1"/>
  <c r="J802" i="12" a="1"/>
  <c r="K802" i="12" a="1"/>
  <c r="H803" i="12"/>
  <c r="I803" i="12" a="1"/>
  <c r="J803" i="12" a="1"/>
  <c r="K803" i="12" a="1"/>
  <c r="H804" i="12"/>
  <c r="I804" i="12" a="1"/>
  <c r="J804" i="12" a="1"/>
  <c r="K804" i="12" a="1"/>
  <c r="H805" i="12"/>
  <c r="I805" i="12" a="1"/>
  <c r="J805" i="12" a="1"/>
  <c r="K805" i="12" a="1"/>
  <c r="H806" i="12"/>
  <c r="I806" i="12" a="1"/>
  <c r="J806" i="12" a="1"/>
  <c r="K806" i="12" a="1"/>
  <c r="H807" i="12"/>
  <c r="I807" i="12" a="1"/>
  <c r="J807" i="12" a="1"/>
  <c r="K807" i="12" a="1"/>
  <c r="H808" i="12"/>
  <c r="I808" i="12" a="1"/>
  <c r="J808" i="12" a="1"/>
  <c r="K808" i="12" a="1"/>
  <c r="H809" i="12"/>
  <c r="I809" i="12" a="1"/>
  <c r="J809" i="12" a="1"/>
  <c r="K809" i="12" a="1"/>
  <c r="H810" i="12"/>
  <c r="I810" i="12" a="1"/>
  <c r="J810" i="12" a="1"/>
  <c r="K810" i="12" a="1"/>
  <c r="H811" i="12"/>
  <c r="I811" i="12" a="1"/>
  <c r="J811" i="12" a="1"/>
  <c r="K811" i="12" a="1"/>
  <c r="H812" i="12"/>
  <c r="I812" i="12" a="1"/>
  <c r="J812" i="12" a="1"/>
  <c r="K812" i="12" a="1"/>
  <c r="H813" i="12"/>
  <c r="I813" i="12" a="1"/>
  <c r="J813" i="12" a="1"/>
  <c r="K813" i="12" a="1"/>
  <c r="H814" i="12"/>
  <c r="I814" i="12" a="1"/>
  <c r="J814" i="12" a="1"/>
  <c r="K814" i="12" a="1"/>
  <c r="H815" i="12"/>
  <c r="I815" i="12" a="1"/>
  <c r="J815" i="12" a="1"/>
  <c r="K815" i="12" a="1"/>
  <c r="H816" i="12"/>
  <c r="I816" i="12" a="1"/>
  <c r="J816" i="12" a="1"/>
  <c r="K816" i="12" a="1"/>
  <c r="H817" i="12"/>
  <c r="I817" i="12" a="1"/>
  <c r="J817" i="12" a="1"/>
  <c r="K817" i="12" a="1"/>
  <c r="H818" i="12"/>
  <c r="I818" i="12" a="1"/>
  <c r="J818" i="12" a="1"/>
  <c r="K818" i="12" a="1"/>
  <c r="H819" i="12"/>
  <c r="I819" i="12" a="1"/>
  <c r="J819" i="12" a="1"/>
  <c r="K819" i="12" a="1"/>
  <c r="H820" i="12"/>
  <c r="I820" i="12" a="1"/>
  <c r="J820" i="12" a="1"/>
  <c r="K820" i="12" a="1"/>
  <c r="H821" i="12"/>
  <c r="I821" i="12" a="1"/>
  <c r="J821" i="12" a="1"/>
  <c r="K821" i="12" a="1"/>
  <c r="H822" i="12"/>
  <c r="I822" i="12" a="1"/>
  <c r="J822" i="12" a="1"/>
  <c r="K822" i="12" a="1"/>
  <c r="H823" i="12"/>
  <c r="I823" i="12" a="1"/>
  <c r="J823" i="12" a="1"/>
  <c r="K823" i="12" a="1"/>
  <c r="H824" i="12"/>
  <c r="I824" i="12" a="1"/>
  <c r="J824" i="12" a="1"/>
  <c r="K824" i="12" a="1"/>
  <c r="H825" i="12"/>
  <c r="I825" i="12" a="1"/>
  <c r="J825" i="12" a="1"/>
  <c r="K825" i="12" a="1"/>
  <c r="H826" i="12"/>
  <c r="I826" i="12" a="1"/>
  <c r="J826" i="12" a="1"/>
  <c r="K826" i="12" a="1"/>
  <c r="H827" i="12"/>
  <c r="I827" i="12" a="1"/>
  <c r="J827" i="12" a="1"/>
  <c r="K827" i="12" a="1"/>
  <c r="H828" i="12"/>
  <c r="I828" i="12" a="1"/>
  <c r="J828" i="12" a="1"/>
  <c r="K828" i="12" a="1"/>
  <c r="H829" i="12"/>
  <c r="I829" i="12" a="1"/>
  <c r="J829" i="12" a="1"/>
  <c r="K829" i="12" a="1"/>
  <c r="D45" i="9"/>
  <c r="W45" i="9"/>
  <c r="D45" i="8"/>
  <c r="D45" i="7"/>
  <c r="Z45" i="7" a="1"/>
  <c r="AA45" i="7" a="1"/>
  <c r="AB45" i="7" a="1"/>
  <c r="D45" i="5"/>
  <c r="Z45" i="5" a="1"/>
  <c r="AA45" i="5" a="1"/>
  <c r="AB45" i="5" a="1"/>
  <c r="F15" i="2"/>
  <c r="D44" i="9"/>
  <c r="W44" i="9"/>
  <c r="D44" i="8"/>
  <c r="D44" i="7"/>
  <c r="Z44" i="7" a="1"/>
  <c r="AA44" i="7" a="1"/>
  <c r="AB44" i="7" a="1"/>
  <c r="D44" i="5"/>
  <c r="Z44" i="5" a="1"/>
  <c r="AA44" i="5" a="1"/>
  <c r="AB44" i="5" a="1"/>
  <c r="H740" i="12"/>
  <c r="I740" i="12" a="1"/>
  <c r="J740" i="12" a="1"/>
  <c r="K740" i="12" a="1"/>
  <c r="H741" i="12"/>
  <c r="I741" i="12" a="1"/>
  <c r="J741" i="12" a="1"/>
  <c r="K741" i="12" a="1"/>
  <c r="H742" i="12"/>
  <c r="I742" i="12" a="1"/>
  <c r="J742" i="12" a="1"/>
  <c r="K742" i="12" a="1"/>
  <c r="H743" i="12"/>
  <c r="I743" i="12" a="1"/>
  <c r="J743" i="12" a="1"/>
  <c r="K743" i="12" a="1"/>
  <c r="H744" i="12"/>
  <c r="I744" i="12" a="1"/>
  <c r="J744" i="12" a="1"/>
  <c r="K744" i="12" a="1"/>
  <c r="H745" i="12"/>
  <c r="I745" i="12" a="1"/>
  <c r="J745" i="12" a="1"/>
  <c r="K745" i="12" a="1"/>
  <c r="H746" i="12"/>
  <c r="I746" i="12" a="1"/>
  <c r="J746" i="12" a="1"/>
  <c r="K746" i="12" a="1"/>
  <c r="H747" i="12"/>
  <c r="I747" i="12" a="1"/>
  <c r="J747" i="12" a="1"/>
  <c r="K747" i="12" a="1"/>
  <c r="H748" i="12"/>
  <c r="I748" i="12" a="1"/>
  <c r="J748" i="12" a="1"/>
  <c r="K748" i="12" a="1"/>
  <c r="H749" i="12"/>
  <c r="I749" i="12" a="1"/>
  <c r="J749" i="12" a="1"/>
  <c r="K749" i="12" a="1"/>
  <c r="H750" i="12"/>
  <c r="I750" i="12" a="1"/>
  <c r="J750" i="12" a="1"/>
  <c r="K750" i="12" a="1"/>
  <c r="H751" i="12"/>
  <c r="I751" i="12" a="1"/>
  <c r="J751" i="12" a="1"/>
  <c r="K751" i="12" a="1"/>
  <c r="H752" i="12"/>
  <c r="I752" i="12" a="1"/>
  <c r="J752" i="12" a="1"/>
  <c r="K752" i="12" a="1"/>
  <c r="H753" i="12"/>
  <c r="I753" i="12" a="1"/>
  <c r="J753" i="12" a="1"/>
  <c r="K753" i="12" a="1"/>
  <c r="H754" i="12"/>
  <c r="I754" i="12" a="1"/>
  <c r="J754" i="12" a="1"/>
  <c r="K754" i="12" a="1"/>
  <c r="H755" i="12"/>
  <c r="I755" i="12" a="1"/>
  <c r="J755" i="12" a="1"/>
  <c r="K755" i="12" a="1"/>
  <c r="H756" i="12"/>
  <c r="I756" i="12" a="1"/>
  <c r="J756" i="12" a="1"/>
  <c r="K756" i="12" a="1"/>
  <c r="H757" i="12"/>
  <c r="I757" i="12" a="1"/>
  <c r="J757" i="12" a="1"/>
  <c r="K757" i="12" a="1"/>
  <c r="F70" i="4" a="1"/>
  <c r="G70" i="4" a="1"/>
  <c r="F7" i="2"/>
  <c r="D43" i="9"/>
  <c r="W43" i="9" s="1"/>
  <c r="D43" i="8"/>
  <c r="D43" i="7"/>
  <c r="Z43" i="7" a="1"/>
  <c r="AA43" i="7" a="1"/>
  <c r="AB43" i="7" a="1"/>
  <c r="D43" i="5"/>
  <c r="Z43" i="5" a="1"/>
  <c r="AA43" i="5" a="1"/>
  <c r="AB43" i="5" a="1"/>
  <c r="H722" i="12"/>
  <c r="I722" i="12" a="1"/>
  <c r="J722" i="12" a="1"/>
  <c r="K722" i="12" a="1"/>
  <c r="H723" i="12"/>
  <c r="I723" i="12" a="1"/>
  <c r="J723" i="12" a="1"/>
  <c r="K723" i="12" a="1"/>
  <c r="H724" i="12"/>
  <c r="I724" i="12" a="1"/>
  <c r="J724" i="12" a="1"/>
  <c r="K724" i="12" a="1"/>
  <c r="H725" i="12"/>
  <c r="I725" i="12" a="1"/>
  <c r="J725" i="12" a="1"/>
  <c r="K725" i="12" a="1"/>
  <c r="H726" i="12"/>
  <c r="I726" i="12" a="1"/>
  <c r="J726" i="12" a="1"/>
  <c r="K726" i="12" a="1"/>
  <c r="H727" i="12"/>
  <c r="I727" i="12" a="1"/>
  <c r="J727" i="12" a="1"/>
  <c r="K727" i="12" a="1"/>
  <c r="H728" i="12"/>
  <c r="I728" i="12" a="1"/>
  <c r="J728" i="12" a="1"/>
  <c r="K728" i="12" a="1"/>
  <c r="H729" i="12"/>
  <c r="I729" i="12" a="1"/>
  <c r="J729" i="12" a="1"/>
  <c r="K729" i="12" a="1"/>
  <c r="H730" i="12"/>
  <c r="I730" i="12" a="1"/>
  <c r="J730" i="12" a="1"/>
  <c r="K730" i="12" a="1"/>
  <c r="H731" i="12"/>
  <c r="I731" i="12" a="1"/>
  <c r="J731" i="12" a="1"/>
  <c r="K731" i="12" a="1"/>
  <c r="H732" i="12"/>
  <c r="I732" i="12" a="1"/>
  <c r="J732" i="12" a="1"/>
  <c r="K732" i="12" a="1"/>
  <c r="H733" i="12"/>
  <c r="I733" i="12" a="1"/>
  <c r="J733" i="12" a="1"/>
  <c r="K733" i="12" a="1"/>
  <c r="H734" i="12"/>
  <c r="I734" i="12" a="1"/>
  <c r="J734" i="12" a="1"/>
  <c r="K734" i="12" a="1"/>
  <c r="H735" i="12"/>
  <c r="I735" i="12" a="1"/>
  <c r="J735" i="12" a="1"/>
  <c r="K735" i="12" a="1"/>
  <c r="H736" i="12"/>
  <c r="I736" i="12" a="1"/>
  <c r="J736" i="12" a="1"/>
  <c r="K736" i="12" a="1"/>
  <c r="H737" i="12"/>
  <c r="I737" i="12" a="1"/>
  <c r="J737" i="12" a="1"/>
  <c r="K737" i="12" a="1"/>
  <c r="H738" i="12"/>
  <c r="I738" i="12" a="1"/>
  <c r="J738" i="12" a="1"/>
  <c r="K738" i="12" a="1"/>
  <c r="H739" i="12"/>
  <c r="I739" i="12" a="1"/>
  <c r="J739" i="12" a="1"/>
  <c r="K739" i="12" a="1"/>
  <c r="F40" i="4" a="1"/>
  <c r="G40" i="4" a="1"/>
  <c r="F4" i="2"/>
  <c r="D42" i="9"/>
  <c r="W42" i="9"/>
  <c r="D42" i="8"/>
  <c r="D42" i="7"/>
  <c r="Z42" i="7" a="1"/>
  <c r="AA42" i="7" a="1"/>
  <c r="AB42" i="7" a="1"/>
  <c r="D42" i="5"/>
  <c r="Z42" i="5" a="1"/>
  <c r="AA42" i="5" a="1"/>
  <c r="AB42" i="5" a="1"/>
  <c r="H704" i="12"/>
  <c r="I704" i="12" a="1"/>
  <c r="J704" i="12" a="1"/>
  <c r="K704" i="12" a="1"/>
  <c r="H705" i="12"/>
  <c r="I705" i="12" a="1"/>
  <c r="J705" i="12" a="1"/>
  <c r="K705" i="12" a="1"/>
  <c r="H706" i="12"/>
  <c r="I706" i="12" a="1"/>
  <c r="J706" i="12" a="1"/>
  <c r="K706" i="12" a="1"/>
  <c r="H707" i="12"/>
  <c r="I707" i="12" a="1"/>
  <c r="J707" i="12" a="1"/>
  <c r="K707" i="12" a="1"/>
  <c r="H708" i="12"/>
  <c r="I708" i="12" a="1"/>
  <c r="J708" i="12" a="1"/>
  <c r="K708" i="12" a="1"/>
  <c r="H709" i="12"/>
  <c r="I709" i="12" a="1"/>
  <c r="J709" i="12" a="1"/>
  <c r="K709" i="12" a="1"/>
  <c r="H710" i="12"/>
  <c r="I710" i="12" a="1"/>
  <c r="J710" i="12" a="1"/>
  <c r="K710" i="12" a="1"/>
  <c r="H711" i="12"/>
  <c r="I711" i="12" a="1"/>
  <c r="J711" i="12" a="1"/>
  <c r="K711" i="12" a="1"/>
  <c r="H712" i="12"/>
  <c r="I712" i="12" a="1"/>
  <c r="J712" i="12" a="1"/>
  <c r="K712" i="12" a="1"/>
  <c r="H713" i="12"/>
  <c r="I713" i="12" a="1"/>
  <c r="J713" i="12" a="1"/>
  <c r="K713" i="12" a="1"/>
  <c r="H714" i="12"/>
  <c r="I714" i="12" a="1"/>
  <c r="J714" i="12" a="1"/>
  <c r="K714" i="12" a="1"/>
  <c r="H715" i="12"/>
  <c r="I715" i="12" a="1"/>
  <c r="J715" i="12" a="1"/>
  <c r="K715" i="12" a="1"/>
  <c r="H716" i="12"/>
  <c r="I716" i="12" a="1"/>
  <c r="J716" i="12" a="1"/>
  <c r="K716" i="12" a="1"/>
  <c r="H717" i="12"/>
  <c r="I717" i="12" a="1"/>
  <c r="J717" i="12" a="1"/>
  <c r="K717" i="12" a="1"/>
  <c r="H718" i="12"/>
  <c r="I718" i="12" a="1"/>
  <c r="J718" i="12" a="1"/>
  <c r="K718" i="12" a="1"/>
  <c r="H719" i="12"/>
  <c r="I719" i="12" a="1"/>
  <c r="J719" i="12" a="1"/>
  <c r="K719" i="12" a="1"/>
  <c r="H720" i="12"/>
  <c r="I720" i="12" a="1"/>
  <c r="J720" i="12" a="1"/>
  <c r="K720" i="12" a="1"/>
  <c r="H721" i="12"/>
  <c r="I721" i="12" a="1"/>
  <c r="J721" i="12" a="1"/>
  <c r="K721" i="12" a="1"/>
  <c r="F59" i="4" a="1"/>
  <c r="G59" i="4" a="1"/>
  <c r="F6" i="2"/>
  <c r="D41" i="9"/>
  <c r="W41" i="9" s="1"/>
  <c r="D41" i="8"/>
  <c r="D41" i="7"/>
  <c r="Z41" i="7" a="1"/>
  <c r="AA41" i="7" a="1"/>
  <c r="AB41" i="7" a="1"/>
  <c r="D39" i="5"/>
  <c r="D41" i="5"/>
  <c r="Z41" i="5" a="1"/>
  <c r="AA41" i="5" a="1"/>
  <c r="AB41" i="5" a="1"/>
  <c r="H686" i="12"/>
  <c r="I686" i="12" a="1"/>
  <c r="J686" i="12" a="1"/>
  <c r="K686" i="12" a="1"/>
  <c r="H687" i="12"/>
  <c r="I687" i="12" a="1"/>
  <c r="J687" i="12" a="1"/>
  <c r="K687" i="12" a="1"/>
  <c r="H688" i="12"/>
  <c r="I688" i="12" a="1"/>
  <c r="J688" i="12" a="1"/>
  <c r="K688" i="12" a="1"/>
  <c r="H689" i="12"/>
  <c r="I689" i="12" a="1"/>
  <c r="J689" i="12" a="1"/>
  <c r="K689" i="12" a="1"/>
  <c r="H690" i="12"/>
  <c r="I690" i="12" a="1"/>
  <c r="J690" i="12" a="1"/>
  <c r="K690" i="12" a="1"/>
  <c r="H691" i="12"/>
  <c r="I691" i="12" a="1"/>
  <c r="J691" i="12" a="1"/>
  <c r="K691" i="12" a="1"/>
  <c r="H692" i="12"/>
  <c r="I692" i="12" a="1"/>
  <c r="J692" i="12" a="1"/>
  <c r="K692" i="12" a="1"/>
  <c r="H693" i="12"/>
  <c r="I693" i="12" a="1"/>
  <c r="J693" i="12" a="1"/>
  <c r="K693" i="12" a="1"/>
  <c r="H694" i="12"/>
  <c r="I694" i="12" a="1"/>
  <c r="J694" i="12" a="1"/>
  <c r="K694" i="12" a="1"/>
  <c r="H695" i="12"/>
  <c r="I695" i="12" a="1"/>
  <c r="J695" i="12" a="1"/>
  <c r="K695" i="12" a="1"/>
  <c r="H696" i="12"/>
  <c r="I696" i="12" a="1"/>
  <c r="J696" i="12" a="1"/>
  <c r="K696" i="12" a="1"/>
  <c r="H697" i="12"/>
  <c r="I697" i="12" a="1"/>
  <c r="J697" i="12" a="1"/>
  <c r="K697" i="12" a="1"/>
  <c r="H698" i="12"/>
  <c r="I698" i="12" a="1"/>
  <c r="J698" i="12" a="1"/>
  <c r="K698" i="12" a="1"/>
  <c r="H699" i="12"/>
  <c r="I699" i="12" a="1"/>
  <c r="J699" i="12" a="1"/>
  <c r="K699" i="12" a="1"/>
  <c r="H700" i="12"/>
  <c r="I700" i="12" a="1"/>
  <c r="J700" i="12" a="1"/>
  <c r="K700" i="12" a="1"/>
  <c r="H701" i="12"/>
  <c r="I701" i="12" a="1"/>
  <c r="J701" i="12" a="1"/>
  <c r="K701" i="12" a="1"/>
  <c r="H702" i="12"/>
  <c r="I702" i="12" a="1"/>
  <c r="J702" i="12" a="1"/>
  <c r="K702" i="12" a="1"/>
  <c r="H703" i="12"/>
  <c r="I703" i="12" a="1"/>
  <c r="J703" i="12" a="1"/>
  <c r="K703" i="12" a="1"/>
  <c r="F24" i="4" a="1"/>
  <c r="H24" i="4" s="1"/>
  <c r="G24" i="4" a="1"/>
  <c r="F8" i="2"/>
  <c r="D40" i="9"/>
  <c r="W40" i="9"/>
  <c r="D40" i="8"/>
  <c r="D40" i="7"/>
  <c r="Z40" i="7" a="1"/>
  <c r="AA40" i="7" a="1"/>
  <c r="AB40" i="7" a="1"/>
  <c r="D40" i="5"/>
  <c r="Z40" i="5" a="1"/>
  <c r="AA40" i="5" a="1"/>
  <c r="AB40" i="5" a="1"/>
  <c r="H668" i="12"/>
  <c r="I668" i="12" a="1"/>
  <c r="J668" i="12" a="1"/>
  <c r="K668" i="12" a="1"/>
  <c r="H669" i="12"/>
  <c r="I669" i="12" a="1"/>
  <c r="J669" i="12" a="1"/>
  <c r="K669" i="12" a="1"/>
  <c r="H670" i="12"/>
  <c r="I670" i="12" a="1"/>
  <c r="J670" i="12" a="1"/>
  <c r="K670" i="12" a="1"/>
  <c r="H671" i="12"/>
  <c r="I671" i="12" a="1"/>
  <c r="J671" i="12" a="1"/>
  <c r="K671" i="12" a="1"/>
  <c r="H672" i="12"/>
  <c r="I672" i="12" a="1"/>
  <c r="J672" i="12" a="1"/>
  <c r="K672" i="12" a="1"/>
  <c r="H673" i="12"/>
  <c r="I673" i="12" a="1"/>
  <c r="J673" i="12" a="1"/>
  <c r="K673" i="12" a="1"/>
  <c r="H674" i="12"/>
  <c r="I674" i="12" a="1"/>
  <c r="J674" i="12" a="1"/>
  <c r="K674" i="12" a="1"/>
  <c r="H675" i="12"/>
  <c r="I675" i="12" a="1"/>
  <c r="J675" i="12" a="1"/>
  <c r="K675" i="12" a="1"/>
  <c r="H676" i="12"/>
  <c r="I676" i="12" a="1"/>
  <c r="J676" i="12" a="1"/>
  <c r="K676" i="12" a="1"/>
  <c r="H677" i="12"/>
  <c r="I677" i="12" a="1"/>
  <c r="J677" i="12" a="1"/>
  <c r="K677" i="12" a="1"/>
  <c r="H678" i="12"/>
  <c r="I678" i="12" a="1"/>
  <c r="J678" i="12" a="1"/>
  <c r="K678" i="12" a="1"/>
  <c r="H679" i="12"/>
  <c r="I679" i="12" a="1"/>
  <c r="J679" i="12" a="1"/>
  <c r="K679" i="12" a="1"/>
  <c r="H680" i="12"/>
  <c r="I680" i="12" a="1"/>
  <c r="J680" i="12" a="1"/>
  <c r="K680" i="12" a="1"/>
  <c r="H681" i="12"/>
  <c r="I681" i="12" a="1"/>
  <c r="J681" i="12" a="1"/>
  <c r="K681" i="12" a="1"/>
  <c r="H682" i="12"/>
  <c r="I682" i="12" a="1"/>
  <c r="J682" i="12" a="1"/>
  <c r="K682" i="12" a="1"/>
  <c r="H683" i="12"/>
  <c r="I683" i="12" a="1"/>
  <c r="J683" i="12" a="1"/>
  <c r="K683" i="12" a="1"/>
  <c r="H684" i="12"/>
  <c r="I684" i="12" a="1"/>
  <c r="J684" i="12" a="1"/>
  <c r="K684" i="12" a="1"/>
  <c r="H685" i="12"/>
  <c r="I685" i="12" a="1"/>
  <c r="J685" i="12" a="1"/>
  <c r="K685" i="12" a="1"/>
  <c r="F21" i="6"/>
  <c r="F20" i="4" a="1"/>
  <c r="G20" i="4" a="1"/>
  <c r="F10" i="2"/>
  <c r="J650" i="12" a="1"/>
  <c r="K650" i="12" a="1"/>
  <c r="J651" i="12" a="1"/>
  <c r="K651" i="12" a="1"/>
  <c r="J652" i="12" a="1"/>
  <c r="K652" i="12" a="1"/>
  <c r="J653" i="12" a="1"/>
  <c r="K653" i="12" a="1"/>
  <c r="J654" i="12" a="1"/>
  <c r="K654" i="12" a="1"/>
  <c r="J655" i="12" a="1"/>
  <c r="K655" i="12" a="1"/>
  <c r="J656" i="12" a="1"/>
  <c r="K656" i="12" a="1"/>
  <c r="J657" i="12" a="1"/>
  <c r="K657" i="12" a="1"/>
  <c r="J658" i="12" a="1"/>
  <c r="K658" i="12" a="1"/>
  <c r="J659" i="12" a="1"/>
  <c r="K659" i="12" a="1"/>
  <c r="J660" i="12" a="1"/>
  <c r="K660" i="12" a="1"/>
  <c r="J661" i="12" a="1"/>
  <c r="K661" i="12" a="1"/>
  <c r="J662" i="12" a="1"/>
  <c r="K662" i="12" a="1"/>
  <c r="J663" i="12" a="1"/>
  <c r="K663" i="12" a="1"/>
  <c r="J664" i="12" a="1"/>
  <c r="K664" i="12" a="1"/>
  <c r="J665" i="12" a="1"/>
  <c r="K665" i="12" a="1"/>
  <c r="J666" i="12" a="1"/>
  <c r="K666" i="12" a="1"/>
  <c r="J667" i="12" a="1"/>
  <c r="K667" i="12" a="1"/>
  <c r="I650" i="12" a="1"/>
  <c r="I651" i="12" a="1"/>
  <c r="I652" i="12" a="1"/>
  <c r="I653" i="12" a="1"/>
  <c r="I654" i="12" a="1"/>
  <c r="I655" i="12" a="1"/>
  <c r="I656" i="12" a="1"/>
  <c r="I657" i="12" a="1"/>
  <c r="I658" i="12" a="1"/>
  <c r="I659" i="12" a="1"/>
  <c r="I660" i="12" a="1"/>
  <c r="I661" i="12" a="1"/>
  <c r="I662" i="12" a="1"/>
  <c r="I663" i="12" a="1"/>
  <c r="I664" i="12" a="1"/>
  <c r="I665" i="12" a="1"/>
  <c r="I666" i="12" a="1"/>
  <c r="I667" i="12" a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G6" i="4" a="1"/>
  <c r="F12" i="2"/>
  <c r="D39" i="9"/>
  <c r="W39" i="9"/>
  <c r="D39" i="8"/>
  <c r="D39" i="7"/>
  <c r="Z39" i="7" a="1"/>
  <c r="AA39" i="7" a="1"/>
  <c r="AB39" i="7" a="1"/>
  <c r="Z39" i="5" a="1"/>
  <c r="AA39" i="5" a="1"/>
  <c r="AB39" i="5" a="1"/>
  <c r="D38" i="9"/>
  <c r="W38" i="9"/>
  <c r="D38" i="8"/>
  <c r="D38" i="7"/>
  <c r="Z38" i="7" a="1"/>
  <c r="AA38" i="7" a="1"/>
  <c r="AB38" i="7" a="1"/>
  <c r="D38" i="5"/>
  <c r="Z38" i="5" a="1"/>
  <c r="AA38" i="5" a="1"/>
  <c r="AB38" i="5" a="1"/>
  <c r="I632" i="12" a="1"/>
  <c r="J632" i="12" a="1"/>
  <c r="K632" i="12" a="1"/>
  <c r="I633" i="12" a="1"/>
  <c r="J633" i="12" a="1"/>
  <c r="K633" i="12" a="1"/>
  <c r="I634" i="12" a="1"/>
  <c r="J634" i="12" a="1"/>
  <c r="K634" i="12" a="1"/>
  <c r="I635" i="12" a="1"/>
  <c r="J635" i="12" a="1"/>
  <c r="K635" i="12" a="1"/>
  <c r="I636" i="12" a="1"/>
  <c r="J636" i="12" a="1"/>
  <c r="K636" i="12" a="1"/>
  <c r="I637" i="12" a="1"/>
  <c r="J637" i="12" a="1"/>
  <c r="K637" i="12" a="1"/>
  <c r="I638" i="12" a="1"/>
  <c r="J638" i="12" a="1"/>
  <c r="K638" i="12" a="1"/>
  <c r="I639" i="12" a="1"/>
  <c r="J639" i="12" a="1"/>
  <c r="K639" i="12" a="1"/>
  <c r="I640" i="12" a="1"/>
  <c r="J640" i="12" a="1"/>
  <c r="K640" i="12" a="1"/>
  <c r="I641" i="12" a="1"/>
  <c r="J641" i="12" a="1"/>
  <c r="K641" i="12" a="1"/>
  <c r="I642" i="12" a="1"/>
  <c r="J642" i="12" a="1"/>
  <c r="K642" i="12" a="1"/>
  <c r="I643" i="12" a="1"/>
  <c r="J643" i="12" a="1"/>
  <c r="K643" i="12" a="1"/>
  <c r="I644" i="12" a="1"/>
  <c r="J644" i="12" a="1"/>
  <c r="K644" i="12" a="1"/>
  <c r="I645" i="12" a="1"/>
  <c r="J645" i="12" a="1"/>
  <c r="K645" i="12" a="1"/>
  <c r="I646" i="12" a="1"/>
  <c r="J646" i="12" a="1"/>
  <c r="K646" i="12" a="1"/>
  <c r="I647" i="12" a="1"/>
  <c r="J647" i="12" a="1"/>
  <c r="K647" i="12" a="1"/>
  <c r="I648" i="12" a="1"/>
  <c r="J648" i="12" a="1"/>
  <c r="K648" i="12" a="1"/>
  <c r="I649" i="12" a="1"/>
  <c r="J649" i="12" a="1"/>
  <c r="K649" i="12" a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H5" i="4" s="1"/>
  <c r="G5" i="4" a="1"/>
  <c r="F13" i="2"/>
  <c r="D37" i="9"/>
  <c r="W37" i="9"/>
  <c r="D37" i="8"/>
  <c r="D37" i="7"/>
  <c r="Z37" i="7" a="1"/>
  <c r="AA37" i="7" a="1"/>
  <c r="AB37" i="7" a="1"/>
  <c r="D37" i="5"/>
  <c r="Z37" i="5" a="1"/>
  <c r="AA37" i="5" a="1"/>
  <c r="AB37" i="5" a="1"/>
  <c r="K614" i="12" a="1"/>
  <c r="K615" i="12" a="1"/>
  <c r="K616" i="12" a="1"/>
  <c r="K617" i="12" a="1"/>
  <c r="K618" i="12" a="1"/>
  <c r="K619" i="12" a="1"/>
  <c r="K620" i="12" a="1"/>
  <c r="K621" i="12" a="1"/>
  <c r="K622" i="12" a="1"/>
  <c r="K623" i="12" a="1"/>
  <c r="K624" i="12" a="1"/>
  <c r="K625" i="12" a="1"/>
  <c r="K626" i="12" a="1"/>
  <c r="K627" i="12" a="1"/>
  <c r="K628" i="12" a="1"/>
  <c r="K629" i="12" a="1"/>
  <c r="K630" i="12" a="1"/>
  <c r="K631" i="12" a="1"/>
  <c r="J614" i="12" a="1"/>
  <c r="J615" i="12" a="1"/>
  <c r="J616" i="12" a="1"/>
  <c r="J617" i="12" a="1"/>
  <c r="J618" i="12" a="1"/>
  <c r="J619" i="12" a="1"/>
  <c r="J620" i="12" a="1"/>
  <c r="J621" i="12" a="1"/>
  <c r="J622" i="12" a="1"/>
  <c r="J623" i="12" a="1"/>
  <c r="J624" i="12" a="1"/>
  <c r="J625" i="12" a="1"/>
  <c r="J626" i="12" a="1"/>
  <c r="J627" i="12" a="1"/>
  <c r="J628" i="12" a="1"/>
  <c r="J629" i="12" a="1"/>
  <c r="J630" i="12" a="1"/>
  <c r="J631" i="12" a="1"/>
  <c r="I614" i="12" a="1"/>
  <c r="I615" i="12" a="1"/>
  <c r="I616" i="12" a="1"/>
  <c r="I617" i="12" a="1"/>
  <c r="I618" i="12" a="1"/>
  <c r="I619" i="12" a="1"/>
  <c r="I620" i="12" a="1"/>
  <c r="I621" i="12" a="1"/>
  <c r="I622" i="12" a="1"/>
  <c r="I623" i="12" a="1"/>
  <c r="I624" i="12" a="1"/>
  <c r="I625" i="12" a="1"/>
  <c r="I626" i="12" a="1"/>
  <c r="I627" i="12" a="1"/>
  <c r="I628" i="12" a="1"/>
  <c r="I629" i="12" a="1"/>
  <c r="I630" i="12" a="1"/>
  <c r="I631" i="12" a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G15" i="4" a="1"/>
  <c r="F16" i="2"/>
  <c r="D36" i="9"/>
  <c r="W36" i="9" s="1"/>
  <c r="D36" i="8"/>
  <c r="D36" i="7"/>
  <c r="Z36" i="7" a="1"/>
  <c r="AA36" i="7" a="1"/>
  <c r="AB36" i="7" a="1"/>
  <c r="D36" i="5"/>
  <c r="Z36" i="5" a="1"/>
  <c r="AA36" i="5" a="1"/>
  <c r="AB36" i="5" a="1"/>
  <c r="J596" i="12" a="1"/>
  <c r="K596" i="12" a="1"/>
  <c r="J597" i="12" a="1"/>
  <c r="K597" i="12" a="1"/>
  <c r="J598" i="12" a="1"/>
  <c r="K598" i="12" a="1"/>
  <c r="J599" i="12" a="1"/>
  <c r="K599" i="12" a="1"/>
  <c r="J600" i="12" a="1"/>
  <c r="K600" i="12" a="1"/>
  <c r="J601" i="12" a="1"/>
  <c r="K601" i="12" a="1"/>
  <c r="J602" i="12" a="1"/>
  <c r="K602" i="12" a="1"/>
  <c r="J603" i="12" a="1"/>
  <c r="K603" i="12" a="1"/>
  <c r="J604" i="12" a="1"/>
  <c r="K604" i="12" a="1"/>
  <c r="J605" i="12" a="1"/>
  <c r="K605" i="12" a="1"/>
  <c r="J606" i="12" a="1"/>
  <c r="K606" i="12" a="1"/>
  <c r="J607" i="12" a="1"/>
  <c r="K607" i="12" a="1"/>
  <c r="J608" i="12" a="1"/>
  <c r="K608" i="12" a="1"/>
  <c r="J609" i="12" a="1"/>
  <c r="K609" i="12" a="1"/>
  <c r="J610" i="12" a="1"/>
  <c r="K610" i="12" a="1"/>
  <c r="J611" i="12" a="1"/>
  <c r="K611" i="12" a="1"/>
  <c r="J612" i="12" a="1"/>
  <c r="K612" i="12" a="1"/>
  <c r="J613" i="12" a="1"/>
  <c r="K613" i="12" a="1"/>
  <c r="I596" i="12" a="1"/>
  <c r="I597" i="12" a="1"/>
  <c r="I598" i="12" a="1"/>
  <c r="I599" i="12" a="1"/>
  <c r="I600" i="12" a="1"/>
  <c r="I601" i="12" a="1"/>
  <c r="I602" i="12" a="1"/>
  <c r="I603" i="12" a="1"/>
  <c r="I604" i="12" a="1"/>
  <c r="I605" i="12" a="1"/>
  <c r="I606" i="12" a="1"/>
  <c r="I607" i="12" a="1"/>
  <c r="I608" i="12" a="1"/>
  <c r="I609" i="12" a="1"/>
  <c r="I610" i="12" a="1"/>
  <c r="I611" i="12" a="1"/>
  <c r="I612" i="12" a="1"/>
  <c r="I613" i="12" a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G4" i="4" a="1"/>
  <c r="F18" i="2"/>
  <c r="K578" i="12" a="1"/>
  <c r="K579" i="12" a="1"/>
  <c r="K580" i="12" a="1"/>
  <c r="K581" i="12" a="1"/>
  <c r="K582" i="12" a="1"/>
  <c r="K583" i="12" a="1"/>
  <c r="K584" i="12" a="1"/>
  <c r="K585" i="12" a="1"/>
  <c r="K586" i="12" a="1"/>
  <c r="K587" i="12" a="1"/>
  <c r="K588" i="12" a="1"/>
  <c r="K589" i="12" a="1"/>
  <c r="K590" i="12" a="1"/>
  <c r="K591" i="12" a="1"/>
  <c r="K592" i="12" a="1"/>
  <c r="K593" i="12" a="1"/>
  <c r="K594" i="12" a="1"/>
  <c r="K595" i="12" a="1"/>
  <c r="J578" i="12" a="1"/>
  <c r="J579" i="12" a="1"/>
  <c r="J580" i="12" a="1"/>
  <c r="J581" i="12" a="1"/>
  <c r="J582" i="12" a="1"/>
  <c r="J583" i="12" a="1"/>
  <c r="J584" i="12" a="1"/>
  <c r="J585" i="12" a="1"/>
  <c r="J586" i="12" a="1"/>
  <c r="J587" i="12" a="1"/>
  <c r="J588" i="12" a="1"/>
  <c r="J589" i="12" a="1"/>
  <c r="J590" i="12" a="1"/>
  <c r="J591" i="12" a="1"/>
  <c r="J592" i="12" a="1"/>
  <c r="J593" i="12" a="1"/>
  <c r="J594" i="12" a="1"/>
  <c r="J595" i="12" a="1"/>
  <c r="I578" i="12" a="1"/>
  <c r="I579" i="12" a="1"/>
  <c r="I580" i="12" a="1"/>
  <c r="I581" i="12" a="1"/>
  <c r="I582" i="12" a="1"/>
  <c r="I583" i="12" a="1"/>
  <c r="I584" i="12" a="1"/>
  <c r="I585" i="12" a="1"/>
  <c r="I586" i="12" a="1"/>
  <c r="I587" i="12" a="1"/>
  <c r="I588" i="12" a="1"/>
  <c r="I589" i="12" a="1"/>
  <c r="I590" i="12" a="1"/>
  <c r="I591" i="12" a="1"/>
  <c r="I592" i="12" a="1"/>
  <c r="I593" i="12" a="1"/>
  <c r="I594" i="12" a="1"/>
  <c r="I595" i="12" a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AA35" i="7" a="1"/>
  <c r="AB35" i="7" a="1"/>
  <c r="D35" i="5"/>
  <c r="Z35" i="5" a="1"/>
  <c r="AA35" i="5" a="1"/>
  <c r="AB35" i="5" a="1"/>
  <c r="F20" i="6"/>
  <c r="F10" i="4" a="1"/>
  <c r="H10" i="4" s="1"/>
  <c r="G10" i="4" a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J470" i="12" a="1"/>
  <c r="K470" i="12" a="1"/>
  <c r="I471" i="12" a="1"/>
  <c r="J471" i="12" a="1"/>
  <c r="K471" i="12" a="1"/>
  <c r="I472" i="12" a="1"/>
  <c r="J472" i="12" a="1"/>
  <c r="K472" i="12" a="1"/>
  <c r="I473" i="12" a="1"/>
  <c r="J473" i="12" a="1"/>
  <c r="K473" i="12" a="1"/>
  <c r="I474" i="12" a="1"/>
  <c r="J474" i="12" a="1"/>
  <c r="K474" i="12" a="1"/>
  <c r="I475" i="12" a="1"/>
  <c r="J475" i="12" a="1"/>
  <c r="K475" i="12" a="1"/>
  <c r="I476" i="12" a="1"/>
  <c r="J476" i="12" a="1"/>
  <c r="K476" i="12" a="1"/>
  <c r="I477" i="12" a="1"/>
  <c r="J477" i="12" a="1"/>
  <c r="K477" i="12" a="1"/>
  <c r="I478" i="12" a="1"/>
  <c r="J478" i="12" a="1"/>
  <c r="K478" i="12" a="1"/>
  <c r="I479" i="12" a="1"/>
  <c r="J479" i="12" a="1"/>
  <c r="K479" i="12" a="1"/>
  <c r="I480" i="12" a="1"/>
  <c r="J480" i="12" a="1"/>
  <c r="K480" i="12" a="1"/>
  <c r="I481" i="12" a="1"/>
  <c r="J481" i="12" a="1"/>
  <c r="K481" i="12" a="1"/>
  <c r="I482" i="12" a="1"/>
  <c r="J482" i="12" a="1"/>
  <c r="K482" i="12" a="1"/>
  <c r="I483" i="12" a="1"/>
  <c r="J483" i="12" a="1"/>
  <c r="K483" i="12" a="1"/>
  <c r="I484" i="12" a="1"/>
  <c r="J484" i="12" a="1"/>
  <c r="K484" i="12" a="1"/>
  <c r="I485" i="12" a="1"/>
  <c r="J485" i="12" a="1"/>
  <c r="K485" i="12" a="1"/>
  <c r="I486" i="12" a="1"/>
  <c r="J486" i="12" a="1"/>
  <c r="K486" i="12" a="1"/>
  <c r="I487" i="12" a="1"/>
  <c r="J487" i="12" a="1"/>
  <c r="K487" i="12" a="1"/>
  <c r="I488" i="12" a="1"/>
  <c r="J488" i="12" a="1"/>
  <c r="K488" i="12" a="1"/>
  <c r="I489" i="12" a="1"/>
  <c r="J489" i="12" a="1"/>
  <c r="K489" i="12" a="1"/>
  <c r="I490" i="12" a="1"/>
  <c r="J490" i="12" a="1"/>
  <c r="K490" i="12" a="1"/>
  <c r="I491" i="12" a="1"/>
  <c r="J491" i="12" a="1"/>
  <c r="K491" i="12" a="1"/>
  <c r="I492" i="12" a="1"/>
  <c r="J492" i="12" a="1"/>
  <c r="K492" i="12" a="1"/>
  <c r="I493" i="12" a="1"/>
  <c r="J493" i="12" a="1"/>
  <c r="K493" i="12" a="1"/>
  <c r="I494" i="12" a="1"/>
  <c r="J494" i="12" a="1"/>
  <c r="K494" i="12" a="1"/>
  <c r="I495" i="12" a="1"/>
  <c r="J495" i="12" a="1"/>
  <c r="K495" i="12" a="1"/>
  <c r="I496" i="12" a="1"/>
  <c r="J496" i="12" a="1"/>
  <c r="K496" i="12" a="1"/>
  <c r="I497" i="12" a="1"/>
  <c r="J497" i="12" a="1"/>
  <c r="K497" i="12" a="1"/>
  <c r="I498" i="12" a="1"/>
  <c r="J498" i="12" a="1"/>
  <c r="K498" i="12" a="1"/>
  <c r="I499" i="12" a="1"/>
  <c r="J499" i="12" a="1"/>
  <c r="K499" i="12" a="1"/>
  <c r="I500" i="12" a="1"/>
  <c r="J500" i="12" a="1"/>
  <c r="K500" i="12" a="1"/>
  <c r="I501" i="12" a="1"/>
  <c r="J501" i="12" a="1"/>
  <c r="K501" i="12" a="1"/>
  <c r="I502" i="12" a="1"/>
  <c r="J502" i="12" a="1"/>
  <c r="K502" i="12" a="1"/>
  <c r="I503" i="12" a="1"/>
  <c r="J503" i="12" a="1"/>
  <c r="K503" i="12" a="1"/>
  <c r="I504" i="12" a="1"/>
  <c r="J504" i="12" a="1"/>
  <c r="K504" i="12" a="1"/>
  <c r="I505" i="12" a="1"/>
  <c r="J505" i="12" a="1"/>
  <c r="K505" i="12" a="1"/>
  <c r="I506" i="12" a="1"/>
  <c r="J506" i="12" a="1"/>
  <c r="K506" i="12" a="1"/>
  <c r="I507" i="12" a="1"/>
  <c r="J507" i="12" a="1"/>
  <c r="K507" i="12" a="1"/>
  <c r="I508" i="12" a="1"/>
  <c r="J508" i="12" a="1"/>
  <c r="K508" i="12" a="1"/>
  <c r="I509" i="12" a="1"/>
  <c r="J509" i="12" a="1"/>
  <c r="K509" i="12" a="1"/>
  <c r="I510" i="12" a="1"/>
  <c r="J510" i="12" a="1"/>
  <c r="K510" i="12" a="1"/>
  <c r="I511" i="12" a="1"/>
  <c r="J511" i="12" a="1"/>
  <c r="K511" i="12" a="1"/>
  <c r="I512" i="12" a="1"/>
  <c r="J512" i="12" a="1"/>
  <c r="K512" i="12" a="1"/>
  <c r="I513" i="12" a="1"/>
  <c r="J513" i="12" a="1"/>
  <c r="K513" i="12" a="1"/>
  <c r="I514" i="12" a="1"/>
  <c r="J514" i="12" a="1"/>
  <c r="K514" i="12" a="1"/>
  <c r="I515" i="12" a="1"/>
  <c r="J515" i="12" a="1"/>
  <c r="K515" i="12" a="1"/>
  <c r="I516" i="12" a="1"/>
  <c r="J516" i="12" a="1"/>
  <c r="K516" i="12" a="1"/>
  <c r="I517" i="12" a="1"/>
  <c r="J517" i="12" a="1"/>
  <c r="K517" i="12" a="1"/>
  <c r="I518" i="12" a="1"/>
  <c r="J518" i="12" a="1"/>
  <c r="K518" i="12" a="1"/>
  <c r="I519" i="12" a="1"/>
  <c r="J519" i="12" a="1"/>
  <c r="K519" i="12" a="1"/>
  <c r="I520" i="12" a="1"/>
  <c r="J520" i="12" a="1"/>
  <c r="K520" i="12" a="1"/>
  <c r="I521" i="12" a="1"/>
  <c r="J521" i="12" a="1"/>
  <c r="K521" i="12" a="1"/>
  <c r="I522" i="12" a="1"/>
  <c r="J522" i="12" a="1"/>
  <c r="K522" i="12" a="1"/>
  <c r="I523" i="12" a="1"/>
  <c r="J523" i="12" a="1"/>
  <c r="K523" i="12" a="1"/>
  <c r="I524" i="12" a="1"/>
  <c r="J524" i="12" a="1"/>
  <c r="K524" i="12" a="1"/>
  <c r="I525" i="12" a="1"/>
  <c r="J525" i="12" a="1"/>
  <c r="K525" i="12" a="1"/>
  <c r="I526" i="12" a="1"/>
  <c r="J526" i="12" a="1"/>
  <c r="K526" i="12" a="1"/>
  <c r="I527" i="12" a="1"/>
  <c r="J527" i="12" a="1"/>
  <c r="K527" i="12" a="1"/>
  <c r="I528" i="12" a="1"/>
  <c r="J528" i="12" a="1"/>
  <c r="K528" i="12" a="1"/>
  <c r="I529" i="12" a="1"/>
  <c r="J529" i="12" a="1"/>
  <c r="K529" i="12" a="1"/>
  <c r="I530" i="12" a="1"/>
  <c r="J530" i="12" a="1"/>
  <c r="K530" i="12" a="1"/>
  <c r="I531" i="12" a="1"/>
  <c r="J531" i="12" a="1"/>
  <c r="K531" i="12" a="1"/>
  <c r="I532" i="12" a="1"/>
  <c r="J532" i="12" a="1"/>
  <c r="K532" i="12" a="1"/>
  <c r="I533" i="12" a="1"/>
  <c r="J533" i="12" a="1"/>
  <c r="K533" i="12" a="1"/>
  <c r="I534" i="12" a="1"/>
  <c r="J534" i="12" a="1"/>
  <c r="K534" i="12" a="1"/>
  <c r="I535" i="12" a="1"/>
  <c r="J535" i="12" a="1"/>
  <c r="K535" i="12" a="1"/>
  <c r="I536" i="12" a="1"/>
  <c r="J536" i="12" a="1"/>
  <c r="K536" i="12" a="1"/>
  <c r="I537" i="12" a="1"/>
  <c r="J537" i="12" a="1"/>
  <c r="K537" i="12" a="1"/>
  <c r="I538" i="12" a="1"/>
  <c r="J538" i="12" a="1"/>
  <c r="K538" i="12" a="1"/>
  <c r="I539" i="12" a="1"/>
  <c r="J539" i="12" a="1"/>
  <c r="K539" i="12" a="1"/>
  <c r="I540" i="12" a="1"/>
  <c r="J540" i="12" a="1"/>
  <c r="K540" i="12" a="1"/>
  <c r="I541" i="12" a="1"/>
  <c r="J541" i="12" a="1"/>
  <c r="K541" i="12" a="1"/>
  <c r="I542" i="12" a="1"/>
  <c r="J542" i="12" a="1"/>
  <c r="K542" i="12" a="1"/>
  <c r="I543" i="12" a="1"/>
  <c r="J543" i="12" a="1"/>
  <c r="K543" i="12" a="1"/>
  <c r="I544" i="12" a="1"/>
  <c r="J544" i="12" a="1"/>
  <c r="K544" i="12" a="1"/>
  <c r="I545" i="12" a="1"/>
  <c r="J545" i="12" a="1"/>
  <c r="K545" i="12" a="1"/>
  <c r="I546" i="12" a="1"/>
  <c r="J546" i="12" a="1"/>
  <c r="K546" i="12" a="1"/>
  <c r="I547" i="12" a="1"/>
  <c r="J547" i="12" a="1"/>
  <c r="K547" i="12" a="1"/>
  <c r="I548" i="12" a="1"/>
  <c r="J548" i="12" a="1"/>
  <c r="K548" i="12" a="1"/>
  <c r="I549" i="12" a="1"/>
  <c r="J549" i="12" a="1"/>
  <c r="K549" i="12" a="1"/>
  <c r="I550" i="12" a="1"/>
  <c r="J550" i="12" a="1"/>
  <c r="K550" i="12" a="1"/>
  <c r="I551" i="12" a="1"/>
  <c r="J551" i="12" a="1"/>
  <c r="K551" i="12" a="1"/>
  <c r="I552" i="12" a="1"/>
  <c r="J552" i="12" a="1"/>
  <c r="K552" i="12" a="1"/>
  <c r="I553" i="12" a="1"/>
  <c r="J553" i="12" a="1"/>
  <c r="K553" i="12" a="1"/>
  <c r="I554" i="12" a="1"/>
  <c r="J554" i="12" a="1"/>
  <c r="K554" i="12" a="1"/>
  <c r="I555" i="12" a="1"/>
  <c r="J555" i="12" a="1"/>
  <c r="K555" i="12" a="1"/>
  <c r="I556" i="12" a="1"/>
  <c r="J556" i="12" a="1"/>
  <c r="K556" i="12" a="1"/>
  <c r="I557" i="12" a="1"/>
  <c r="J557" i="12" a="1"/>
  <c r="K557" i="12" a="1"/>
  <c r="I558" i="12" a="1"/>
  <c r="J558" i="12" a="1"/>
  <c r="K558" i="12" a="1"/>
  <c r="I559" i="12" a="1"/>
  <c r="J559" i="12" a="1"/>
  <c r="K559" i="12" a="1"/>
  <c r="I560" i="12" a="1"/>
  <c r="J560" i="12" a="1"/>
  <c r="K560" i="12" a="1"/>
  <c r="I561" i="12" a="1"/>
  <c r="J561" i="12" a="1"/>
  <c r="K561" i="12" a="1"/>
  <c r="I562" i="12" a="1"/>
  <c r="J562" i="12" a="1"/>
  <c r="K562" i="12" a="1"/>
  <c r="I563" i="12" a="1"/>
  <c r="J563" i="12" a="1"/>
  <c r="K563" i="12" a="1"/>
  <c r="I564" i="12" a="1"/>
  <c r="J564" i="12" a="1"/>
  <c r="K564" i="12" a="1"/>
  <c r="I565" i="12" a="1"/>
  <c r="J565" i="12" a="1"/>
  <c r="K565" i="12" a="1"/>
  <c r="I566" i="12" a="1"/>
  <c r="J566" i="12" a="1"/>
  <c r="K566" i="12" a="1"/>
  <c r="I567" i="12" a="1"/>
  <c r="J567" i="12" a="1"/>
  <c r="K567" i="12" a="1"/>
  <c r="I568" i="12" a="1"/>
  <c r="J568" i="12" a="1"/>
  <c r="K568" i="12" a="1"/>
  <c r="I569" i="12" a="1"/>
  <c r="J569" i="12" a="1"/>
  <c r="K569" i="12" a="1"/>
  <c r="I570" i="12" a="1"/>
  <c r="J570" i="12" a="1"/>
  <c r="K570" i="12" a="1"/>
  <c r="I571" i="12" a="1"/>
  <c r="J571" i="12" a="1"/>
  <c r="K571" i="12" a="1"/>
  <c r="I572" i="12" a="1"/>
  <c r="J572" i="12" a="1"/>
  <c r="K572" i="12" a="1"/>
  <c r="I573" i="12" a="1"/>
  <c r="J573" i="12" a="1"/>
  <c r="K573" i="12" a="1"/>
  <c r="I574" i="12" a="1"/>
  <c r="J574" i="12" a="1"/>
  <c r="K574" i="12" a="1"/>
  <c r="I575" i="12" a="1"/>
  <c r="J575" i="12" a="1"/>
  <c r="K575" i="12" a="1"/>
  <c r="I576" i="12" a="1"/>
  <c r="J576" i="12" a="1"/>
  <c r="K576" i="12" a="1"/>
  <c r="I577" i="12" a="1"/>
  <c r="J577" i="12" a="1"/>
  <c r="K577" i="12" a="1"/>
  <c r="I128" i="12" a="1"/>
  <c r="J128" i="12" a="1"/>
  <c r="K128" i="12" a="1"/>
  <c r="I129" i="12" a="1"/>
  <c r="J129" i="12" a="1"/>
  <c r="K129" i="12" a="1"/>
  <c r="I130" i="12" a="1"/>
  <c r="J130" i="12" a="1"/>
  <c r="K130" i="12" a="1"/>
  <c r="I131" i="12" a="1"/>
  <c r="J131" i="12" a="1"/>
  <c r="K131" i="12" a="1"/>
  <c r="I132" i="12" a="1"/>
  <c r="J132" i="12" a="1"/>
  <c r="K132" i="12" a="1"/>
  <c r="I133" i="12" a="1"/>
  <c r="J133" i="12" a="1"/>
  <c r="K133" i="12" a="1"/>
  <c r="I134" i="12" a="1"/>
  <c r="J134" i="12" a="1"/>
  <c r="K134" i="12" a="1"/>
  <c r="I135" i="12" a="1"/>
  <c r="J135" i="12" a="1"/>
  <c r="K135" i="12" a="1"/>
  <c r="I136" i="12" a="1"/>
  <c r="J136" i="12" a="1"/>
  <c r="K136" i="12" a="1"/>
  <c r="I137" i="12" a="1"/>
  <c r="J137" i="12" a="1"/>
  <c r="K137" i="12" a="1"/>
  <c r="I138" i="12" a="1"/>
  <c r="J138" i="12" a="1"/>
  <c r="K138" i="12" a="1"/>
  <c r="I139" i="12" a="1"/>
  <c r="J139" i="12" a="1"/>
  <c r="K139" i="12" a="1"/>
  <c r="I140" i="12" a="1"/>
  <c r="J140" i="12" a="1"/>
  <c r="K140" i="12" a="1"/>
  <c r="I141" i="12" a="1"/>
  <c r="J141" i="12" a="1"/>
  <c r="K141" i="12" a="1"/>
  <c r="I142" i="12" a="1"/>
  <c r="J142" i="12" a="1"/>
  <c r="K142" i="12" a="1"/>
  <c r="I143" i="12" a="1"/>
  <c r="J143" i="12" a="1"/>
  <c r="K143" i="12" a="1"/>
  <c r="I144" i="12" a="1"/>
  <c r="J144" i="12" a="1"/>
  <c r="K144" i="12" a="1"/>
  <c r="I145" i="12" a="1"/>
  <c r="J145" i="12" a="1"/>
  <c r="K145" i="12" a="1"/>
  <c r="I146" i="12" a="1"/>
  <c r="J146" i="12" a="1"/>
  <c r="K146" i="12" a="1"/>
  <c r="I147" i="12" a="1"/>
  <c r="J147" i="12" a="1"/>
  <c r="K147" i="12" a="1"/>
  <c r="I148" i="12" a="1"/>
  <c r="J148" i="12" a="1"/>
  <c r="K148" i="12" a="1"/>
  <c r="I149" i="12" a="1"/>
  <c r="J149" i="12" a="1"/>
  <c r="K149" i="12" a="1"/>
  <c r="I150" i="12" a="1"/>
  <c r="J150" i="12" a="1"/>
  <c r="K150" i="12" a="1"/>
  <c r="I151" i="12" a="1"/>
  <c r="J151" i="12" a="1"/>
  <c r="K151" i="12" a="1"/>
  <c r="I152" i="12" a="1"/>
  <c r="J152" i="12" a="1"/>
  <c r="K152" i="12" a="1"/>
  <c r="I153" i="12" a="1"/>
  <c r="J153" i="12" a="1"/>
  <c r="K153" i="12" a="1"/>
  <c r="I154" i="12" a="1"/>
  <c r="J154" i="12" a="1"/>
  <c r="K154" i="12" a="1"/>
  <c r="I155" i="12" a="1"/>
  <c r="J155" i="12" a="1"/>
  <c r="K155" i="12" a="1"/>
  <c r="I156" i="12" a="1"/>
  <c r="J156" i="12" a="1"/>
  <c r="K156" i="12" a="1"/>
  <c r="I157" i="12" a="1"/>
  <c r="J157" i="12" a="1"/>
  <c r="K157" i="12" a="1"/>
  <c r="I158" i="12" a="1"/>
  <c r="J158" i="12" a="1"/>
  <c r="K158" i="12" a="1"/>
  <c r="I159" i="12" a="1"/>
  <c r="J159" i="12" a="1"/>
  <c r="K159" i="12" a="1"/>
  <c r="I160" i="12" a="1"/>
  <c r="J160" i="12" a="1"/>
  <c r="K160" i="12" a="1"/>
  <c r="I161" i="12" a="1"/>
  <c r="J161" i="12" a="1"/>
  <c r="K161" i="12" a="1"/>
  <c r="I162" i="12" a="1"/>
  <c r="J162" i="12" a="1"/>
  <c r="K162" i="12" a="1"/>
  <c r="I163" i="12" a="1"/>
  <c r="J163" i="12" a="1"/>
  <c r="K163" i="12" a="1"/>
  <c r="I164" i="12" a="1"/>
  <c r="J164" i="12" a="1"/>
  <c r="K164" i="12" a="1"/>
  <c r="I165" i="12" a="1"/>
  <c r="J165" i="12" a="1"/>
  <c r="K165" i="12" a="1"/>
  <c r="I166" i="12" a="1"/>
  <c r="J166" i="12" a="1"/>
  <c r="K166" i="12" a="1"/>
  <c r="I167" i="12" a="1"/>
  <c r="J167" i="12" a="1"/>
  <c r="K167" i="12" a="1"/>
  <c r="I168" i="12" a="1"/>
  <c r="J168" i="12" a="1"/>
  <c r="K168" i="12" a="1"/>
  <c r="I169" i="12" a="1"/>
  <c r="J169" i="12" a="1"/>
  <c r="K169" i="12" a="1"/>
  <c r="I170" i="12" a="1"/>
  <c r="J170" i="12" a="1"/>
  <c r="K170" i="12" a="1"/>
  <c r="I171" i="12" a="1"/>
  <c r="J171" i="12" a="1"/>
  <c r="K171" i="12" a="1"/>
  <c r="I172" i="12" a="1"/>
  <c r="J172" i="12" a="1"/>
  <c r="K172" i="12" a="1"/>
  <c r="I173" i="12" a="1"/>
  <c r="J173" i="12" a="1"/>
  <c r="K173" i="12" a="1"/>
  <c r="I174" i="12" a="1"/>
  <c r="J174" i="12" a="1"/>
  <c r="K174" i="12" a="1"/>
  <c r="I175" i="12" a="1"/>
  <c r="J175" i="12" a="1"/>
  <c r="K175" i="12" a="1"/>
  <c r="I176" i="12" a="1"/>
  <c r="J176" i="12" a="1"/>
  <c r="K176" i="12" a="1"/>
  <c r="I177" i="12" a="1"/>
  <c r="J177" i="12" a="1"/>
  <c r="K177" i="12" a="1"/>
  <c r="I178" i="12" a="1"/>
  <c r="J178" i="12" a="1"/>
  <c r="K178" i="12" a="1"/>
  <c r="I179" i="12" a="1"/>
  <c r="J179" i="12" a="1"/>
  <c r="K179" i="12" a="1"/>
  <c r="I180" i="12" a="1"/>
  <c r="J180" i="12" a="1"/>
  <c r="K180" i="12" a="1"/>
  <c r="I181" i="12" a="1"/>
  <c r="J181" i="12" a="1"/>
  <c r="K181" i="12" a="1"/>
  <c r="I182" i="12" a="1"/>
  <c r="J182" i="12" a="1"/>
  <c r="K182" i="12" a="1"/>
  <c r="I183" i="12" a="1"/>
  <c r="J183" i="12" a="1"/>
  <c r="K183" i="12" a="1"/>
  <c r="I184" i="12" a="1"/>
  <c r="J184" i="12" a="1"/>
  <c r="K184" i="12" a="1"/>
  <c r="I185" i="12" a="1"/>
  <c r="J185" i="12" a="1"/>
  <c r="K185" i="12" a="1"/>
  <c r="I186" i="12" a="1"/>
  <c r="J186" i="12" a="1"/>
  <c r="K186" i="12" a="1"/>
  <c r="I187" i="12" a="1"/>
  <c r="J187" i="12" a="1"/>
  <c r="K187" i="12" a="1"/>
  <c r="I188" i="12" a="1"/>
  <c r="J188" i="12" a="1"/>
  <c r="K188" i="12" a="1"/>
  <c r="I189" i="12" a="1"/>
  <c r="J189" i="12" a="1"/>
  <c r="K189" i="12" a="1"/>
  <c r="I190" i="12" a="1"/>
  <c r="J190" i="12" a="1"/>
  <c r="K190" i="12" a="1"/>
  <c r="I191" i="12" a="1"/>
  <c r="J191" i="12" a="1"/>
  <c r="K191" i="12" a="1"/>
  <c r="I192" i="12" a="1"/>
  <c r="J192" i="12" a="1"/>
  <c r="K192" i="12" a="1"/>
  <c r="I193" i="12" a="1"/>
  <c r="J193" i="12" a="1"/>
  <c r="K193" i="12" a="1"/>
  <c r="I194" i="12" a="1"/>
  <c r="J194" i="12" a="1"/>
  <c r="K194" i="12" a="1"/>
  <c r="I195" i="12" a="1"/>
  <c r="J195" i="12" a="1"/>
  <c r="K195" i="12" a="1"/>
  <c r="I196" i="12" a="1"/>
  <c r="J196" i="12" a="1"/>
  <c r="K196" i="12" a="1"/>
  <c r="I197" i="12" a="1"/>
  <c r="J197" i="12" a="1"/>
  <c r="K197" i="12" a="1"/>
  <c r="I198" i="12" a="1"/>
  <c r="J198" i="12" a="1"/>
  <c r="K198" i="12" a="1"/>
  <c r="I199" i="12" a="1"/>
  <c r="J199" i="12" a="1"/>
  <c r="K199" i="12" a="1"/>
  <c r="I200" i="12" a="1"/>
  <c r="J200" i="12" a="1"/>
  <c r="K200" i="12" a="1"/>
  <c r="I201" i="12" a="1"/>
  <c r="J201" i="12" a="1"/>
  <c r="K201" i="12" a="1"/>
  <c r="I202" i="12" a="1"/>
  <c r="J202" i="12" a="1"/>
  <c r="K202" i="12" a="1"/>
  <c r="I203" i="12" a="1"/>
  <c r="J203" i="12" a="1"/>
  <c r="K203" i="12" a="1"/>
  <c r="I204" i="12" a="1"/>
  <c r="J204" i="12" a="1"/>
  <c r="K204" i="12" a="1"/>
  <c r="I205" i="12" a="1"/>
  <c r="J205" i="12" a="1"/>
  <c r="K205" i="12" a="1"/>
  <c r="I206" i="12" a="1"/>
  <c r="J206" i="12" a="1"/>
  <c r="K206" i="12" a="1"/>
  <c r="I207" i="12" a="1"/>
  <c r="J207" i="12" a="1"/>
  <c r="K207" i="12" a="1"/>
  <c r="I208" i="12" a="1"/>
  <c r="J208" i="12" a="1"/>
  <c r="K208" i="12" a="1"/>
  <c r="I209" i="12" a="1"/>
  <c r="J209" i="12" a="1"/>
  <c r="K209" i="12" a="1"/>
  <c r="I210" i="12" a="1"/>
  <c r="J210" i="12" a="1"/>
  <c r="K210" i="12" a="1"/>
  <c r="I211" i="12" a="1"/>
  <c r="J211" i="12" a="1"/>
  <c r="K211" i="12" a="1"/>
  <c r="I212" i="12" a="1"/>
  <c r="J212" i="12" a="1"/>
  <c r="K212" i="12" a="1"/>
  <c r="I213" i="12" a="1"/>
  <c r="J213" i="12" a="1"/>
  <c r="K213" i="12" a="1"/>
  <c r="I214" i="12" a="1"/>
  <c r="J214" i="12" a="1"/>
  <c r="K214" i="12" a="1"/>
  <c r="I215" i="12" a="1"/>
  <c r="J215" i="12" a="1"/>
  <c r="K215" i="12" a="1"/>
  <c r="I216" i="12" a="1"/>
  <c r="J216" i="12" a="1"/>
  <c r="K216" i="12" a="1"/>
  <c r="I217" i="12" a="1"/>
  <c r="J217" i="12" a="1"/>
  <c r="K217" i="12" a="1"/>
  <c r="I218" i="12" a="1"/>
  <c r="J218" i="12" a="1"/>
  <c r="K218" i="12" a="1"/>
  <c r="I219" i="12" a="1"/>
  <c r="J219" i="12" a="1"/>
  <c r="K219" i="12" a="1"/>
  <c r="I220" i="12" a="1"/>
  <c r="J220" i="12" a="1"/>
  <c r="K220" i="12" a="1"/>
  <c r="I221" i="12" a="1"/>
  <c r="J221" i="12" a="1"/>
  <c r="K221" i="12" a="1"/>
  <c r="I222" i="12" a="1"/>
  <c r="J222" i="12" a="1"/>
  <c r="K222" i="12" a="1"/>
  <c r="I223" i="12" a="1"/>
  <c r="J223" i="12" a="1"/>
  <c r="K223" i="12" a="1"/>
  <c r="I224" i="12" a="1"/>
  <c r="J224" i="12" a="1"/>
  <c r="K224" i="12" a="1"/>
  <c r="I225" i="12" a="1"/>
  <c r="J225" i="12" a="1"/>
  <c r="K225" i="12" a="1"/>
  <c r="I226" i="12" a="1"/>
  <c r="J226" i="12" a="1"/>
  <c r="K226" i="12" a="1"/>
  <c r="I227" i="12" a="1"/>
  <c r="J227" i="12" a="1"/>
  <c r="K227" i="12" a="1"/>
  <c r="I228" i="12" a="1"/>
  <c r="J228" i="12" a="1"/>
  <c r="K228" i="12" a="1"/>
  <c r="I229" i="12" a="1"/>
  <c r="J229" i="12" a="1"/>
  <c r="K229" i="12" a="1"/>
  <c r="I230" i="12" a="1"/>
  <c r="J230" i="12" a="1"/>
  <c r="K230" i="12" a="1"/>
  <c r="I231" i="12" a="1"/>
  <c r="J231" i="12" a="1"/>
  <c r="K231" i="12" a="1"/>
  <c r="I232" i="12" a="1"/>
  <c r="J232" i="12" a="1"/>
  <c r="K232" i="12" a="1"/>
  <c r="I233" i="12" a="1"/>
  <c r="J233" i="12" a="1"/>
  <c r="K233" i="12" a="1"/>
  <c r="I234" i="12" a="1"/>
  <c r="J234" i="12" a="1"/>
  <c r="K234" i="12" a="1"/>
  <c r="I235" i="12" a="1"/>
  <c r="J235" i="12" a="1"/>
  <c r="K235" i="12" a="1"/>
  <c r="I236" i="12" a="1"/>
  <c r="J236" i="12" a="1"/>
  <c r="K236" i="12" a="1"/>
  <c r="I237" i="12" a="1"/>
  <c r="J237" i="12" a="1"/>
  <c r="K237" i="12" a="1"/>
  <c r="I238" i="12" a="1"/>
  <c r="J238" i="12" a="1"/>
  <c r="K238" i="12" a="1"/>
  <c r="I239" i="12" a="1"/>
  <c r="J239" i="12" a="1"/>
  <c r="K239" i="12" a="1"/>
  <c r="I240" i="12" a="1"/>
  <c r="J240" i="12" a="1"/>
  <c r="K240" i="12" a="1"/>
  <c r="I241" i="12" a="1"/>
  <c r="J241" i="12" a="1"/>
  <c r="K241" i="12" a="1"/>
  <c r="I242" i="12" a="1"/>
  <c r="J242" i="12" a="1"/>
  <c r="K242" i="12" a="1"/>
  <c r="I243" i="12" a="1"/>
  <c r="J243" i="12" a="1"/>
  <c r="K243" i="12" a="1"/>
  <c r="I244" i="12" a="1"/>
  <c r="J244" i="12" a="1"/>
  <c r="K244" i="12" a="1"/>
  <c r="I245" i="12" a="1"/>
  <c r="J245" i="12" a="1"/>
  <c r="K245" i="12" a="1"/>
  <c r="I246" i="12" a="1"/>
  <c r="J246" i="12" a="1"/>
  <c r="K246" i="12" a="1"/>
  <c r="I247" i="12" a="1"/>
  <c r="J247" i="12" a="1"/>
  <c r="K247" i="12" a="1"/>
  <c r="I248" i="12" a="1"/>
  <c r="J248" i="12" a="1"/>
  <c r="K248" i="12" a="1"/>
  <c r="I249" i="12" a="1"/>
  <c r="J249" i="12" a="1"/>
  <c r="K249" i="12" a="1"/>
  <c r="I250" i="12" a="1"/>
  <c r="J250" i="12" a="1"/>
  <c r="K250" i="12" a="1"/>
  <c r="I251" i="12" a="1"/>
  <c r="J251" i="12" a="1"/>
  <c r="K251" i="12" a="1"/>
  <c r="I252" i="12" a="1"/>
  <c r="J252" i="12" a="1"/>
  <c r="K252" i="12" a="1"/>
  <c r="I253" i="12" a="1"/>
  <c r="J253" i="12" a="1"/>
  <c r="K253" i="12" a="1"/>
  <c r="I254" i="12" a="1"/>
  <c r="J254" i="12" a="1"/>
  <c r="K254" i="12" a="1"/>
  <c r="I255" i="12" a="1"/>
  <c r="J255" i="12" a="1"/>
  <c r="K255" i="12" a="1"/>
  <c r="I256" i="12" a="1"/>
  <c r="J256" i="12" a="1"/>
  <c r="K256" i="12" a="1"/>
  <c r="I257" i="12" a="1"/>
  <c r="J257" i="12" a="1"/>
  <c r="K257" i="12" a="1"/>
  <c r="I258" i="12" a="1"/>
  <c r="J258" i="12" a="1"/>
  <c r="K258" i="12" a="1"/>
  <c r="I259" i="12" a="1"/>
  <c r="J259" i="12" a="1"/>
  <c r="K259" i="12" a="1"/>
  <c r="I260" i="12" a="1"/>
  <c r="J260" i="12" a="1"/>
  <c r="K260" i="12" a="1"/>
  <c r="I261" i="12" a="1"/>
  <c r="J261" i="12" a="1"/>
  <c r="K261" i="12" a="1"/>
  <c r="I262" i="12" a="1"/>
  <c r="J262" i="12" a="1"/>
  <c r="K262" i="12" a="1"/>
  <c r="I263" i="12" a="1"/>
  <c r="J263" i="12" a="1"/>
  <c r="K263" i="12" a="1"/>
  <c r="I264" i="12" a="1"/>
  <c r="J264" i="12" a="1"/>
  <c r="K264" i="12" a="1"/>
  <c r="I265" i="12" a="1"/>
  <c r="J265" i="12" a="1"/>
  <c r="K265" i="12" a="1"/>
  <c r="I266" i="12" a="1"/>
  <c r="J266" i="12" a="1"/>
  <c r="K266" i="12" a="1"/>
  <c r="I267" i="12" a="1"/>
  <c r="J267" i="12" a="1"/>
  <c r="K267" i="12" a="1"/>
  <c r="I268" i="12" a="1"/>
  <c r="J268" i="12" a="1"/>
  <c r="K268" i="12" a="1"/>
  <c r="I269" i="12" a="1"/>
  <c r="J269" i="12" a="1"/>
  <c r="K269" i="12" a="1"/>
  <c r="I270" i="12" a="1"/>
  <c r="J270" i="12" a="1"/>
  <c r="K270" i="12" a="1"/>
  <c r="I271" i="12" a="1"/>
  <c r="J271" i="12" a="1"/>
  <c r="K271" i="12" a="1"/>
  <c r="I272" i="12" a="1"/>
  <c r="J272" i="12" a="1"/>
  <c r="K272" i="12" a="1"/>
  <c r="I273" i="12" a="1"/>
  <c r="J273" i="12" a="1"/>
  <c r="K273" i="12" a="1"/>
  <c r="I274" i="12" a="1"/>
  <c r="J274" i="12" a="1"/>
  <c r="K274" i="12" a="1"/>
  <c r="I275" i="12" a="1"/>
  <c r="J275" i="12" a="1"/>
  <c r="K275" i="12" a="1"/>
  <c r="I276" i="12" a="1"/>
  <c r="J276" i="12" a="1"/>
  <c r="K276" i="12" a="1"/>
  <c r="I277" i="12" a="1"/>
  <c r="J277" i="12" a="1"/>
  <c r="K277" i="12" a="1"/>
  <c r="I278" i="12" a="1"/>
  <c r="J278" i="12" a="1"/>
  <c r="K278" i="12" a="1"/>
  <c r="I279" i="12" a="1"/>
  <c r="J279" i="12" a="1"/>
  <c r="K279" i="12" a="1"/>
  <c r="I280" i="12" a="1"/>
  <c r="J280" i="12" a="1"/>
  <c r="K280" i="12" a="1"/>
  <c r="I281" i="12" a="1"/>
  <c r="J281" i="12" a="1"/>
  <c r="K281" i="12" a="1"/>
  <c r="I282" i="12" a="1"/>
  <c r="J282" i="12" a="1"/>
  <c r="K282" i="12" a="1"/>
  <c r="I283" i="12" a="1"/>
  <c r="J283" i="12" a="1"/>
  <c r="K283" i="12" a="1"/>
  <c r="I284" i="12" a="1"/>
  <c r="J284" i="12" a="1"/>
  <c r="K284" i="12" a="1"/>
  <c r="I285" i="12" a="1"/>
  <c r="J285" i="12" a="1"/>
  <c r="K285" i="12" a="1"/>
  <c r="I286" i="12" a="1"/>
  <c r="J286" i="12" a="1"/>
  <c r="K286" i="12" a="1"/>
  <c r="I287" i="12" a="1"/>
  <c r="J287" i="12" a="1"/>
  <c r="K287" i="12" a="1"/>
  <c r="I288" i="12" a="1"/>
  <c r="J288" i="12" a="1"/>
  <c r="K288" i="12" a="1"/>
  <c r="I289" i="12" a="1"/>
  <c r="J289" i="12" a="1"/>
  <c r="K289" i="12" a="1"/>
  <c r="I290" i="12" a="1"/>
  <c r="J290" i="12" a="1"/>
  <c r="K290" i="12" a="1"/>
  <c r="I291" i="12" a="1"/>
  <c r="J291" i="12" a="1"/>
  <c r="K291" i="12" a="1"/>
  <c r="I292" i="12" a="1"/>
  <c r="J292" i="12" a="1"/>
  <c r="K292" i="12" a="1"/>
  <c r="I293" i="12" a="1"/>
  <c r="J293" i="12" a="1"/>
  <c r="K293" i="12" a="1"/>
  <c r="I294" i="12" a="1"/>
  <c r="J294" i="12" a="1"/>
  <c r="K294" i="12" a="1"/>
  <c r="I295" i="12" a="1"/>
  <c r="J295" i="12" a="1"/>
  <c r="K295" i="12" a="1"/>
  <c r="I296" i="12" a="1"/>
  <c r="J296" i="12" a="1"/>
  <c r="K296" i="12" a="1"/>
  <c r="I297" i="12" a="1"/>
  <c r="J297" i="12" a="1"/>
  <c r="K297" i="12" a="1"/>
  <c r="I298" i="12" a="1"/>
  <c r="J298" i="12" a="1"/>
  <c r="K298" i="12" a="1"/>
  <c r="I299" i="12" a="1"/>
  <c r="J299" i="12" a="1"/>
  <c r="K299" i="12" a="1"/>
  <c r="I300" i="12" a="1"/>
  <c r="J300" i="12" a="1"/>
  <c r="K300" i="12" a="1"/>
  <c r="I301" i="12" a="1"/>
  <c r="J301" i="12" a="1"/>
  <c r="K301" i="12" a="1"/>
  <c r="I302" i="12" a="1"/>
  <c r="J302" i="12" a="1"/>
  <c r="K302" i="12" a="1"/>
  <c r="I303" i="12" a="1"/>
  <c r="J303" i="12" a="1"/>
  <c r="K303" i="12" a="1"/>
  <c r="I304" i="12" a="1"/>
  <c r="J304" i="12" a="1"/>
  <c r="K304" i="12" a="1"/>
  <c r="I305" i="12" a="1"/>
  <c r="J305" i="12" a="1"/>
  <c r="K305" i="12" a="1"/>
  <c r="I306" i="12" a="1"/>
  <c r="J306" i="12" a="1"/>
  <c r="K306" i="12" a="1"/>
  <c r="I307" i="12" a="1"/>
  <c r="J307" i="12" a="1"/>
  <c r="K307" i="12" a="1"/>
  <c r="I308" i="12" a="1"/>
  <c r="J308" i="12" a="1"/>
  <c r="K308" i="12" a="1"/>
  <c r="I309" i="12" a="1"/>
  <c r="J309" i="12" a="1"/>
  <c r="K309" i="12" a="1"/>
  <c r="I310" i="12" a="1"/>
  <c r="J310" i="12" a="1"/>
  <c r="K310" i="12" a="1"/>
  <c r="I311" i="12" a="1"/>
  <c r="J311" i="12" a="1"/>
  <c r="K311" i="12" a="1"/>
  <c r="I312" i="12" a="1"/>
  <c r="J312" i="12" a="1"/>
  <c r="K312" i="12" a="1"/>
  <c r="I313" i="12" a="1"/>
  <c r="J313" i="12" a="1"/>
  <c r="K313" i="12" a="1"/>
  <c r="I314" i="12" a="1"/>
  <c r="J314" i="12" a="1"/>
  <c r="K314" i="12" a="1"/>
  <c r="I315" i="12" a="1"/>
  <c r="J315" i="12" a="1"/>
  <c r="K315" i="12" a="1"/>
  <c r="I316" i="12" a="1"/>
  <c r="J316" i="12" a="1"/>
  <c r="K316" i="12" a="1"/>
  <c r="I317" i="12" a="1"/>
  <c r="J317" i="12" a="1"/>
  <c r="K317" i="12" a="1"/>
  <c r="I318" i="12" a="1"/>
  <c r="J318" i="12" a="1"/>
  <c r="K318" i="12" a="1"/>
  <c r="I319" i="12" a="1"/>
  <c r="J319" i="12" a="1"/>
  <c r="K319" i="12" a="1"/>
  <c r="I320" i="12" a="1"/>
  <c r="J320" i="12" a="1"/>
  <c r="K320" i="12" a="1"/>
  <c r="I321" i="12" a="1"/>
  <c r="J321" i="12" a="1"/>
  <c r="K321" i="12" a="1"/>
  <c r="I322" i="12" a="1"/>
  <c r="J322" i="12" a="1"/>
  <c r="K322" i="12" a="1"/>
  <c r="I323" i="12" a="1"/>
  <c r="J323" i="12" a="1"/>
  <c r="K323" i="12" a="1"/>
  <c r="I324" i="12" a="1"/>
  <c r="J324" i="12" a="1"/>
  <c r="K324" i="12" a="1"/>
  <c r="I325" i="12" a="1"/>
  <c r="J325" i="12" a="1"/>
  <c r="K325" i="12" a="1"/>
  <c r="I326" i="12" a="1"/>
  <c r="J326" i="12" a="1"/>
  <c r="K326" i="12" a="1"/>
  <c r="I327" i="12" a="1"/>
  <c r="J327" i="12" a="1"/>
  <c r="K327" i="12" a="1"/>
  <c r="I328" i="12" a="1"/>
  <c r="J328" i="12" a="1"/>
  <c r="K328" i="12" a="1"/>
  <c r="I329" i="12" a="1"/>
  <c r="J329" i="12" a="1"/>
  <c r="K329" i="12" a="1"/>
  <c r="I330" i="12" a="1"/>
  <c r="J330" i="12" a="1"/>
  <c r="K330" i="12" a="1"/>
  <c r="I331" i="12" a="1"/>
  <c r="J331" i="12" a="1"/>
  <c r="K331" i="12" a="1"/>
  <c r="I332" i="12" a="1"/>
  <c r="J332" i="12" a="1"/>
  <c r="K332" i="12" a="1"/>
  <c r="I333" i="12" a="1"/>
  <c r="J333" i="12" a="1"/>
  <c r="K333" i="12" a="1"/>
  <c r="I334" i="12" a="1"/>
  <c r="J334" i="12" a="1"/>
  <c r="K334" i="12" a="1"/>
  <c r="I335" i="12" a="1"/>
  <c r="J335" i="12" a="1"/>
  <c r="K335" i="12" a="1"/>
  <c r="I336" i="12" a="1"/>
  <c r="J336" i="12" a="1"/>
  <c r="K336" i="12" a="1"/>
  <c r="I337" i="12" a="1"/>
  <c r="J337" i="12" a="1"/>
  <c r="K337" i="12" a="1"/>
  <c r="I338" i="12" a="1"/>
  <c r="J338" i="12" a="1"/>
  <c r="K338" i="12" a="1"/>
  <c r="I339" i="12" a="1"/>
  <c r="J339" i="12" a="1"/>
  <c r="K339" i="12" a="1"/>
  <c r="I340" i="12" a="1"/>
  <c r="J340" i="12" a="1"/>
  <c r="K340" i="12" a="1"/>
  <c r="I341" i="12" a="1"/>
  <c r="J341" i="12" a="1"/>
  <c r="K341" i="12" a="1"/>
  <c r="I342" i="12" a="1"/>
  <c r="J342" i="12" a="1"/>
  <c r="K342" i="12" a="1"/>
  <c r="I343" i="12" a="1"/>
  <c r="J343" i="12" a="1"/>
  <c r="K343" i="12" a="1"/>
  <c r="I344" i="12" a="1"/>
  <c r="J344" i="12" a="1"/>
  <c r="K344" i="12" a="1"/>
  <c r="I345" i="12" a="1"/>
  <c r="J345" i="12" a="1"/>
  <c r="K345" i="12" a="1"/>
  <c r="I346" i="12" a="1"/>
  <c r="J346" i="12" a="1"/>
  <c r="K346" i="12" a="1"/>
  <c r="I347" i="12" a="1"/>
  <c r="J347" i="12" a="1"/>
  <c r="K347" i="12" a="1"/>
  <c r="I348" i="12" a="1"/>
  <c r="J348" i="12" a="1"/>
  <c r="K348" i="12" a="1"/>
  <c r="I349" i="12" a="1"/>
  <c r="J349" i="12" a="1"/>
  <c r="K349" i="12" a="1"/>
  <c r="I350" i="12" a="1"/>
  <c r="J350" i="12" a="1"/>
  <c r="K350" i="12" a="1"/>
  <c r="I351" i="12" a="1"/>
  <c r="J351" i="12" a="1"/>
  <c r="K351" i="12" a="1"/>
  <c r="I352" i="12" a="1"/>
  <c r="J352" i="12" a="1"/>
  <c r="K352" i="12" a="1"/>
  <c r="I353" i="12" a="1"/>
  <c r="J353" i="12" a="1"/>
  <c r="K353" i="12" a="1"/>
  <c r="I354" i="12" a="1"/>
  <c r="J354" i="12" a="1"/>
  <c r="K354" i="12" a="1"/>
  <c r="I355" i="12" a="1"/>
  <c r="J355" i="12" a="1"/>
  <c r="K355" i="12" a="1"/>
  <c r="I356" i="12" a="1"/>
  <c r="J356" i="12" a="1"/>
  <c r="K356" i="12" a="1"/>
  <c r="I357" i="12" a="1"/>
  <c r="J357" i="12" a="1"/>
  <c r="K357" i="12" a="1"/>
  <c r="I358" i="12" a="1"/>
  <c r="J358" i="12" a="1"/>
  <c r="K358" i="12" a="1"/>
  <c r="I359" i="12" a="1"/>
  <c r="J359" i="12" a="1"/>
  <c r="K359" i="12" a="1"/>
  <c r="I360" i="12" a="1"/>
  <c r="J360" i="12" a="1"/>
  <c r="K360" i="12" a="1"/>
  <c r="I361" i="12" a="1"/>
  <c r="J361" i="12" a="1"/>
  <c r="K361" i="12" a="1"/>
  <c r="I362" i="12" a="1"/>
  <c r="J362" i="12" a="1"/>
  <c r="K362" i="12" a="1"/>
  <c r="I363" i="12" a="1"/>
  <c r="J363" i="12" a="1"/>
  <c r="K363" i="12" a="1"/>
  <c r="I364" i="12" a="1"/>
  <c r="J364" i="12" a="1"/>
  <c r="K364" i="12" a="1"/>
  <c r="I365" i="12" a="1"/>
  <c r="J365" i="12" a="1"/>
  <c r="K365" i="12" a="1"/>
  <c r="I366" i="12" a="1"/>
  <c r="J366" i="12" a="1"/>
  <c r="K366" i="12" a="1"/>
  <c r="I367" i="12" a="1"/>
  <c r="J367" i="12" a="1"/>
  <c r="K367" i="12" a="1"/>
  <c r="I368" i="12" a="1"/>
  <c r="J368" i="12" a="1"/>
  <c r="K368" i="12" a="1"/>
  <c r="I369" i="12" a="1"/>
  <c r="J369" i="12" a="1"/>
  <c r="K369" i="12" a="1"/>
  <c r="I370" i="12" a="1"/>
  <c r="J370" i="12" a="1"/>
  <c r="K370" i="12" a="1"/>
  <c r="I371" i="12" a="1"/>
  <c r="J371" i="12" a="1"/>
  <c r="K371" i="12" a="1"/>
  <c r="I372" i="12" a="1"/>
  <c r="J372" i="12" a="1"/>
  <c r="K372" i="12" a="1"/>
  <c r="I373" i="12" a="1"/>
  <c r="J373" i="12" a="1"/>
  <c r="K373" i="12" a="1"/>
  <c r="I374" i="12" a="1"/>
  <c r="J374" i="12" a="1"/>
  <c r="K374" i="12" a="1"/>
  <c r="I375" i="12" a="1"/>
  <c r="J375" i="12" a="1"/>
  <c r="K375" i="12" a="1"/>
  <c r="I376" i="12" a="1"/>
  <c r="J376" i="12" a="1"/>
  <c r="K376" i="12" a="1"/>
  <c r="I377" i="12" a="1"/>
  <c r="J377" i="12" a="1"/>
  <c r="K377" i="12" a="1"/>
  <c r="I378" i="12" a="1"/>
  <c r="J378" i="12" a="1"/>
  <c r="K378" i="12" a="1"/>
  <c r="I379" i="12" a="1"/>
  <c r="J379" i="12" a="1"/>
  <c r="K379" i="12" a="1"/>
  <c r="I380" i="12" a="1"/>
  <c r="J380" i="12" a="1"/>
  <c r="K380" i="12" a="1"/>
  <c r="I381" i="12" a="1"/>
  <c r="J381" i="12" a="1"/>
  <c r="K381" i="12" a="1"/>
  <c r="I382" i="12" a="1"/>
  <c r="J382" i="12" a="1"/>
  <c r="K382" i="12" a="1"/>
  <c r="I383" i="12" a="1"/>
  <c r="J383" i="12" a="1"/>
  <c r="K383" i="12" a="1"/>
  <c r="I384" i="12" a="1"/>
  <c r="J384" i="12" a="1"/>
  <c r="K384" i="12" a="1"/>
  <c r="I385" i="12" a="1"/>
  <c r="J385" i="12" a="1"/>
  <c r="K385" i="12" a="1"/>
  <c r="I386" i="12" a="1"/>
  <c r="J386" i="12" a="1"/>
  <c r="K386" i="12" a="1"/>
  <c r="I387" i="12" a="1"/>
  <c r="J387" i="12" a="1"/>
  <c r="K387" i="12" a="1"/>
  <c r="I388" i="12" a="1"/>
  <c r="J388" i="12" a="1"/>
  <c r="K388" i="12" a="1"/>
  <c r="I389" i="12" a="1"/>
  <c r="J389" i="12" a="1"/>
  <c r="K389" i="12" a="1"/>
  <c r="I390" i="12" a="1"/>
  <c r="J390" i="12" a="1"/>
  <c r="K390" i="12" a="1"/>
  <c r="I391" i="12" a="1"/>
  <c r="J391" i="12" a="1"/>
  <c r="K391" i="12" a="1"/>
  <c r="I392" i="12" a="1"/>
  <c r="J392" i="12" a="1"/>
  <c r="K392" i="12" a="1"/>
  <c r="I393" i="12" a="1"/>
  <c r="J393" i="12" a="1"/>
  <c r="K393" i="12" a="1"/>
  <c r="I394" i="12" a="1"/>
  <c r="J394" i="12" a="1"/>
  <c r="K394" i="12" a="1"/>
  <c r="I395" i="12" a="1"/>
  <c r="J395" i="12" a="1"/>
  <c r="K395" i="12" a="1"/>
  <c r="I396" i="12" a="1"/>
  <c r="J396" i="12" a="1"/>
  <c r="K396" i="12" a="1"/>
  <c r="I397" i="12" a="1"/>
  <c r="J397" i="12" a="1"/>
  <c r="K397" i="12" a="1"/>
  <c r="I398" i="12" a="1"/>
  <c r="J398" i="12" a="1"/>
  <c r="K398" i="12" a="1"/>
  <c r="I399" i="12" a="1"/>
  <c r="J399" i="12" a="1"/>
  <c r="K399" i="12" a="1"/>
  <c r="I400" i="12" a="1"/>
  <c r="J400" i="12" a="1"/>
  <c r="K400" i="12" a="1"/>
  <c r="I401" i="12" a="1"/>
  <c r="J401" i="12" a="1"/>
  <c r="K401" i="12" a="1"/>
  <c r="I402" i="12" a="1"/>
  <c r="J402" i="12" a="1"/>
  <c r="K402" i="12" a="1"/>
  <c r="I403" i="12" a="1"/>
  <c r="J403" i="12" a="1"/>
  <c r="K403" i="12" a="1"/>
  <c r="I404" i="12" a="1"/>
  <c r="J404" i="12" a="1"/>
  <c r="K404" i="12" a="1"/>
  <c r="I405" i="12" a="1"/>
  <c r="J405" i="12" a="1"/>
  <c r="K405" i="12" a="1"/>
  <c r="I406" i="12" a="1"/>
  <c r="J406" i="12" a="1"/>
  <c r="K406" i="12" a="1"/>
  <c r="I407" i="12" a="1"/>
  <c r="J407" i="12" a="1"/>
  <c r="K407" i="12" a="1"/>
  <c r="I408" i="12" a="1"/>
  <c r="J408" i="12" a="1"/>
  <c r="K408" i="12" a="1"/>
  <c r="I409" i="12" a="1"/>
  <c r="J409" i="12" a="1"/>
  <c r="K409" i="12" a="1"/>
  <c r="I410" i="12" a="1"/>
  <c r="J410" i="12" a="1"/>
  <c r="K410" i="12" a="1"/>
  <c r="I411" i="12" a="1"/>
  <c r="J411" i="12" a="1"/>
  <c r="K411" i="12" a="1"/>
  <c r="I412" i="12" a="1"/>
  <c r="J412" i="12" a="1"/>
  <c r="K412" i="12" a="1"/>
  <c r="I413" i="12" a="1"/>
  <c r="J413" i="12" a="1"/>
  <c r="K413" i="12" a="1"/>
  <c r="I414" i="12" a="1"/>
  <c r="J414" i="12" a="1"/>
  <c r="K414" i="12" a="1"/>
  <c r="I415" i="12" a="1"/>
  <c r="J415" i="12" a="1"/>
  <c r="K415" i="12" a="1"/>
  <c r="I416" i="12" a="1"/>
  <c r="J416" i="12" a="1"/>
  <c r="K416" i="12" a="1"/>
  <c r="I417" i="12" a="1"/>
  <c r="J417" i="12" a="1"/>
  <c r="K417" i="12" a="1"/>
  <c r="I418" i="12" a="1"/>
  <c r="J418" i="12" a="1"/>
  <c r="K418" i="12" a="1"/>
  <c r="I419" i="12" a="1"/>
  <c r="J419" i="12" a="1"/>
  <c r="K419" i="12" a="1"/>
  <c r="I420" i="12" a="1"/>
  <c r="J420" i="12" a="1"/>
  <c r="K420" i="12" a="1"/>
  <c r="I421" i="12" a="1"/>
  <c r="J421" i="12" a="1"/>
  <c r="K421" i="12" a="1"/>
  <c r="I422" i="12" a="1"/>
  <c r="J422" i="12" a="1"/>
  <c r="K422" i="12" a="1"/>
  <c r="I423" i="12" a="1"/>
  <c r="J423" i="12" a="1"/>
  <c r="K423" i="12" a="1"/>
  <c r="I424" i="12" a="1"/>
  <c r="J424" i="12" a="1"/>
  <c r="K424" i="12" a="1"/>
  <c r="I425" i="12" a="1"/>
  <c r="J425" i="12" a="1"/>
  <c r="K425" i="12" a="1"/>
  <c r="I426" i="12" a="1"/>
  <c r="J426" i="12" a="1"/>
  <c r="K426" i="12" a="1"/>
  <c r="I427" i="12" a="1"/>
  <c r="J427" i="12" a="1"/>
  <c r="K427" i="12" a="1"/>
  <c r="I428" i="12" a="1"/>
  <c r="J428" i="12" a="1"/>
  <c r="K428" i="12" a="1"/>
  <c r="I429" i="12" a="1"/>
  <c r="J429" i="12" a="1"/>
  <c r="K429" i="12" a="1"/>
  <c r="I430" i="12" a="1"/>
  <c r="J430" i="12" a="1"/>
  <c r="K430" i="12" a="1"/>
  <c r="I431" i="12" a="1"/>
  <c r="J431" i="12" a="1"/>
  <c r="K431" i="12" a="1"/>
  <c r="I432" i="12" a="1"/>
  <c r="J432" i="12" a="1"/>
  <c r="K432" i="12" a="1"/>
  <c r="I433" i="12" a="1"/>
  <c r="J433" i="12" a="1"/>
  <c r="K433" i="12" a="1"/>
  <c r="I434" i="12" a="1"/>
  <c r="J434" i="12" a="1"/>
  <c r="K434" i="12" a="1"/>
  <c r="I435" i="12" a="1"/>
  <c r="J435" i="12" a="1"/>
  <c r="K435" i="12" a="1"/>
  <c r="I436" i="12" a="1"/>
  <c r="J436" i="12" a="1"/>
  <c r="K436" i="12" a="1"/>
  <c r="I437" i="12" a="1"/>
  <c r="J437" i="12" a="1"/>
  <c r="K437" i="12" a="1"/>
  <c r="I438" i="12" a="1"/>
  <c r="J438" i="12" a="1"/>
  <c r="K438" i="12" a="1"/>
  <c r="I439" i="12" a="1"/>
  <c r="J439" i="12" a="1"/>
  <c r="K439" i="12" a="1"/>
  <c r="I440" i="12" a="1"/>
  <c r="J440" i="12" a="1"/>
  <c r="K440" i="12" a="1"/>
  <c r="I441" i="12" a="1"/>
  <c r="J441" i="12" a="1"/>
  <c r="K441" i="12" a="1"/>
  <c r="I442" i="12" a="1"/>
  <c r="J442" i="12" a="1"/>
  <c r="K442" i="12" a="1"/>
  <c r="I443" i="12" a="1"/>
  <c r="J443" i="12" a="1"/>
  <c r="K443" i="12" a="1"/>
  <c r="I444" i="12" a="1"/>
  <c r="J444" i="12" a="1"/>
  <c r="K444" i="12" a="1"/>
  <c r="I445" i="12" a="1"/>
  <c r="J445" i="12" a="1"/>
  <c r="K445" i="12" a="1"/>
  <c r="I446" i="12" a="1"/>
  <c r="J446" i="12" a="1"/>
  <c r="K446" i="12" a="1"/>
  <c r="I447" i="12" a="1"/>
  <c r="J447" i="12" a="1"/>
  <c r="K447" i="12" a="1"/>
  <c r="I448" i="12" a="1"/>
  <c r="J448" i="12" a="1"/>
  <c r="K448" i="12" a="1"/>
  <c r="I449" i="12" a="1"/>
  <c r="J449" i="12" a="1"/>
  <c r="K449" i="12" a="1"/>
  <c r="I450" i="12" a="1"/>
  <c r="J450" i="12" a="1"/>
  <c r="K450" i="12" a="1"/>
  <c r="I451" i="12" a="1"/>
  <c r="J451" i="12" a="1"/>
  <c r="K451" i="12" a="1"/>
  <c r="I452" i="12" a="1"/>
  <c r="J452" i="12" a="1"/>
  <c r="K452" i="12" a="1"/>
  <c r="I453" i="12" a="1"/>
  <c r="J453" i="12" a="1"/>
  <c r="K453" i="12" a="1"/>
  <c r="I454" i="12" a="1"/>
  <c r="J454" i="12" a="1"/>
  <c r="K454" i="12" a="1"/>
  <c r="I455" i="12" a="1"/>
  <c r="J455" i="12" a="1"/>
  <c r="K455" i="12" a="1"/>
  <c r="I456" i="12" a="1"/>
  <c r="J456" i="12" a="1"/>
  <c r="K456" i="12" a="1"/>
  <c r="I457" i="12" a="1"/>
  <c r="J457" i="12" a="1"/>
  <c r="K457" i="12" a="1"/>
  <c r="I458" i="12" a="1"/>
  <c r="J458" i="12" a="1"/>
  <c r="K458" i="12" a="1"/>
  <c r="I459" i="12" a="1"/>
  <c r="J459" i="12" a="1"/>
  <c r="K459" i="12" a="1"/>
  <c r="I460" i="12" a="1"/>
  <c r="J460" i="12" a="1"/>
  <c r="K460" i="12" a="1"/>
  <c r="I461" i="12" a="1"/>
  <c r="J461" i="12" a="1"/>
  <c r="K461" i="12" a="1"/>
  <c r="I462" i="12" a="1"/>
  <c r="J462" i="12" a="1"/>
  <c r="K462" i="12" a="1"/>
  <c r="I463" i="12" a="1"/>
  <c r="J463" i="12" a="1"/>
  <c r="K463" i="12" a="1"/>
  <c r="I464" i="12" a="1"/>
  <c r="J464" i="12" a="1"/>
  <c r="K464" i="12" a="1"/>
  <c r="I465" i="12" a="1"/>
  <c r="J465" i="12" a="1"/>
  <c r="K465" i="12" a="1"/>
  <c r="I466" i="12" a="1"/>
  <c r="J466" i="12" a="1"/>
  <c r="K466" i="12" a="1"/>
  <c r="I467" i="12" a="1"/>
  <c r="J467" i="12" a="1"/>
  <c r="K467" i="12" a="1"/>
  <c r="I468" i="12" a="1"/>
  <c r="J468" i="12" a="1"/>
  <c r="K468" i="12" a="1"/>
  <c r="I469" i="12" a="1"/>
  <c r="J469" i="12" a="1"/>
  <c r="K469" i="12" a="1"/>
  <c r="I118" i="12" a="1"/>
  <c r="J118" i="12" a="1"/>
  <c r="K118" i="12" a="1"/>
  <c r="I119" i="12" a="1"/>
  <c r="J119" i="12" a="1"/>
  <c r="K119" i="12" a="1"/>
  <c r="I120" i="12" a="1"/>
  <c r="J120" i="12" a="1"/>
  <c r="K120" i="12" a="1"/>
  <c r="I121" i="12" a="1"/>
  <c r="J121" i="12" a="1"/>
  <c r="K121" i="12" a="1"/>
  <c r="I122" i="12" a="1"/>
  <c r="J122" i="12" a="1"/>
  <c r="K122" i="12" a="1"/>
  <c r="I123" i="12" a="1"/>
  <c r="J123" i="12" a="1"/>
  <c r="K123" i="12" a="1"/>
  <c r="I124" i="12" a="1"/>
  <c r="J124" i="12" a="1"/>
  <c r="K124" i="12" a="1"/>
  <c r="I125" i="12" a="1"/>
  <c r="J125" i="12" a="1"/>
  <c r="K125" i="12" a="1"/>
  <c r="I126" i="12" a="1"/>
  <c r="J126" i="12" a="1"/>
  <c r="K126" i="12" a="1"/>
  <c r="I127" i="12" a="1"/>
  <c r="J127" i="12" a="1"/>
  <c r="K127" i="12" a="1"/>
  <c r="I108" i="12" a="1"/>
  <c r="J108" i="12" a="1"/>
  <c r="K108" i="12" a="1"/>
  <c r="I109" i="12" a="1"/>
  <c r="J109" i="12" a="1"/>
  <c r="K109" i="12" a="1"/>
  <c r="I93" i="12" a="1"/>
  <c r="J93" i="12" a="1"/>
  <c r="K93" i="12" a="1"/>
  <c r="I94" i="12" a="1"/>
  <c r="J94" i="12" a="1"/>
  <c r="K94" i="12" a="1"/>
  <c r="I95" i="12" a="1"/>
  <c r="J95" i="12" a="1"/>
  <c r="K95" i="12" a="1"/>
  <c r="I96" i="12" a="1"/>
  <c r="J96" i="12" a="1"/>
  <c r="K96" i="12" a="1"/>
  <c r="I97" i="12" a="1"/>
  <c r="J97" i="12" a="1"/>
  <c r="K97" i="12" a="1"/>
  <c r="I98" i="12" a="1"/>
  <c r="J98" i="12" a="1"/>
  <c r="K98" i="12" a="1"/>
  <c r="I99" i="12" a="1"/>
  <c r="J99" i="12" a="1"/>
  <c r="K99" i="12" a="1"/>
  <c r="I100" i="12" a="1"/>
  <c r="J100" i="12" a="1"/>
  <c r="K100" i="12" a="1"/>
  <c r="I101" i="12" a="1"/>
  <c r="J101" i="12" a="1"/>
  <c r="K101" i="12" a="1"/>
  <c r="I102" i="12" a="1"/>
  <c r="J102" i="12" a="1"/>
  <c r="K102" i="12" a="1"/>
  <c r="I103" i="12" a="1"/>
  <c r="J103" i="12" a="1"/>
  <c r="K103" i="12" a="1"/>
  <c r="I104" i="12" a="1"/>
  <c r="J104" i="12" a="1"/>
  <c r="K104" i="12" a="1"/>
  <c r="I105" i="12" a="1"/>
  <c r="J105" i="12" a="1"/>
  <c r="K105" i="12" a="1"/>
  <c r="I106" i="12" a="1"/>
  <c r="J106" i="12" a="1"/>
  <c r="K106" i="12" a="1"/>
  <c r="I107" i="12" a="1"/>
  <c r="J107" i="12" a="1"/>
  <c r="K107" i="12" a="1"/>
  <c r="J3" i="12" a="1"/>
  <c r="J4" i="12" a="1"/>
  <c r="J5" i="12" a="1"/>
  <c r="J6" i="12" a="1"/>
  <c r="J7" i="12" a="1"/>
  <c r="J8" i="12" a="1"/>
  <c r="J9" i="12" a="1"/>
  <c r="J10" i="12" a="1"/>
  <c r="J11" i="12" a="1"/>
  <c r="J12" i="12" a="1"/>
  <c r="J13" i="12" a="1"/>
  <c r="J14" i="12" a="1"/>
  <c r="J15" i="12" a="1"/>
  <c r="J16" i="12" a="1"/>
  <c r="J17" i="12" a="1"/>
  <c r="J18" i="12" a="1"/>
  <c r="J19" i="12" a="1"/>
  <c r="J20" i="12" a="1"/>
  <c r="J21" i="12" a="1"/>
  <c r="J22" i="12" a="1"/>
  <c r="J23" i="12" a="1"/>
  <c r="J24" i="12" a="1"/>
  <c r="J25" i="12" a="1"/>
  <c r="J26" i="12" a="1"/>
  <c r="J27" i="12" a="1"/>
  <c r="J28" i="12" a="1"/>
  <c r="J29" i="12" a="1"/>
  <c r="J30" i="12" a="1"/>
  <c r="J31" i="12" a="1"/>
  <c r="J32" i="12" a="1"/>
  <c r="J33" i="12" a="1"/>
  <c r="J34" i="12" a="1"/>
  <c r="J35" i="12" a="1"/>
  <c r="J36" i="12" a="1"/>
  <c r="J37" i="12" a="1"/>
  <c r="J38" i="12" a="1"/>
  <c r="J39" i="12" a="1"/>
  <c r="J40" i="12" a="1"/>
  <c r="J41" i="12" a="1"/>
  <c r="J42" i="12" a="1"/>
  <c r="J43" i="12" a="1"/>
  <c r="J44" i="12" a="1"/>
  <c r="J45" i="12" a="1"/>
  <c r="J46" i="12" a="1"/>
  <c r="J47" i="12" a="1"/>
  <c r="J48" i="12" a="1"/>
  <c r="J49" i="12" a="1"/>
  <c r="J50" i="12" a="1"/>
  <c r="J51" i="12" a="1"/>
  <c r="J52" i="12" a="1"/>
  <c r="J53" i="12" a="1"/>
  <c r="J54" i="12" a="1"/>
  <c r="J55" i="12" a="1"/>
  <c r="J56" i="12" a="1"/>
  <c r="J57" i="12" a="1"/>
  <c r="J58" i="12" a="1"/>
  <c r="J59" i="12" a="1"/>
  <c r="J60" i="12" a="1"/>
  <c r="J61" i="12" a="1"/>
  <c r="J62" i="12" a="1"/>
  <c r="J63" i="12" a="1"/>
  <c r="J64" i="12" a="1"/>
  <c r="J65" i="12" a="1"/>
  <c r="J66" i="12" a="1"/>
  <c r="J67" i="12" a="1"/>
  <c r="J68" i="12" a="1"/>
  <c r="J69" i="12" a="1"/>
  <c r="J70" i="12" a="1"/>
  <c r="J71" i="12" a="1"/>
  <c r="J72" i="12" a="1"/>
  <c r="J73" i="12" a="1"/>
  <c r="J74" i="12" a="1"/>
  <c r="J75" i="12" a="1"/>
  <c r="J76" i="12" a="1"/>
  <c r="J77" i="12" a="1"/>
  <c r="J78" i="12" a="1"/>
  <c r="J79" i="12" a="1"/>
  <c r="J80" i="12" a="1"/>
  <c r="J81" i="12" a="1"/>
  <c r="J82" i="12" a="1"/>
  <c r="J83" i="12" a="1"/>
  <c r="J84" i="12" a="1"/>
  <c r="J85" i="12" a="1"/>
  <c r="J86" i="12" a="1"/>
  <c r="J87" i="12" a="1"/>
  <c r="J88" i="12" a="1"/>
  <c r="J89" i="12" a="1"/>
  <c r="J90" i="12" a="1"/>
  <c r="J91" i="12" a="1"/>
  <c r="J92" i="12" a="1"/>
  <c r="J110" i="12" a="1"/>
  <c r="J111" i="12" a="1"/>
  <c r="J112" i="12" a="1"/>
  <c r="J113" i="12" a="1"/>
  <c r="J114" i="12" a="1"/>
  <c r="J115" i="12" a="1"/>
  <c r="J116" i="12" a="1"/>
  <c r="J117" i="12" a="1"/>
  <c r="J2" i="12" a="1"/>
  <c r="I74" i="12" a="1"/>
  <c r="K74" i="12" a="1"/>
  <c r="I75" i="12" a="1"/>
  <c r="K75" i="12" a="1"/>
  <c r="I76" i="12" a="1"/>
  <c r="K76" i="12" a="1"/>
  <c r="I77" i="12" a="1"/>
  <c r="K77" i="12" a="1"/>
  <c r="I78" i="12" a="1"/>
  <c r="K78" i="12" a="1"/>
  <c r="I79" i="12" a="1"/>
  <c r="K79" i="12" a="1"/>
  <c r="I80" i="12" a="1"/>
  <c r="K80" i="12" a="1"/>
  <c r="I81" i="12" a="1"/>
  <c r="K81" i="12" a="1"/>
  <c r="I82" i="12" a="1"/>
  <c r="K82" i="12" a="1"/>
  <c r="I83" i="12" a="1"/>
  <c r="K83" i="12" a="1"/>
  <c r="I84" i="12" a="1"/>
  <c r="K84" i="12" a="1"/>
  <c r="I85" i="12" a="1"/>
  <c r="K85" i="12" a="1"/>
  <c r="I86" i="12" a="1"/>
  <c r="K86" i="12" a="1"/>
  <c r="I87" i="12" a="1"/>
  <c r="K87" i="12" a="1"/>
  <c r="I88" i="12" a="1"/>
  <c r="K88" i="12" a="1"/>
  <c r="I89" i="12" a="1"/>
  <c r="K89" i="12" a="1"/>
  <c r="I90" i="12" a="1"/>
  <c r="K90" i="12" a="1"/>
  <c r="I91" i="12" a="1"/>
  <c r="K91" i="12" a="1"/>
  <c r="I92" i="12" a="1"/>
  <c r="K92" i="12" a="1"/>
  <c r="I110" i="12" a="1"/>
  <c r="K110" i="12" a="1"/>
  <c r="I111" i="12" a="1"/>
  <c r="K111" i="12" a="1"/>
  <c r="I112" i="12" a="1"/>
  <c r="K112" i="12" a="1"/>
  <c r="I113" i="12" a="1"/>
  <c r="K113" i="12" a="1"/>
  <c r="I114" i="12" a="1"/>
  <c r="K114" i="12" a="1"/>
  <c r="I115" i="12" a="1"/>
  <c r="K115" i="12" a="1"/>
  <c r="I116" i="12" a="1"/>
  <c r="K116" i="12" a="1"/>
  <c r="I117" i="12" a="1"/>
  <c r="K117" i="12" a="1"/>
  <c r="K3" i="12" a="1"/>
  <c r="K4" i="12" a="1"/>
  <c r="K5" i="12" a="1"/>
  <c r="K6" i="12" a="1"/>
  <c r="K7" i="12" a="1"/>
  <c r="K8" i="12" a="1"/>
  <c r="K9" i="12" a="1"/>
  <c r="K10" i="12" a="1"/>
  <c r="K11" i="12" a="1"/>
  <c r="K12" i="12" a="1"/>
  <c r="K13" i="12" a="1"/>
  <c r="K14" i="12" a="1"/>
  <c r="K15" i="12" a="1"/>
  <c r="K16" i="12" a="1"/>
  <c r="K17" i="12" a="1"/>
  <c r="K18" i="12" a="1"/>
  <c r="K19" i="12" a="1"/>
  <c r="K20" i="12" a="1"/>
  <c r="K21" i="12" a="1"/>
  <c r="K22" i="12" a="1"/>
  <c r="K23" i="12" a="1"/>
  <c r="K24" i="12" a="1"/>
  <c r="K25" i="12" a="1"/>
  <c r="K26" i="12" a="1"/>
  <c r="K27" i="12" a="1"/>
  <c r="K28" i="12" a="1"/>
  <c r="K29" i="12" a="1"/>
  <c r="K30" i="12" a="1"/>
  <c r="K31" i="12" a="1"/>
  <c r="K32" i="12" a="1"/>
  <c r="K33" i="12" a="1"/>
  <c r="K34" i="12" a="1"/>
  <c r="K35" i="12" a="1"/>
  <c r="K36" i="12" a="1"/>
  <c r="K37" i="12" a="1"/>
  <c r="K38" i="12" a="1"/>
  <c r="K39" i="12" a="1"/>
  <c r="K40" i="12" a="1"/>
  <c r="K41" i="12" a="1"/>
  <c r="K42" i="12" a="1"/>
  <c r="K43" i="12" a="1"/>
  <c r="K44" i="12" a="1"/>
  <c r="K45" i="12" a="1"/>
  <c r="K46" i="12" a="1"/>
  <c r="K47" i="12" a="1"/>
  <c r="K48" i="12" a="1"/>
  <c r="K49" i="12" a="1"/>
  <c r="K50" i="12" a="1"/>
  <c r="K51" i="12" a="1"/>
  <c r="K52" i="12" a="1"/>
  <c r="K53" i="12" a="1"/>
  <c r="K54" i="12" a="1"/>
  <c r="K55" i="12" a="1"/>
  <c r="K56" i="12" a="1"/>
  <c r="K57" i="12" a="1"/>
  <c r="K58" i="12" a="1"/>
  <c r="K59" i="12" a="1"/>
  <c r="K60" i="12" a="1"/>
  <c r="K61" i="12" a="1"/>
  <c r="K62" i="12" a="1"/>
  <c r="K63" i="12" a="1"/>
  <c r="K64" i="12" a="1"/>
  <c r="K65" i="12" a="1"/>
  <c r="K66" i="12" a="1"/>
  <c r="K67" i="12" a="1"/>
  <c r="K68" i="12" a="1"/>
  <c r="K69" i="12" a="1"/>
  <c r="K70" i="12" a="1"/>
  <c r="K71" i="12" a="1"/>
  <c r="K72" i="12" a="1"/>
  <c r="K73" i="12" a="1"/>
  <c r="K2" i="12" a="1"/>
  <c r="I3" i="12" a="1"/>
  <c r="I4" i="12" a="1"/>
  <c r="I5" i="12" a="1"/>
  <c r="I6" i="12" a="1"/>
  <c r="I7" i="12" a="1"/>
  <c r="I8" i="12" a="1"/>
  <c r="I9" i="12" a="1"/>
  <c r="I10" i="12" a="1"/>
  <c r="I11" i="12" a="1"/>
  <c r="I12" i="12" a="1"/>
  <c r="I13" i="12" a="1"/>
  <c r="I14" i="12" a="1"/>
  <c r="I15" i="12" a="1"/>
  <c r="I16" i="12" a="1"/>
  <c r="I17" i="12" a="1"/>
  <c r="I18" i="12" a="1"/>
  <c r="I19" i="12" a="1"/>
  <c r="I20" i="12" a="1"/>
  <c r="I21" i="12" a="1"/>
  <c r="I22" i="12" a="1"/>
  <c r="I23" i="12" a="1"/>
  <c r="I24" i="12" a="1"/>
  <c r="I25" i="12" a="1"/>
  <c r="I26" i="12" a="1"/>
  <c r="I27" i="12" a="1"/>
  <c r="I28" i="12" a="1"/>
  <c r="I29" i="12" a="1"/>
  <c r="I30" i="12" a="1"/>
  <c r="I31" i="12" a="1"/>
  <c r="I32" i="12" a="1"/>
  <c r="I33" i="12" a="1"/>
  <c r="I34" i="12" a="1"/>
  <c r="I35" i="12" a="1"/>
  <c r="I36" i="12" a="1"/>
  <c r="I37" i="12" a="1"/>
  <c r="I38" i="12" a="1"/>
  <c r="I39" i="12" a="1"/>
  <c r="I40" i="12" a="1"/>
  <c r="I41" i="12" a="1"/>
  <c r="I42" i="12" a="1"/>
  <c r="I43" i="12" a="1"/>
  <c r="I44" i="12" a="1"/>
  <c r="I45" i="12" a="1"/>
  <c r="I46" i="12" a="1"/>
  <c r="I47" i="12" a="1"/>
  <c r="I48" i="12" a="1"/>
  <c r="I49" i="12" a="1"/>
  <c r="I50" i="12" a="1"/>
  <c r="I51" i="12" a="1"/>
  <c r="I52" i="12" a="1"/>
  <c r="I53" i="12" a="1"/>
  <c r="I54" i="12" a="1"/>
  <c r="I55" i="12" a="1"/>
  <c r="I56" i="12" a="1"/>
  <c r="I57" i="12" a="1"/>
  <c r="I58" i="12" a="1"/>
  <c r="I59" i="12" a="1"/>
  <c r="I60" i="12" a="1"/>
  <c r="I61" i="12" a="1"/>
  <c r="I62" i="12" a="1"/>
  <c r="I63" i="12" a="1"/>
  <c r="I64" i="12" a="1"/>
  <c r="I65" i="12" a="1"/>
  <c r="I66" i="12" a="1"/>
  <c r="I67" i="12" a="1"/>
  <c r="I68" i="12" a="1"/>
  <c r="I69" i="12" a="1"/>
  <c r="I70" i="12" a="1"/>
  <c r="I71" i="12" a="1"/>
  <c r="I72" i="12" a="1"/>
  <c r="I73" i="12" a="1"/>
  <c r="I2" i="12" a="1"/>
  <c r="D26" i="9"/>
  <c r="W26" i="9"/>
  <c r="D77" i="9"/>
  <c r="D76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W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W15" i="9"/>
  <c r="D14" i="9"/>
  <c r="W14" i="9" s="1"/>
  <c r="D13" i="9"/>
  <c r="W13" i="9" s="1"/>
  <c r="D11" i="9"/>
  <c r="W11" i="9" s="1"/>
  <c r="D10" i="9"/>
  <c r="W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W2" i="9"/>
  <c r="D77" i="8"/>
  <c r="D76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77" i="7"/>
  <c r="D76" i="7"/>
  <c r="AB34" i="7" a="1"/>
  <c r="AA34" i="7" a="1"/>
  <c r="Z34" i="7" a="1"/>
  <c r="D34" i="7"/>
  <c r="AB33" i="7" a="1"/>
  <c r="AA33" i="7" a="1"/>
  <c r="Z33" i="7" a="1"/>
  <c r="D33" i="7"/>
  <c r="AB32" i="7" a="1"/>
  <c r="AA32" i="7" a="1"/>
  <c r="Z32" i="7" a="1"/>
  <c r="D32" i="7"/>
  <c r="AB31" i="7" a="1"/>
  <c r="AA31" i="7" a="1"/>
  <c r="Z31" i="7" a="1"/>
  <c r="D31" i="7"/>
  <c r="AB30" i="7" a="1"/>
  <c r="AA30" i="7" a="1"/>
  <c r="Z30" i="7" a="1"/>
  <c r="D30" i="7"/>
  <c r="AB29" i="7" a="1"/>
  <c r="AA29" i="7" a="1"/>
  <c r="Z29" i="7" a="1"/>
  <c r="D29" i="7"/>
  <c r="AB28" i="7" a="1"/>
  <c r="AA28" i="7" a="1"/>
  <c r="Z28" i="7" a="1"/>
  <c r="D28" i="7"/>
  <c r="AB27" i="7" a="1"/>
  <c r="AA27" i="7" a="1"/>
  <c r="Z27" i="7" a="1"/>
  <c r="D27" i="7"/>
  <c r="AB26" i="7" a="1"/>
  <c r="AA26" i="7" a="1"/>
  <c r="Z26" i="7" a="1"/>
  <c r="D26" i="7"/>
  <c r="AB25" i="7" a="1"/>
  <c r="AA25" i="7" a="1"/>
  <c r="Z25" i="7" a="1"/>
  <c r="D25" i="7"/>
  <c r="AB24" i="7" a="1"/>
  <c r="AA24" i="7" a="1"/>
  <c r="Z24" i="7" a="1"/>
  <c r="D24" i="7"/>
  <c r="AB23" i="7" a="1"/>
  <c r="AA23" i="7" a="1"/>
  <c r="Z23" i="7" a="1"/>
  <c r="D23" i="7"/>
  <c r="AB22" i="7" a="1"/>
  <c r="AA22" i="7" a="1"/>
  <c r="Z22" i="7" a="1"/>
  <c r="D22" i="7"/>
  <c r="AB21" i="7" a="1"/>
  <c r="AA21" i="7" a="1"/>
  <c r="Z21" i="7" a="1"/>
  <c r="D21" i="7"/>
  <c r="AB20" i="7" a="1"/>
  <c r="AA20" i="7" a="1"/>
  <c r="Z20" i="7" a="1"/>
  <c r="D20" i="7"/>
  <c r="AB19" i="7" a="1"/>
  <c r="AA19" i="7" a="1"/>
  <c r="Z19" i="7" a="1"/>
  <c r="D19" i="7"/>
  <c r="AB18" i="7" a="1"/>
  <c r="AA18" i="7" a="1"/>
  <c r="Z18" i="7" a="1"/>
  <c r="D18" i="7"/>
  <c r="AB17" i="7" a="1"/>
  <c r="AA17" i="7" a="1"/>
  <c r="Z17" i="7" a="1"/>
  <c r="D17" i="7"/>
  <c r="AB16" i="7" a="1"/>
  <c r="AA16" i="7" a="1"/>
  <c r="Z16" i="7" a="1"/>
  <c r="D16" i="7"/>
  <c r="AB15" i="7" a="1"/>
  <c r="AA15" i="7" a="1"/>
  <c r="Z15" i="7" a="1"/>
  <c r="D15" i="7"/>
  <c r="AB14" i="7" a="1"/>
  <c r="AA14" i="7" a="1"/>
  <c r="Z14" i="7" a="1"/>
  <c r="D14" i="7"/>
  <c r="AB13" i="7" a="1"/>
  <c r="AA13" i="7" a="1"/>
  <c r="Z13" i="7" a="1"/>
  <c r="D13" i="7"/>
  <c r="AB12" i="7" a="1"/>
  <c r="AA12" i="7" a="1"/>
  <c r="Z12" i="7" a="1"/>
  <c r="D12" i="7"/>
  <c r="AB11" i="7" a="1"/>
  <c r="AA11" i="7" a="1"/>
  <c r="Z11" i="7" a="1"/>
  <c r="D11" i="7"/>
  <c r="AB10" i="7" a="1"/>
  <c r="AA10" i="7" a="1"/>
  <c r="Z10" i="7" a="1"/>
  <c r="D10" i="7"/>
  <c r="AB9" i="7" a="1"/>
  <c r="AA9" i="7" a="1"/>
  <c r="Z9" i="7" a="1"/>
  <c r="D9" i="7"/>
  <c r="AB8" i="7" a="1"/>
  <c r="AA8" i="7" a="1"/>
  <c r="Z8" i="7" a="1"/>
  <c r="D8" i="7"/>
  <c r="AB7" i="7" a="1"/>
  <c r="AA7" i="7" a="1"/>
  <c r="Z7" i="7" a="1"/>
  <c r="D7" i="7"/>
  <c r="AB6" i="7" a="1"/>
  <c r="AA6" i="7" a="1"/>
  <c r="Z6" i="7" a="1"/>
  <c r="D6" i="7"/>
  <c r="AB5" i="7" a="1"/>
  <c r="AA5" i="7" a="1"/>
  <c r="Z5" i="7" a="1"/>
  <c r="D5" i="7"/>
  <c r="AB4" i="7" a="1"/>
  <c r="AA4" i="7" a="1"/>
  <c r="Z4" i="7" a="1"/>
  <c r="D4" i="7"/>
  <c r="AB3" i="7" a="1"/>
  <c r="AA3" i="7" a="1"/>
  <c r="Z3" i="7" a="1"/>
  <c r="D3" i="7"/>
  <c r="AB2" i="7" a="1"/>
  <c r="AA2" i="7" a="1"/>
  <c r="Z2" i="7" a="1"/>
  <c r="D2" i="7"/>
  <c r="D77" i="5"/>
  <c r="D78" i="5"/>
  <c r="AB2" i="5" a="1"/>
  <c r="AB3" i="5" a="1"/>
  <c r="AB4" i="5" a="1"/>
  <c r="AB5" i="5" a="1"/>
  <c r="AB6" i="5" a="1"/>
  <c r="AB7" i="5" a="1"/>
  <c r="AB8" i="5" a="1"/>
  <c r="AB9" i="5" a="1"/>
  <c r="AB10" i="5" a="1"/>
  <c r="AB11" i="5" a="1"/>
  <c r="AB12" i="5" a="1"/>
  <c r="AB13" i="5" a="1"/>
  <c r="AB14" i="5" a="1"/>
  <c r="AB15" i="5" a="1"/>
  <c r="AB16" i="5" a="1"/>
  <c r="AB17" i="5" a="1"/>
  <c r="AB18" i="5" a="1"/>
  <c r="AB19" i="5" a="1"/>
  <c r="AB20" i="5" a="1"/>
  <c r="AB21" i="5" a="1"/>
  <c r="AB22" i="5" a="1"/>
  <c r="AB23" i="5" a="1"/>
  <c r="AB24" i="5" a="1"/>
  <c r="AB25" i="5" a="1"/>
  <c r="AB26" i="5" a="1"/>
  <c r="AB27" i="5" a="1"/>
  <c r="AB28" i="5" a="1"/>
  <c r="AB29" i="5" a="1"/>
  <c r="AB30" i="5" a="1"/>
  <c r="AB31" i="5" a="1"/>
  <c r="AB32" i="5" a="1"/>
  <c r="AB33" i="5" a="1"/>
  <c r="AB34" i="5" a="1"/>
  <c r="AA2" i="5" a="1"/>
  <c r="AA3" i="5" a="1"/>
  <c r="AA4" i="5" a="1"/>
  <c r="AA5" i="5" a="1"/>
  <c r="AA6" i="5" a="1"/>
  <c r="AA7" i="5" a="1"/>
  <c r="AA8" i="5" a="1"/>
  <c r="AA9" i="5" a="1"/>
  <c r="AA10" i="5" a="1"/>
  <c r="AA11" i="5" a="1"/>
  <c r="AA12" i="5" a="1"/>
  <c r="AA13" i="5" a="1"/>
  <c r="AA14" i="5" a="1"/>
  <c r="AA15" i="5" a="1"/>
  <c r="AA16" i="5" a="1"/>
  <c r="AA17" i="5" a="1"/>
  <c r="AA18" i="5" a="1"/>
  <c r="AA19" i="5" a="1"/>
  <c r="AA20" i="5" a="1"/>
  <c r="AA21" i="5" a="1"/>
  <c r="AA22" i="5" a="1"/>
  <c r="AA23" i="5" a="1"/>
  <c r="AA24" i="5" a="1"/>
  <c r="AA25" i="5" a="1"/>
  <c r="AA26" i="5" a="1"/>
  <c r="AA27" i="5" a="1"/>
  <c r="AA28" i="5" a="1"/>
  <c r="AA29" i="5" a="1"/>
  <c r="AA30" i="5" a="1"/>
  <c r="AA31" i="5" a="1"/>
  <c r="AA32" i="5" a="1"/>
  <c r="AA33" i="5" a="1"/>
  <c r="AA34" i="5" a="1"/>
  <c r="Z24" i="5" a="1"/>
  <c r="G76" i="4" a="1"/>
  <c r="G77" i="4" a="1"/>
  <c r="H77" i="4" s="1"/>
  <c r="F76" i="4" a="1"/>
  <c r="H76" i="4" s="1"/>
  <c r="F77" i="4" a="1"/>
  <c r="G7" i="4" a="1"/>
  <c r="G22" i="4" a="1"/>
  <c r="G17" i="4" a="1"/>
  <c r="G42" i="4" a="1"/>
  <c r="G14" i="4" a="1"/>
  <c r="G16" i="4" a="1"/>
  <c r="G46" i="4" a="1"/>
  <c r="G27" i="4" a="1"/>
  <c r="G19" i="4" a="1"/>
  <c r="G13" i="4" a="1"/>
  <c r="G21" i="4" a="1"/>
  <c r="G8" i="4" a="1"/>
  <c r="G3" i="4" a="1"/>
  <c r="G2" i="4" a="1"/>
  <c r="G9" i="4" a="1"/>
  <c r="G11" i="4" a="1"/>
  <c r="G63" i="4" a="1"/>
  <c r="G60" i="4" a="1"/>
  <c r="G33" i="4" a="1"/>
  <c r="G43" i="4" a="1"/>
  <c r="G51" i="4" a="1"/>
  <c r="G30" i="4" a="1"/>
  <c r="G50" i="4" a="1"/>
  <c r="G53" i="4" a="1"/>
  <c r="G44" i="4" a="1"/>
  <c r="G37" i="4" a="1"/>
  <c r="G31" i="4" a="1"/>
  <c r="G32" i="4" a="1"/>
  <c r="G36" i="4" a="1"/>
  <c r="G55" i="4" a="1"/>
  <c r="G62" i="4" a="1"/>
  <c r="G39" i="4" a="1"/>
  <c r="G54" i="4" a="1"/>
  <c r="F7" i="4" a="1"/>
  <c r="F22" i="4" a="1"/>
  <c r="F17" i="4" a="1"/>
  <c r="F42" i="4" a="1"/>
  <c r="F14" i="4" a="1"/>
  <c r="H14" i="4" s="1"/>
  <c r="F16" i="4" a="1"/>
  <c r="H16" i="4" s="1"/>
  <c r="F46" i="4" a="1"/>
  <c r="H46" i="4" s="1"/>
  <c r="F27" i="4" a="1"/>
  <c r="F19" i="4" a="1"/>
  <c r="H19" i="4" s="1"/>
  <c r="F13" i="4" a="1"/>
  <c r="F21" i="4" a="1"/>
  <c r="F8" i="4" a="1"/>
  <c r="F3" i="4" a="1"/>
  <c r="H3" i="4" s="1"/>
  <c r="F2" i="4" a="1"/>
  <c r="F9" i="4" a="1"/>
  <c r="H9" i="4" s="1"/>
  <c r="F11" i="4" a="1"/>
  <c r="F63" i="4" a="1"/>
  <c r="F60" i="4" a="1"/>
  <c r="F33" i="4" a="1"/>
  <c r="H33" i="4" s="1"/>
  <c r="F43" i="4" a="1"/>
  <c r="F51" i="4" a="1"/>
  <c r="H51" i="4" s="1"/>
  <c r="F30" i="4" a="1"/>
  <c r="H30" i="4" s="1"/>
  <c r="F50" i="4" a="1"/>
  <c r="F53" i="4" a="1"/>
  <c r="F44" i="4" a="1"/>
  <c r="F37" i="4" a="1"/>
  <c r="F31" i="4" a="1"/>
  <c r="F32" i="4" a="1"/>
  <c r="H32" i="4" s="1"/>
  <c r="F36" i="4" a="1"/>
  <c r="F55" i="4" a="1"/>
  <c r="H55" i="4" s="1"/>
  <c r="F62" i="4" a="1"/>
  <c r="F39" i="4" a="1"/>
  <c r="F54" i="4" a="1"/>
  <c r="Z2" i="5" a="1"/>
  <c r="Z3" i="5" a="1"/>
  <c r="Z4" i="5" a="1"/>
  <c r="Z5" i="5" a="1"/>
  <c r="Z6" i="5" a="1"/>
  <c r="Z7" i="5" a="1"/>
  <c r="Z8" i="5" a="1"/>
  <c r="Z9" i="5" a="1"/>
  <c r="Z10" i="5" a="1"/>
  <c r="Z11" i="5" a="1"/>
  <c r="Z12" i="5" a="1"/>
  <c r="Z13" i="5" a="1"/>
  <c r="Z14" i="5" a="1"/>
  <c r="Z15" i="5" a="1"/>
  <c r="Z16" i="5" a="1"/>
  <c r="Z17" i="5" a="1"/>
  <c r="Z18" i="5" a="1"/>
  <c r="Z19" i="5" a="1"/>
  <c r="Z20" i="5" a="1"/>
  <c r="Z21" i="5" a="1"/>
  <c r="Z22" i="5" a="1"/>
  <c r="Z23" i="5" a="1"/>
  <c r="Z25" i="5" a="1"/>
  <c r="Z26" i="5" a="1"/>
  <c r="Z27" i="5" a="1"/>
  <c r="Z28" i="5" a="1"/>
  <c r="Z29" i="5" a="1"/>
  <c r="Z30" i="5" a="1"/>
  <c r="Z31" i="5" a="1"/>
  <c r="Z32" i="5" a="1"/>
  <c r="Z33" i="5" a="1"/>
  <c r="Z34" i="5" a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4" i="4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5" i="12"/>
  <c r="N1265" i="12" s="1"/>
  <c r="M1269" i="12"/>
  <c r="N1269" i="12" s="1"/>
  <c r="M1268" i="12"/>
  <c r="N1268" i="12" s="1"/>
  <c r="M1272" i="12"/>
  <c r="N1272" i="12" s="1"/>
  <c r="M1263" i="12"/>
  <c r="N1263" i="12" s="1"/>
  <c r="M1261" i="12"/>
  <c r="N1261" i="12" s="1"/>
  <c r="M1251" i="12"/>
  <c r="N1251" i="12" s="1"/>
  <c r="M1252" i="12"/>
  <c r="N1252" i="12" s="1"/>
  <c r="M1256" i="12"/>
  <c r="N1256" i="12" s="1"/>
  <c r="M1246" i="12"/>
  <c r="N1246" i="12" s="1"/>
  <c r="M1244" i="12"/>
  <c r="N1244" i="12" s="1"/>
  <c r="M1250" i="12"/>
  <c r="N1250" i="12" s="1"/>
  <c r="M1248" i="12"/>
  <c r="N1248" i="12" s="1"/>
  <c r="M1247" i="12"/>
  <c r="N1247" i="12" s="1"/>
  <c r="M1253" i="12"/>
  <c r="N1253" i="12" s="1"/>
  <c r="M1249" i="12"/>
  <c r="N1249" i="12" s="1"/>
  <c r="M1254" i="12"/>
  <c r="N1254" i="12" s="1"/>
  <c r="M1255" i="12"/>
  <c r="N1255" i="12" s="1"/>
  <c r="M1260" i="12"/>
  <c r="N1260" i="12" s="1"/>
  <c r="M1245" i="12"/>
  <c r="N1245" i="12" s="1"/>
  <c r="H73" i="4"/>
  <c r="M1213" i="12"/>
  <c r="N1213" i="12" s="1"/>
  <c r="H71" i="4"/>
  <c r="M1214" i="12"/>
  <c r="N1214" i="12" s="1"/>
  <c r="M1208" i="12"/>
  <c r="N1208" i="12" s="1"/>
  <c r="M1210" i="12"/>
  <c r="N1210" i="12" s="1"/>
  <c r="M1215" i="12"/>
  <c r="N1215" i="12" s="1"/>
  <c r="M1212" i="12"/>
  <c r="N1212" i="12" s="1"/>
  <c r="M1209" i="12"/>
  <c r="N1209" i="12" s="1"/>
  <c r="M1211" i="12"/>
  <c r="N1211" i="12" s="1"/>
  <c r="M1218" i="12"/>
  <c r="N1218" i="12" s="1"/>
  <c r="M1223" i="12"/>
  <c r="N1223" i="12" s="1"/>
  <c r="M1220" i="12"/>
  <c r="N1220" i="12" s="1"/>
  <c r="M1225" i="12"/>
  <c r="N1225" i="12" s="1"/>
  <c r="M1217" i="12"/>
  <c r="N1217" i="12" s="1"/>
  <c r="M1222" i="12"/>
  <c r="N1222" i="12" s="1"/>
  <c r="M1219" i="12"/>
  <c r="N1219" i="12" s="1"/>
  <c r="M1224" i="12"/>
  <c r="N1224" i="12" s="1"/>
  <c r="M1216" i="12"/>
  <c r="N1216" i="12" s="1"/>
  <c r="M1221" i="12"/>
  <c r="N1221" i="12" s="1"/>
  <c r="H60" i="4"/>
  <c r="H22" i="4"/>
  <c r="H13" i="4"/>
  <c r="H17" i="4"/>
  <c r="H63" i="4"/>
  <c r="H7" i="4"/>
  <c r="H40" i="4"/>
  <c r="H65" i="4"/>
  <c r="H41" i="4"/>
  <c r="H28" i="4"/>
  <c r="H2" i="4"/>
  <c r="H56" i="4"/>
  <c r="H31" i="4"/>
  <c r="H57" i="4"/>
  <c r="H21" i="4"/>
  <c r="H35" i="4"/>
  <c r="H34" i="4"/>
  <c r="H6" i="4"/>
  <c r="H15" i="4"/>
  <c r="H27" i="4"/>
  <c r="H23" i="4"/>
  <c r="H37" i="4"/>
  <c r="H69" i="4"/>
  <c r="H43" i="4"/>
  <c r="H12" i="4"/>
  <c r="H20" i="4"/>
  <c r="H29" i="4"/>
  <c r="H25" i="4"/>
  <c r="H54" i="4"/>
  <c r="H42" i="4"/>
  <c r="H39" i="4"/>
  <c r="H62" i="4"/>
  <c r="H11" i="4"/>
  <c r="H36" i="4"/>
  <c r="H8" i="4"/>
  <c r="H59" i="4"/>
  <c r="H45" i="4"/>
  <c r="H18" i="4"/>
  <c r="H66" i="4"/>
  <c r="H44" i="4"/>
  <c r="H53" i="4"/>
  <c r="H68" i="4"/>
  <c r="H50" i="4"/>
  <c r="H70" i="4"/>
  <c r="H67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<sst xmlns="http://schemas.openxmlformats.org/spreadsheetml/2006/main" count="15087" uniqueCount="145">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</sst>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1" fillId="0" borderId="0"/>
    <xf numFmtId="0" fontId="20" fillId="0" borderId="0"/>
    <xf numFmtId="9" fontId="26" fillId="0" borderId="0" applyFont="0" applyFill="0" applyBorder="0" applyAlignment="0" applyProtection="0"/>
  </cellStyleXfs>
  <cellXfs count="126">
    <xf numFmtId="0" fontId="0" fillId="0" borderId="0" xfId="0"/>
    <xf numFmtId="0" fontId="22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21" fillId="0" borderId="0" xfId="1"/>
    <xf numFmtId="0" fontId="20" fillId="0" borderId="0" xfId="2"/>
    <xf numFmtId="14" fontId="20" fillId="0" borderId="0" xfId="2" applyNumberFormat="1"/>
    <xf numFmtId="1" fontId="0" fillId="0" borderId="0" xfId="0" applyNumberFormat="1" applyAlignment="1">
      <alignment horizontal="center"/>
    </xf>
    <xf numFmtId="14" fontId="21" fillId="0" borderId="0" xfId="1" applyNumberFormat="1"/>
    <xf numFmtId="0" fontId="19" fillId="0" borderId="0" xfId="1" applyFont="1"/>
    <xf numFmtId="0" fontId="19" fillId="0" borderId="0" xfId="0" applyFont="1"/>
    <xf numFmtId="14" fontId="19" fillId="0" borderId="0" xfId="0" applyNumberFormat="1" applyFont="1"/>
    <xf numFmtId="14" fontId="19" fillId="0" borderId="0" xfId="1" applyNumberFormat="1" applyFont="1"/>
    <xf numFmtId="0" fontId="18" fillId="0" borderId="0" xfId="0" applyFont="1"/>
    <xf numFmtId="0" fontId="17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25" fillId="0" borderId="1" xfId="0" applyFont="1" applyBorder="1"/>
    <xf numFmtId="14" fontId="17" fillId="0" borderId="1" xfId="0" applyNumberFormat="1" applyFont="1" applyBorder="1"/>
    <xf numFmtId="0" fontId="17" fillId="0" borderId="1" xfId="0" applyFont="1" applyBorder="1"/>
    <xf numFmtId="14" fontId="17" fillId="2" borderId="1" xfId="0" applyNumberFormat="1" applyFont="1" applyFill="1" applyBorder="1"/>
    <xf numFmtId="0" fontId="17" fillId="2" borderId="1" xfId="0" applyFont="1" applyFill="1" applyBorder="1"/>
    <xf numFmtId="0" fontId="25" fillId="0" borderId="0" xfId="0" applyFont="1"/>
    <xf numFmtId="14" fontId="17" fillId="0" borderId="0" xfId="0" applyNumberFormat="1" applyFont="1"/>
    <xf numFmtId="2" fontId="17" fillId="0" borderId="0" xfId="0" applyNumberFormat="1" applyFont="1"/>
    <xf numFmtId="0" fontId="25" fillId="0" borderId="0" xfId="0" applyFont="1" applyAlignment="1">
      <alignment horizontal="left"/>
    </xf>
    <xf numFmtId="14" fontId="17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5" fillId="0" borderId="0" xfId="0" applyNumberFormat="1" applyFont="1" applyAlignment="1">
      <alignment horizontal="left"/>
    </xf>
    <xf numFmtId="14" fontId="25" fillId="0" borderId="0" xfId="0" applyNumberFormat="1" applyFont="1"/>
    <xf numFmtId="0" fontId="17" fillId="0" borderId="0" xfId="1" applyFont="1"/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2" fontId="16" fillId="0" borderId="0" xfId="0" applyNumberFormat="1" applyFont="1"/>
    <xf numFmtId="14" fontId="16" fillId="0" borderId="0" xfId="0" applyNumberFormat="1" applyFont="1"/>
    <xf numFmtId="14" fontId="16" fillId="0" borderId="1" xfId="0" applyNumberFormat="1" applyFont="1" applyBorder="1"/>
    <xf numFmtId="0" fontId="16" fillId="0" borderId="1" xfId="0" applyFont="1" applyBorder="1"/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5" fillId="0" borderId="1" xfId="0" applyNumberFormat="1" applyFont="1" applyBorder="1"/>
    <xf numFmtId="0" fontId="15" fillId="0" borderId="1" xfId="0" applyFont="1" applyBorder="1"/>
    <xf numFmtId="14" fontId="15" fillId="0" borderId="0" xfId="0" applyNumberFormat="1" applyFont="1" applyAlignment="1">
      <alignment horizontal="left"/>
    </xf>
    <xf numFmtId="2" fontId="15" fillId="0" borderId="0" xfId="0" applyNumberFormat="1" applyFont="1"/>
    <xf numFmtId="14" fontId="15" fillId="0" borderId="0" xfId="0" applyNumberFormat="1" applyFont="1"/>
    <xf numFmtId="0" fontId="14" fillId="0" borderId="0" xfId="0" applyFont="1"/>
    <xf numFmtId="14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left"/>
    </xf>
    <xf numFmtId="2" fontId="14" fillId="0" borderId="0" xfId="0" applyNumberFormat="1" applyFont="1"/>
    <xf numFmtId="14" fontId="14" fillId="0" borderId="1" xfId="0" applyNumberFormat="1" applyFont="1" applyBorder="1"/>
    <xf numFmtId="0" fontId="14" fillId="0" borderId="1" xfId="0" applyFont="1" applyBorder="1"/>
    <xf numFmtId="14" fontId="14" fillId="0" borderId="0" xfId="0" applyNumberFormat="1" applyFont="1"/>
    <xf numFmtId="14" fontId="14" fillId="0" borderId="1" xfId="0" applyNumberFormat="1" applyFont="1" applyBorder="1" applyAlignment="1">
      <alignment horizontal="center"/>
    </xf>
    <xf numFmtId="0" fontId="13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0" fontId="12" fillId="0" borderId="0" xfId="3" applyNumberFormat="1" applyFont="1" applyFill="1" applyAlignment="1">
      <alignment horizontal="center" vertical="center"/>
    </xf>
    <xf numFmtId="0" fontId="11" fillId="0" borderId="0" xfId="0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11" fillId="0" borderId="1" xfId="0" applyNumberFormat="1" applyFont="1" applyBorder="1"/>
    <xf numFmtId="0" fontId="11" fillId="0" borderId="1" xfId="0" applyFont="1" applyBorder="1"/>
    <xf numFmtId="14" fontId="11" fillId="0" borderId="0" xfId="0" applyNumberFormat="1" applyFont="1" applyAlignment="1">
      <alignment horizontal="left"/>
    </xf>
    <xf numFmtId="2" fontId="11" fillId="0" borderId="0" xfId="0" applyNumberFormat="1" applyFont="1"/>
    <xf numFmtId="14" fontId="11" fillId="0" borderId="0" xfId="0" applyNumberFormat="1" applyFont="1"/>
    <xf numFmtId="0" fontId="11" fillId="0" borderId="0" xfId="0" applyFont="1" applyAlignment="1">
      <alignment horizontal="center" vertical="center"/>
    </xf>
    <xf numFmtId="10" fontId="11" fillId="0" borderId="0" xfId="3" applyNumberFormat="1" applyFont="1" applyFill="1" applyAlignment="1">
      <alignment horizontal="center" vertical="center"/>
    </xf>
    <xf numFmtId="0" fontId="10" fillId="0" borderId="0" xfId="0" applyFont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/>
    <xf numFmtId="14" fontId="10" fillId="0" borderId="0" xfId="0" applyNumberFormat="1" applyFont="1" applyAlignment="1">
      <alignment horizontal="left"/>
    </xf>
    <xf numFmtId="2" fontId="10" fillId="0" borderId="0" xfId="0" applyNumberFormat="1" applyFont="1"/>
    <xf numFmtId="0" fontId="10" fillId="0" borderId="0" xfId="0" applyFont="1" applyAlignment="1">
      <alignment horizontal="center" vertical="center"/>
    </xf>
    <xf numFmtId="10" fontId="10" fillId="0" borderId="0" xfId="3" applyNumberFormat="1" applyFont="1" applyFill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9" fillId="0" borderId="0" xfId="1" applyFont="1"/>
    <xf numFmtId="0" fontId="8" fillId="0" borderId="0" xfId="1" applyFont="1"/>
    <xf numFmtId="0" fontId="7" fillId="0" borderId="0" xfId="1" applyFont="1"/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4" fontId="6" fillId="0" borderId="1" xfId="0" applyNumberFormat="1" applyFont="1" applyBorder="1"/>
    <xf numFmtId="0" fontId="6" fillId="0" borderId="1" xfId="0" applyFont="1" applyBorder="1"/>
    <xf numFmtId="14" fontId="17" fillId="2" borderId="2" xfId="0" applyNumberFormat="1" applyFont="1" applyFill="1" applyBorder="1"/>
    <xf numFmtId="14" fontId="17" fillId="2" borderId="3" xfId="0" applyNumberFormat="1" applyFont="1" applyFill="1" applyBorder="1"/>
    <xf numFmtId="0" fontId="17" fillId="2" borderId="2" xfId="0" applyFont="1" applyFill="1" applyBorder="1"/>
    <xf numFmtId="0" fontId="17" fillId="2" borderId="3" xfId="0" applyFont="1" applyFill="1" applyBorder="1"/>
    <xf numFmtId="14" fontId="6" fillId="0" borderId="0" xfId="0" applyNumberFormat="1" applyFont="1" applyAlignment="1">
      <alignment horizontal="left"/>
    </xf>
    <xf numFmtId="2" fontId="6" fillId="0" borderId="0" xfId="0" applyNumberFormat="1" applyFont="1"/>
    <xf numFmtId="0" fontId="6" fillId="0" borderId="0" xfId="0" applyFont="1" applyAlignment="1">
      <alignment horizontal="center" vertical="center"/>
    </xf>
    <xf numFmtId="10" fontId="6" fillId="0" borderId="0" xfId="3" applyNumberFormat="1" applyFont="1" applyFill="1" applyAlignment="1">
      <alignment horizontal="center" vertical="center"/>
    </xf>
    <xf numFmtId="0" fontId="5" fillId="0" borderId="0" xfId="1" applyFont="1"/>
    <xf numFmtId="0" fontId="4" fillId="0" borderId="0" xfId="1" applyFont="1"/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/>
    <xf numFmtId="14" fontId="3" fillId="0" borderId="0" xfId="0" applyNumberFormat="1" applyFont="1" applyAlignment="1">
      <alignment horizontal="left"/>
    </xf>
    <xf numFmtId="2" fontId="3" fillId="0" borderId="0" xfId="0" applyNumberFormat="1" applyFont="1"/>
    <xf numFmtId="0" fontId="3" fillId="0" borderId="0" xfId="0" applyFont="1" applyAlignment="1">
      <alignment horizontal="center" vertical="center"/>
    </xf>
    <xf numFmtId="10" fontId="3" fillId="0" borderId="0" xfId="3" applyNumberFormat="1" applyFont="1" applyFill="1" applyAlignment="1">
      <alignment horizontal="center" vertical="center"/>
    </xf>
    <xf numFmtId="0" fontId="2" fillId="0" borderId="0" xfId="1" applyFont="1"/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Alignment="1">
      <alignment horizontal="left"/>
    </xf>
    <xf numFmtId="2" fontId="1" fillId="0" borderId="0" xfId="0" applyNumberFormat="1" applyFont="1"/>
    <xf numFmtId="0" fontId="1" fillId="0" borderId="0" xfId="0" applyFont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5" totalsRowShown="0" headerRowDxfId="210" dataDxfId="209">
  <autoFilter ref="A1:T75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75:H77" totalsRowShown="0">
  <autoFilter ref="A75:H77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(CourseRatings[Course]=C76)*(CourseRatings[Tees]=D76), 0))</calculatedColumnFormula>
    </tableColumn>
    <tableColumn id="7" xr3:uid="{2AEF9861-04D6-40A2-9BE7-C34B8C9A1AB4}" name="Slope" dataDxfId="183">
      <calculatedColumnFormula array="1">INDEX(CourseRatings[Slope], MATCH(1, (CourseRatings[Course]=C76)*(CourseRatings[Tees]=D76), 0))</calculatedColumnFormula>
    </tableColumn>
    <tableColumn id="8" xr3:uid="{456F6749-ECDD-457D-90BC-E4EBE20F1858}" name="Differential">
      <calculatedColumnFormula>(E76-F76)*113/G76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3" totalsRowShown="0" headerRowDxfId="182" dataDxfId="181" tableBorderDxfId="180">
  <autoFilter ref="A1:H73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3" totalsRowShown="0" headerRowDxfId="172" dataDxfId="171">
  <autoFilter ref="A1:AB73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76:M78" totalsRowShown="0" headerRowDxfId="142" dataDxfId="141">
  <autoFilter ref="A76:M78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Log'!$E77:$M77)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3" totalsRowShown="0" headerRowDxfId="128" dataDxfId="127">
  <autoFilter ref="A1:AB73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75:M77" totalsRowShown="0" headerRowDxfId="98" dataDxfId="97">
  <autoFilter ref="A75:M77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Log'!$E76:$M76)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3" totalsRowShown="0" headerRowDxfId="83" dataDxfId="82">
  <autoFilter ref="A1:W73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75:M77" totalsRowShown="0" headerRowDxfId="58" dataDxfId="57">
  <autoFilter ref="A75:M77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Log'!$E76:$M76)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3" totalsRowShown="0" headerRowDxfId="43" dataDxfId="42">
  <autoFilter ref="A1:W73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75:M77" totalsRowShown="0" headerRowDxfId="18" dataDxfId="17">
  <autoFilter ref="A75:M77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Log'!$E76:$M76)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4" totalsRowShown="0" headerRowDxfId="3">
  <autoFilter ref="A1:X24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4" totalsRowShown="0" headerRowDxfId="1">
  <autoFilter ref="A1:T24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4" totalsRowShown="0" headerRowDxfId="0">
  <autoFilter ref="A1:T24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5"/>
  <sheetViews>
    <sheetView topLeftCell="A40" workbookViewId="0">
      <selection activeCell="A76" sqref="A76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2" t="s">
        <v>126</v>
      </c>
      <c r="B72" s="93">
        <v>46160</v>
      </c>
      <c r="C72" s="94">
        <v>82</v>
      </c>
      <c r="D72" s="94">
        <v>10</v>
      </c>
      <c r="E72" s="92" t="s">
        <v>33</v>
      </c>
      <c r="F72" s="94">
        <f>C72-D72</f>
        <v>72</v>
      </c>
      <c r="G72" s="92" t="s">
        <v>5</v>
      </c>
      <c r="H72" s="92" t="s">
        <v>34</v>
      </c>
      <c r="I72" s="94">
        <v>6638</v>
      </c>
      <c r="J72" s="94">
        <v>36</v>
      </c>
      <c r="K72" s="94">
        <v>36</v>
      </c>
      <c r="L72" s="94">
        <v>0</v>
      </c>
      <c r="M72" s="94">
        <v>1</v>
      </c>
      <c r="N72" s="94">
        <v>7</v>
      </c>
      <c r="O72" s="94">
        <v>9</v>
      </c>
      <c r="P72" s="94">
        <v>1</v>
      </c>
      <c r="Q72" s="94">
        <f>SUM(L72:P72)</f>
        <v>18</v>
      </c>
      <c r="R72" s="94">
        <v>34</v>
      </c>
      <c r="S72" s="94">
        <v>5</v>
      </c>
      <c r="T72" s="94">
        <v>8</v>
      </c>
    </row>
    <row r="73" spans="1:20" x14ac:dyDescent="0.25">
      <c r="A73" s="107" t="s">
        <v>126</v>
      </c>
      <c r="B73" s="108">
        <v>46164</v>
      </c>
      <c r="C73" s="109">
        <v>89</v>
      </c>
      <c r="D73" s="109">
        <v>17</v>
      </c>
      <c r="E73" s="107" t="s">
        <v>39</v>
      </c>
      <c r="F73" s="109">
        <f>C73-D73</f>
        <v>72</v>
      </c>
      <c r="G73" s="107" t="s">
        <v>6</v>
      </c>
      <c r="H73" s="107" t="s">
        <v>36</v>
      </c>
      <c r="I73" s="109">
        <v>5835</v>
      </c>
      <c r="J73" s="109">
        <v>44</v>
      </c>
      <c r="K73" s="109">
        <v>45</v>
      </c>
      <c r="L73" s="109">
        <v>0</v>
      </c>
      <c r="M73" s="109">
        <v>0</v>
      </c>
      <c r="N73" s="109">
        <v>6</v>
      </c>
      <c r="O73" s="109">
        <v>7</v>
      </c>
      <c r="P73" s="109">
        <v>5</v>
      </c>
      <c r="Q73" s="109">
        <f>SUM(L73:P73)</f>
        <v>18</v>
      </c>
      <c r="R73" s="109">
        <v>31</v>
      </c>
      <c r="S73" s="109">
        <v>9</v>
      </c>
      <c r="T73" s="109">
        <v>2</v>
      </c>
    </row>
    <row r="74" spans="1:20" x14ac:dyDescent="0.25">
      <c r="A74" s="117" t="s">
        <v>126</v>
      </c>
      <c r="B74" s="118">
        <v>46173</v>
      </c>
      <c r="C74" s="119">
        <v>85</v>
      </c>
      <c r="D74" s="119">
        <v>14</v>
      </c>
      <c r="E74" s="117" t="s">
        <v>130</v>
      </c>
      <c r="F74" s="119">
        <f>C74-D74</f>
        <v>71</v>
      </c>
      <c r="G74" s="117" t="s">
        <v>3</v>
      </c>
      <c r="H74" s="117" t="s">
        <v>36</v>
      </c>
      <c r="I74" s="119">
        <v>6064</v>
      </c>
      <c r="J74" s="119">
        <v>42</v>
      </c>
      <c r="K74" s="119">
        <v>43</v>
      </c>
      <c r="L74" s="119">
        <v>0</v>
      </c>
      <c r="M74" s="119">
        <v>0</v>
      </c>
      <c r="N74" s="119">
        <v>5</v>
      </c>
      <c r="O74" s="119">
        <v>12</v>
      </c>
      <c r="P74" s="119">
        <v>1</v>
      </c>
      <c r="Q74" s="119">
        <f>SUM(L74:P74)</f>
        <v>18</v>
      </c>
      <c r="R74" s="119">
        <v>35</v>
      </c>
      <c r="S74" s="119">
        <v>5</v>
      </c>
      <c r="T74" s="119">
        <v>5</v>
      </c>
    </row>
    <row r="75" spans="1:20" x14ac:dyDescent="0.25">
      <c r="A75" s="117" t="s">
        <v>130</v>
      </c>
      <c r="B75" s="118">
        <v>46173</v>
      </c>
      <c r="C75" s="119">
        <v>93</v>
      </c>
      <c r="D75" s="119">
        <v>22</v>
      </c>
      <c r="E75" s="117" t="s">
        <v>126</v>
      </c>
      <c r="F75" s="119">
        <f>C75-D75</f>
        <v>71</v>
      </c>
      <c r="G75" s="117" t="s">
        <v>3</v>
      </c>
      <c r="H75" s="117" t="s">
        <v>36</v>
      </c>
      <c r="I75" s="119">
        <v>6064</v>
      </c>
      <c r="J75" s="119">
        <v>50</v>
      </c>
      <c r="K75" s="119">
        <v>43</v>
      </c>
      <c r="L75" s="119">
        <v>0</v>
      </c>
      <c r="M75" s="119">
        <v>0</v>
      </c>
      <c r="N75" s="119">
        <v>4</v>
      </c>
      <c r="O75" s="119">
        <v>8</v>
      </c>
      <c r="P75" s="119">
        <v>6</v>
      </c>
      <c r="Q75" s="119">
        <f>SUM(L75:P75)</f>
        <v>18</v>
      </c>
      <c r="R75" s="119">
        <v>33</v>
      </c>
      <c r="S75" s="119">
        <v>3</v>
      </c>
      <c r="T75" s="119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0"/>
  <sheetViews>
    <sheetView workbookViewId="0">
      <selection activeCell="H77" sqref="H77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97">
        <v>45475</v>
      </c>
      <c r="C2" s="99" t="s">
        <v>5</v>
      </c>
      <c r="D2" s="99" t="s">
        <v>34</v>
      </c>
      <c r="E2" s="99">
        <v>77</v>
      </c>
      <c r="F2" s="99" cm="1">
        <f t="array" ref="F2">INDEX(CourseRatings[Rating], MATCH(1, (CourseRatings[Course]=C2)*(CourseRatings[Tees]=D2), 0))</f>
        <v>72.3</v>
      </c>
      <c r="G2" s="99" cm="1">
        <f t="array" ref="G2">INDEX(CourseRatings[Slope], MATCH(1, (CourseRatings[Course]=C2)*(CourseRatings[Tees]=D2), 0))</f>
        <v>130</v>
      </c>
      <c r="H2" s="99">
        <f t="shared" ref="H2:H33" si="0"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 t="shared" si="0"/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 t="shared" si="0"/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 t="shared" si="0"/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 t="shared" si="0"/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 t="shared" si="0"/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 t="shared" si="0"/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 t="shared" si="0"/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 t="shared" si="0"/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 t="shared" si="0"/>
        <v>8.0968503937007821</v>
      </c>
    </row>
    <row r="12" spans="1:8" x14ac:dyDescent="0.25">
      <c r="A12" s="92" t="s">
        <v>126</v>
      </c>
      <c r="B12" s="95">
        <v>46160</v>
      </c>
      <c r="C12" s="96" t="s">
        <v>5</v>
      </c>
      <c r="D12" s="96" t="s">
        <v>34</v>
      </c>
      <c r="E12" s="96">
        <v>82</v>
      </c>
      <c r="F12" s="96" cm="1">
        <f t="array" ref="F12">INDEX(CourseRatings[Rating], MATCH(1, (CourseRatings[Course]=C12)*(CourseRatings[Tees]=D12), 0))</f>
        <v>72.3</v>
      </c>
      <c r="G12" s="96" cm="1">
        <f t="array" ref="G12">INDEX(CourseRatings[Slope], MATCH(1, (CourseRatings[Course]=C12)*(CourseRatings[Tees]=D12), 0))</f>
        <v>130</v>
      </c>
      <c r="H12" s="96">
        <f t="shared" si="0"/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 t="shared" si="0"/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 t="shared" si="0"/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 t="shared" si="0"/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 t="shared" si="0"/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97.2</v>
      </c>
      <c r="H17" s="23">
        <f t="shared" si="0"/>
        <v>8.8353909465020504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 t="shared" si="0"/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 t="shared" si="0"/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 t="shared" si="0"/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 t="shared" si="0"/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 t="shared" si="0"/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 t="shared" si="0"/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 t="shared" si="0"/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 t="shared" si="0"/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 t="shared" si="0"/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 t="shared" si="0"/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 t="shared" si="0"/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 t="shared" si="0"/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 t="shared" si="0"/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 t="shared" si="0"/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 t="shared" si="0"/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 t="shared" si="0"/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 t="shared" ref="H34:H65" si="1"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 t="shared" si="1"/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 t="shared" si="1"/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 t="shared" si="1"/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 t="shared" si="1"/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 t="shared" si="1"/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 t="shared" si="1"/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 t="shared" si="1"/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 t="shared" si="1"/>
        <v>16.857377049180332</v>
      </c>
    </row>
    <row r="43" spans="1:8" x14ac:dyDescent="0.25">
      <c r="A43" s="20" t="s">
        <v>126</v>
      </c>
      <c r="B43" s="98">
        <v>45440</v>
      </c>
      <c r="C43" s="100" t="s">
        <v>9</v>
      </c>
      <c r="D43" s="100" t="s">
        <v>34</v>
      </c>
      <c r="E43" s="100">
        <v>88</v>
      </c>
      <c r="F43" s="100" cm="1">
        <f t="array" ref="F43">INDEX(CourseRatings[Rating], MATCH(1, (CourseRatings[Course]=C43)*(CourseRatings[Tees]=D43), 0))</f>
        <v>69.599999999999994</v>
      </c>
      <c r="G43" s="100" cm="1">
        <f t="array" ref="G43">INDEX(CourseRatings[Slope], MATCH(1, (CourseRatings[Course]=C43)*(CourseRatings[Tees]=D43), 0))</f>
        <v>120</v>
      </c>
      <c r="H43" s="100">
        <f t="shared" si="1"/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 t="shared" si="1"/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 t="shared" si="1"/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 t="shared" si="1"/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 t="shared" si="1"/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 t="shared" si="1"/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 t="shared" si="1"/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 t="shared" si="1"/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 t="shared" si="1"/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 t="shared" si="1"/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 t="shared" si="1"/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 t="shared" si="1"/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 t="shared" si="1"/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 t="shared" si="1"/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 t="shared" si="1"/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 t="shared" si="1"/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 t="shared" si="1"/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 t="shared" si="1"/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97.2</v>
      </c>
      <c r="H61" s="57">
        <f t="shared" si="1"/>
        <v>22.786008230452666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 t="shared" si="1"/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 t="shared" si="1"/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 t="shared" si="1"/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 t="shared" si="1"/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 t="shared" ref="H66:H70" si="2"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 t="shared" si="2"/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 t="shared" si="2"/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 t="shared" si="2"/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 t="shared" si="2"/>
        <v>36.660305343511453</v>
      </c>
    </row>
    <row r="71" spans="1:8" x14ac:dyDescent="0.25">
      <c r="A71" s="107" t="s">
        <v>126</v>
      </c>
      <c r="B71" s="110">
        <v>46164</v>
      </c>
      <c r="C71" s="111" t="s">
        <v>6</v>
      </c>
      <c r="D71" s="111" t="s">
        <v>36</v>
      </c>
      <c r="E71" s="111">
        <v>89</v>
      </c>
      <c r="F71" s="111" cm="1">
        <f t="array" ref="F71">INDEX(CourseRatings[Rating], MATCH(1, (CourseRatings[Course]=C71)*(CourseRatings[Tees]=D71), 0))</f>
        <v>67.5</v>
      </c>
      <c r="G71" s="111" cm="1">
        <f t="array" ref="G71">INDEX(CourseRatings[Slope], MATCH(1, (CourseRatings[Course]=C71)*(CourseRatings[Tees]=D71), 0))</f>
        <v>121</v>
      </c>
      <c r="H71" s="111">
        <f>(E71-F71)*113/G71</f>
        <v>20.078512396694215</v>
      </c>
    </row>
    <row r="72" spans="1:8" x14ac:dyDescent="0.25">
      <c r="A72" s="117" t="s">
        <v>126</v>
      </c>
      <c r="B72" s="120">
        <v>46173</v>
      </c>
      <c r="C72" s="121" t="s">
        <v>3</v>
      </c>
      <c r="D72" s="121" t="s">
        <v>36</v>
      </c>
      <c r="E72" s="121">
        <v>85</v>
      </c>
      <c r="F72" s="121" cm="1">
        <f t="array" ref="F72">INDEX(CourseRatings[Rating], MATCH(1, (CourseRatings[Course]=C72)*(CourseRatings[Tees]=D72), 0))</f>
        <v>69.400000000000006</v>
      </c>
      <c r="G72" s="121" cm="1">
        <f t="array" ref="G72">INDEX(CourseRatings[Slope], MATCH(1, (CourseRatings[Course]=C72)*(CourseRatings[Tees]=D72), 0))</f>
        <v>125</v>
      </c>
      <c r="H72" s="121">
        <f>(E72-F72)*113/G72</f>
        <v>14.102399999999994</v>
      </c>
    </row>
    <row r="73" spans="1:8" x14ac:dyDescent="0.25">
      <c r="A73" s="117" t="s">
        <v>130</v>
      </c>
      <c r="B73" s="120">
        <v>46173</v>
      </c>
      <c r="C73" s="121" t="s">
        <v>3</v>
      </c>
      <c r="D73" s="121" t="s">
        <v>36</v>
      </c>
      <c r="E73" s="121">
        <v>93</v>
      </c>
      <c r="F73" s="121" cm="1">
        <f t="array" ref="F73">INDEX(CourseRatings[Rating], MATCH(1, (CourseRatings[Course]=C73)*(CourseRatings[Tees]=D73), 0))</f>
        <v>69.400000000000006</v>
      </c>
      <c r="G73" s="121" cm="1">
        <f t="array" ref="G73">INDEX(CourseRatings[Slope], MATCH(1, (CourseRatings[Course]=C73)*(CourseRatings[Tees]=D73), 0))</f>
        <v>125</v>
      </c>
      <c r="H73" s="121">
        <f>(E73-F73)*113/G73</f>
        <v>21.334399999999995</v>
      </c>
    </row>
    <row r="74" spans="1:8" x14ac:dyDescent="0.25">
      <c r="A74" s="68"/>
    </row>
    <row r="75" spans="1:8" x14ac:dyDescent="0.25">
      <c r="A75" s="68" t="s">
        <v>125</v>
      </c>
      <c r="B75" t="s">
        <v>19</v>
      </c>
      <c r="C75" t="s">
        <v>24</v>
      </c>
      <c r="D75" t="s">
        <v>25</v>
      </c>
      <c r="E75" t="s">
        <v>20</v>
      </c>
      <c r="F75" t="s">
        <v>42</v>
      </c>
      <c r="G75" t="s">
        <v>43</v>
      </c>
      <c r="H75" t="s">
        <v>44</v>
      </c>
    </row>
    <row r="76" spans="1:8" x14ac:dyDescent="0.25">
      <c r="A76" s="68" t="s">
        <v>126</v>
      </c>
      <c r="B76" s="2">
        <v>45457</v>
      </c>
      <c r="C76" s="12" t="s">
        <v>38</v>
      </c>
      <c r="D76" s="12" t="s">
        <v>34</v>
      </c>
      <c r="E76">
        <v>44</v>
      </c>
      <c r="F76" cm="1">
        <f t="array" ref="F76">INDEX(CourseRatings[Rating], MATCH(1, (CourseRatings[Course]=C76)*(CourseRatings[Tees]=D76), 0))</f>
        <v>33.9</v>
      </c>
      <c r="G76" cm="1">
        <f t="array" ref="G76">INDEX(CourseRatings[Slope], MATCH(1, (CourseRatings[Course]=C76)*(CourseRatings[Tees]=D76), 0))</f>
        <v>122</v>
      </c>
      <c r="H76">
        <f>(E76-F76)*113/G76</f>
        <v>9.3549180327868875</v>
      </c>
    </row>
    <row r="77" spans="1:8" x14ac:dyDescent="0.25">
      <c r="A77" s="68" t="s">
        <v>126</v>
      </c>
      <c r="B77" s="2">
        <v>45454</v>
      </c>
      <c r="C77" s="12" t="s">
        <v>5</v>
      </c>
      <c r="D77" s="12" t="s">
        <v>34</v>
      </c>
      <c r="E77">
        <v>47</v>
      </c>
      <c r="F77" cm="1">
        <f t="array" ref="F77">INDEX(CourseRatings[Rating], MATCH(1, (CourseRatings[Course]=C77)*(CourseRatings[Tees]=D77), 0))</f>
        <v>72.3</v>
      </c>
      <c r="G77" cm="1">
        <f t="array" ref="G77">INDEX(CourseRatings[Slope], MATCH(1, (CourseRatings[Course]=C77)*(CourseRatings[Tees]=D77), 0))</f>
        <v>130</v>
      </c>
      <c r="H77">
        <f>(E77-F77)*113/G77</f>
        <v>-21.991538461538457</v>
      </c>
    </row>
    <row r="78" spans="1:8" x14ac:dyDescent="0.25">
      <c r="D78" s="1"/>
    </row>
    <row r="79" spans="1:8" x14ac:dyDescent="0.25">
      <c r="D79" s="1"/>
    </row>
    <row r="86" spans="4:4" x14ac:dyDescent="0.25">
      <c r="D86" s="1"/>
    </row>
    <row r="87" spans="4:4" x14ac:dyDescent="0.25">
      <c r="D87" s="1"/>
    </row>
    <row r="88" spans="4:4" x14ac:dyDescent="0.25">
      <c r="D88" s="1"/>
    </row>
    <row r="89" spans="4:4" x14ac:dyDescent="0.25">
      <c r="D89" s="1"/>
    </row>
    <row r="90" spans="4:4" x14ac:dyDescent="0.25">
      <c r="D90" s="1"/>
    </row>
  </sheetData>
  <phoneticPr fontId="2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297"/>
  <sheetViews>
    <sheetView workbookViewId="0">
      <pane ySplit="1" topLeftCell="A1244" activePane="bottomLeft" state="frozen"/>
      <selection pane="bottomLeft" activeCell="J1262" sqref="J1262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Log'!$E$2:$V$73,
    MATCH(1,
      ('Golf Log'!$A$2:$A$73=$A2)*
      ('Golf Log'!$B$2:$B$73=$B2)*
      ('Golf Log'!$C$2:$C$73=$C2),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Log'!$E$2:$V$73,
    MATCH(1,
      ('Putt Log'!$A$2:$A$73=$A2)*
      ('Putt Log'!$B$2:$B$73=$B2)*
      ('Putt Log'!$C$2:$C$73=$C2),
    0),
    MATCH($G2,'Putt Log'!$E$1:$V$1,0)
  ),
"")</f>
        <v>1</v>
      </c>
      <c r="P2" cm="1">
        <f t="array" ref="P2">IF(K2=3,"",
  IFERROR(
    INDEX('Fairway Log'!$E$2:$V$73,
      MATCH(1,
        ('Fairway Log'!$A$2:$A$73=$A2)*
        ('Fairway Log'!$B$2:$B$73=$B2)*
        ('Fairway Log'!$C$2:$C73=$C2),
      0),
      MATCH($G2,'Fairway Log'!$E$1:$V$1,0)
    ),
  "")
)</f>
        <v>1</v>
      </c>
      <c r="Q2" t="str" cm="1">
        <f t="array" ref="Q2">IFERROR(
  INDEX('GIR Log'!$E$2:$V$73,
    MATCH(1,
      ('GIR Log'!$A$2:$A$73=$A2)*
      ('GIR Log'!$B$2:$B$73=$B2)*
      ('GIR Log'!$C$2:$C$73=$C2),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Log'!$E$2:$V$73,
    MATCH(1,
      ('Golf Log'!$A$2:$A$73=$A3)*
      ('Golf Log'!$B$2:$B$73=$B3)*
      ('Golf Log'!$C$2:$C$73=$C3),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Log'!$E$2:$V$73,
    MATCH(1,
      ('Putt Log'!$A$2:$A$73=$A3)*
      ('Putt Log'!$B$2:$B$73=$B3)*
      ('Putt Log'!$C$2:$C$73=$C3),
    0),
    MATCH($G3,'Putt Log'!$E$1:$V$1,0)
  ),
"")</f>
        <v>2</v>
      </c>
      <c r="P3" t="str" cm="1">
        <f t="array" ref="P3">IF(K3=3,"",
  IFERROR(
    INDEX('Fairway Log'!$E$2:$V$73,
      MATCH(1,
        ('Fairway Log'!$A$2:$A$73=$A3)*
        ('Fairway Log'!$B$2:$B$73=$B3)*
        ('Fairway Log'!$C$2:$C73=$C3),
      0),
      MATCH($G3,'Fairway Log'!$E$1:$V$1,0)
    ),
  "")
)</f>
        <v>→</v>
      </c>
      <c r="Q3" t="str" cm="1">
        <f t="array" ref="Q3">IFERROR(
  INDEX('GIR Log'!$E$2:$V$73,
    MATCH(1,
      ('GIR Log'!$A$2:$A$73=$A3)*
      ('GIR Log'!$B$2:$B$73=$B3)*
      ('GIR Log'!$C$2:$C$73=$C3),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Log'!$E$2:$V$73,
    MATCH(1,
      ('Golf Log'!$A$2:$A$73=$A4)*
      ('Golf Log'!$B$2:$B$73=$B4)*
      ('Golf Log'!$C$2:$C$73=$C4),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Log'!$E$2:$V$73,
    MATCH(1,
      ('Putt Log'!$A$2:$A$73=$A4)*
      ('Putt Log'!$B$2:$B$73=$B4)*
      ('Putt Log'!$C$2:$C$73=$C4),
    0),
    MATCH($G4,'Putt Log'!$E$1:$V$1,0)
  ),
"")</f>
        <v>2</v>
      </c>
      <c r="P4" t="str" cm="1">
        <f t="array" ref="P4">IF(K4=3,"",
  IFERROR(
    INDEX('Fairway Log'!$E$2:$V$73,
      MATCH(1,
        ('Fairway Log'!$A$2:$A$73=$A4)*
        ('Fairway Log'!$B$2:$B$73=$B4)*
        ('Fairway Log'!$C$2:$C75=$C4),
      0),
      MATCH($G4,'Fairway Log'!$E$1:$V$1,0)
    ),
  "")
)</f>
        <v/>
      </c>
      <c r="Q4" t="str" cm="1">
        <f t="array" ref="Q4">IFERROR(
  INDEX('GIR Log'!$E$2:$V$73,
    MATCH(1,
      ('GIR Log'!$A$2:$A$73=$A4)*
      ('GIR Log'!$B$2:$B$73=$B4)*
      ('GIR Log'!$C$2:$C$73=$C4),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Log'!$E$2:$V$73,
    MATCH(1,
      ('Golf Log'!$A$2:$A$73=$A5)*
      ('Golf Log'!$B$2:$B$73=$B5)*
      ('Golf Log'!$C$2:$C$73=$C5),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Log'!$E$2:$V$73,
    MATCH(1,
      ('Putt Log'!$A$2:$A$73=$A5)*
      ('Putt Log'!$B$2:$B$73=$B5)*
      ('Putt Log'!$C$2:$C$73=$C5),
    0),
    MATCH($G5,'Putt Log'!$E$1:$V$1,0)
  ),
"")</f>
        <v>2</v>
      </c>
      <c r="P5" cm="1">
        <f t="array" ref="P5">IF(K5=3,"",
  IFERROR(
    INDEX('Fairway Log'!$E$2:$V$73,
      MATCH(1,
        ('Fairway Log'!$A$2:$A$73=$A5)*
        ('Fairway Log'!$B$2:$B$73=$B5)*
        ('Fairway Log'!$C$2:$C76=$C5),
      0),
      MATCH($G5,'Fairway Log'!$E$1:$V$1,0)
    ),
  "")
)</f>
        <v>1</v>
      </c>
      <c r="Q5" cm="1">
        <f t="array" ref="Q5">IFERROR(
  INDEX('GIR Log'!$E$2:$V$73,
    MATCH(1,
      ('GIR Log'!$A$2:$A$73=$A5)*
      ('GIR Log'!$B$2:$B$73=$B5)*
      ('GIR Log'!$C$2:$C$73=$C5),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Log'!$E$2:$V$73,
    MATCH(1,
      ('Golf Log'!$A$2:$A$73=$A6)*
      ('Golf Log'!$B$2:$B$73=$B6)*
      ('Golf Log'!$C$2:$C$73=$C6),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Log'!$E$2:$V$73,
    MATCH(1,
      ('Putt Log'!$A$2:$A$73=$A6)*
      ('Putt Log'!$B$2:$B$73=$B6)*
      ('Putt Log'!$C$2:$C$73=$C6),
    0),
    MATCH($G6,'Putt Log'!$E$1:$V$1,0)
  ),
"")</f>
        <v>1</v>
      </c>
      <c r="P6" t="str" cm="1">
        <f t="array" ref="P6">IF(K6=3,"",
  IFERROR(
    INDEX('Fairway Log'!$E$2:$V$73,
      MATCH(1,
        ('Fairway Log'!$A$2:$A$73=$A6)*
        ('Fairway Log'!$B$2:$B$73=$B6)*
        ('Fairway Log'!$C$2:$C77=$C6),
      0),
      MATCH($G6,'Fairway Log'!$E$1:$V$1,0)
    ),
  "")
)</f>
        <v>←</v>
      </c>
      <c r="Q6" t="str" cm="1">
        <f t="array" ref="Q6">IFERROR(
  INDEX('GIR Log'!$E$2:$V$73,
    MATCH(1,
      ('GIR Log'!$A$2:$A$73=$A6)*
      ('GIR Log'!$B$2:$B$73=$B6)*
      ('GIR Log'!$C$2:$C$73=$C6),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Log'!$E$2:$V$73,
    MATCH(1,
      ('Golf Log'!$A$2:$A$73=$A7)*
      ('Golf Log'!$B$2:$B$73=$B7)*
      ('Golf Log'!$C$2:$C$73=$C7),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Log'!$E$2:$V$73,
    MATCH(1,
      ('Putt Log'!$A$2:$A$73=$A7)*
      ('Putt Log'!$B$2:$B$73=$B7)*
      ('Putt Log'!$C$2:$C$73=$C7),
    0),
    MATCH($G7,'Putt Log'!$E$1:$V$1,0)
  ),
"")</f>
        <v>2</v>
      </c>
      <c r="P7" t="str" cm="1">
        <f t="array" ref="P7">IF(K7=3,"",
  IFERROR(
    INDEX('Fairway Log'!$E$2:$V$73,
      MATCH(1,
        ('Fairway Log'!$A$2:$A$73=$A7)*
        ('Fairway Log'!$B$2:$B$73=$B7)*
        ('Fairway Log'!$C$2:$C78=$C7),
      0),
      MATCH($G7,'Fairway Log'!$E$1:$V$1,0)
    ),
  "")
)</f>
        <v/>
      </c>
      <c r="Q7" cm="1">
        <f t="array" ref="Q7">IFERROR(
  INDEX('GIR Log'!$E$2:$V$73,
    MATCH(1,
      ('GIR Log'!$A$2:$A$73=$A7)*
      ('GIR Log'!$B$2:$B$73=$B7)*
      ('GIR Log'!$C$2:$C$73=$C7),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Log'!$E$2:$V$73,
    MATCH(1,
      ('Golf Log'!$A$2:$A$73=$A8)*
      ('Golf Log'!$B$2:$B$73=$B8)*
      ('Golf Log'!$C$2:$C$73=$C8),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Log'!$E$2:$V$73,
    MATCH(1,
      ('Putt Log'!$A$2:$A$73=$A8)*
      ('Putt Log'!$B$2:$B$73=$B8)*
      ('Putt Log'!$C$2:$C$73=$C8),
    0),
    MATCH($G8,'Putt Log'!$E$1:$V$1,0)
  ),
"")</f>
        <v>2</v>
      </c>
      <c r="P8" t="str" cm="1">
        <f t="array" ref="P8">IF(K8=3,"",
  IFERROR(
    INDEX('Fairway Log'!$E$2:$V$73,
      MATCH(1,
        ('Fairway Log'!$A$2:$A$73=$A8)*
        ('Fairway Log'!$B$2:$B$73=$B8)*
        ('Fairway Log'!$C$2:$C79=$C8),
      0),
      MATCH($G8,'Fairway Log'!$E$1:$V$1,0)
    ),
  "")
)</f>
        <v>←</v>
      </c>
      <c r="Q8" t="str" cm="1">
        <f t="array" ref="Q8">IFERROR(
  INDEX('GIR Log'!$E$2:$V$73,
    MATCH(1,
      ('GIR Log'!$A$2:$A$73=$A8)*
      ('GIR Log'!$B$2:$B$73=$B8)*
      ('GIR Log'!$C$2:$C$73=$C8),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Log'!$E$2:$V$73,
    MATCH(1,
      ('Golf Log'!$A$2:$A$73=$A9)*
      ('Golf Log'!$B$2:$B$73=$B9)*
      ('Golf Log'!$C$2:$C$73=$C9),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Log'!$E$2:$V$73,
    MATCH(1,
      ('Putt Log'!$A$2:$A$73=$A9)*
      ('Putt Log'!$B$2:$B$73=$B9)*
      ('Putt Log'!$C$2:$C$73=$C9),
    0),
    MATCH($G9,'Putt Log'!$E$1:$V$1,0)
  ),
"")</f>
        <v>1</v>
      </c>
      <c r="P9" cm="1">
        <f t="array" ref="P9">IF(K9=3,"",
  IFERROR(
    INDEX('Fairway Log'!$E$2:$V$73,
      MATCH(1,
        ('Fairway Log'!$A$2:$A$73=$A9)*
        ('Fairway Log'!$B$2:$B$73=$B9)*
        ('Fairway Log'!$C$2:$C80=$C9),
      0),
      MATCH($G9,'Fairway Log'!$E$1:$V$1,0)
    ),
  "")
)</f>
        <v>1</v>
      </c>
      <c r="Q9" cm="1">
        <f t="array" ref="Q9">IFERROR(
  INDEX('GIR Log'!$E$2:$V$73,
    MATCH(1,
      ('GIR Log'!$A$2:$A$73=$A9)*
      ('GIR Log'!$B$2:$B$73=$B9)*
      ('GIR Log'!$C$2:$C$73=$C9),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Log'!$E$2:$V$73,
    MATCH(1,
      ('Golf Log'!$A$2:$A$73=$A10)*
      ('Golf Log'!$B$2:$B$73=$B10)*
      ('Golf Log'!$C$2:$C$73=$C10),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Log'!$E$2:$V$73,
    MATCH(1,
      ('Putt Log'!$A$2:$A$73=$A10)*
      ('Putt Log'!$B$2:$B$73=$B10)*
      ('Putt Log'!$C$2:$C$73=$C10),
    0),
    MATCH($G10,'Putt Log'!$E$1:$V$1,0)
  ),
"")</f>
        <v>2</v>
      </c>
      <c r="P10" cm="1">
        <f t="array" ref="P10">IF(K10=3,"",
  IFERROR(
    INDEX('Fairway Log'!$E$2:$V$73,
      MATCH(1,
        ('Fairway Log'!$A$2:$A$73=$A10)*
        ('Fairway Log'!$B$2:$B$73=$B10)*
        ('Fairway Log'!$C$2:$C81=$C10),
      0),
      MATCH($G10,'Fairway Log'!$E$1:$V$1,0)
    ),
  "")
)</f>
        <v>1</v>
      </c>
      <c r="Q10" cm="1">
        <f t="array" ref="Q10">IFERROR(
  INDEX('GIR Log'!$E$2:$V$73,
    MATCH(1,
      ('GIR Log'!$A$2:$A$73=$A10)*
      ('GIR Log'!$B$2:$B$73=$B10)*
      ('GIR Log'!$C$2:$C$73=$C10),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Log'!$E$2:$V$73,
    MATCH(1,
      ('Golf Log'!$A$2:$A$73=$A11)*
      ('Golf Log'!$B$2:$B$73=$B11)*
      ('Golf Log'!$C$2:$C$73=$C11),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Log'!$E$2:$V$73,
    MATCH(1,
      ('Putt Log'!$A$2:$A$73=$A11)*
      ('Putt Log'!$B$2:$B$73=$B11)*
      ('Putt Log'!$C$2:$C$73=$C11),
    0),
    MATCH($G11,'Putt Log'!$E$1:$V$1,0)
  ),
"")</f>
        <v>2</v>
      </c>
      <c r="P11" t="str" cm="1">
        <f t="array" ref="P11">IF(K11=3,"",
  IFERROR(
    INDEX('Fairway Log'!$E$2:$V$73,
      MATCH(1,
        ('Fairway Log'!$A$2:$A$73=$A11)*
        ('Fairway Log'!$B$2:$B$73=$B11)*
        ('Fairway Log'!$C$2:$C82=$C11),
      0),
      MATCH($G11,'Fairway Log'!$E$1:$V$1,0)
    ),
  "")
)</f>
        <v>→</v>
      </c>
      <c r="Q11" cm="1">
        <f t="array" ref="Q11">IFERROR(
  INDEX('GIR Log'!$E$2:$V$73,
    MATCH(1,
      ('GIR Log'!$A$2:$A$73=$A11)*
      ('GIR Log'!$B$2:$B$73=$B11)*
      ('GIR Log'!$C$2:$C$73=$C11),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Log'!$E$2:$V$73,
    MATCH(1,
      ('Golf Log'!$A$2:$A$73=$A12)*
      ('Golf Log'!$B$2:$B$73=$B12)*
      ('Golf Log'!$C$2:$C$73=$C12),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Log'!$E$2:$V$73,
    MATCH(1,
      ('Putt Log'!$A$2:$A$73=$A12)*
      ('Putt Log'!$B$2:$B$73=$B12)*
      ('Putt Log'!$C$2:$C$73=$C12),
    0),
    MATCH($G12,'Putt Log'!$E$1:$V$1,0)
  ),
"")</f>
        <v>2</v>
      </c>
      <c r="P12" t="str" cm="1">
        <f t="array" ref="P12">IF(K12=3,"",
  IFERROR(
    INDEX('Fairway Log'!$E$2:$V$73,
      MATCH(1,
        ('Fairway Log'!$A$2:$A$73=$A12)*
        ('Fairway Log'!$B$2:$B$73=$B12)*
        ('Fairway Log'!$C$2:$C83=$C12),
      0),
      MATCH($G12,'Fairway Log'!$E$1:$V$1,0)
    ),
  "")
)</f>
        <v/>
      </c>
      <c r="Q12" t="str" cm="1">
        <f t="array" ref="Q12">IFERROR(
  INDEX('GIR Log'!$E$2:$V$73,
    MATCH(1,
      ('GIR Log'!$A$2:$A$73=$A12)*
      ('GIR Log'!$B$2:$B$73=$B12)*
      ('GIR Log'!$C$2:$C$73=$C12),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Log'!$E$2:$V$73,
    MATCH(1,
      ('Golf Log'!$A$2:$A$73=$A13)*
      ('Golf Log'!$B$2:$B$73=$B13)*
      ('Golf Log'!$C$2:$C$73=$C13),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Log'!$E$2:$V$73,
    MATCH(1,
      ('Putt Log'!$A$2:$A$73=$A13)*
      ('Putt Log'!$B$2:$B$73=$B13)*
      ('Putt Log'!$C$2:$C$73=$C13),
    0),
    MATCH($G13,'Putt Log'!$E$1:$V$1,0)
  ),
"")</f>
        <v>2</v>
      </c>
      <c r="P13" cm="1">
        <f t="array" ref="P13">IF(K13=3,"",
  IFERROR(
    INDEX('Fairway Log'!$E$2:$V$73,
      MATCH(1,
        ('Fairway Log'!$A$2:$A$73=$A13)*
        ('Fairway Log'!$B$2:$B$73=$B13)*
        ('Fairway Log'!$C$2:$C84=$C13),
      0),
      MATCH($G13,'Fairway Log'!$E$1:$V$1,0)
    ),
  "")
)</f>
        <v>1</v>
      </c>
      <c r="Q13" cm="1">
        <f t="array" ref="Q13">IFERROR(
  INDEX('GIR Log'!$E$2:$V$73,
    MATCH(1,
      ('GIR Log'!$A$2:$A$73=$A13)*
      ('GIR Log'!$B$2:$B$73=$B13)*
      ('GIR Log'!$C$2:$C$73=$C13),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Log'!$E$2:$V$73,
    MATCH(1,
      ('Golf Log'!$A$2:$A$73=$A14)*
      ('Golf Log'!$B$2:$B$73=$B14)*
      ('Golf Log'!$C$2:$C$73=$C14),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Log'!$E$2:$V$73,
    MATCH(1,
      ('Putt Log'!$A$2:$A$73=$A14)*
      ('Putt Log'!$B$2:$B$73=$B14)*
      ('Putt Log'!$C$2:$C$73=$C14),
    0),
    MATCH($G14,'Putt Log'!$E$1:$V$1,0)
  ),
"")</f>
        <v>2</v>
      </c>
      <c r="P14" cm="1">
        <f t="array" ref="P14">IF(K14=3,"",
  IFERROR(
    INDEX('Fairway Log'!$E$2:$V$73,
      MATCH(1,
        ('Fairway Log'!$A$2:$A$73=$A14)*
        ('Fairway Log'!$B$2:$B$73=$B14)*
        ('Fairway Log'!$C$2:$C85=$C14),
      0),
      MATCH($G14,'Fairway Log'!$E$1:$V$1,0)
    ),
  "")
)</f>
        <v>1</v>
      </c>
      <c r="Q14" cm="1">
        <f t="array" ref="Q14">IFERROR(
  INDEX('GIR Log'!$E$2:$V$73,
    MATCH(1,
      ('GIR Log'!$A$2:$A$73=$A14)*
      ('GIR Log'!$B$2:$B$73=$B14)*
      ('GIR Log'!$C$2:$C$73=$C14),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Log'!$E$2:$V$73,
    MATCH(1,
      ('Golf Log'!$A$2:$A$73=$A15)*
      ('Golf Log'!$B$2:$B$73=$B15)*
      ('Golf Log'!$C$2:$C$73=$C15),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Log'!$E$2:$V$73,
    MATCH(1,
      ('Putt Log'!$A$2:$A$73=$A15)*
      ('Putt Log'!$B$2:$B$73=$B15)*
      ('Putt Log'!$C$2:$C$73=$C15),
    0),
    MATCH($G15,'Putt Log'!$E$1:$V$1,0)
  ),
"")</f>
        <v>2</v>
      </c>
      <c r="P15" t="str" cm="1">
        <f t="array" ref="P15">IF(K15=3,"",
  IFERROR(
    INDEX('Fairway Log'!$E$2:$V$73,
      MATCH(1,
        ('Fairway Log'!$A$2:$A$73=$A15)*
        ('Fairway Log'!$B$2:$B$73=$B15)*
        ('Fairway Log'!$C$2:$C86=$C15),
      0),
      MATCH($G15,'Fairway Log'!$E$1:$V$1,0)
    ),
  "")
)</f>
        <v>→</v>
      </c>
      <c r="Q15" cm="1">
        <f t="array" ref="Q15">IFERROR(
  INDEX('GIR Log'!$E$2:$V$73,
    MATCH(1,
      ('GIR Log'!$A$2:$A$73=$A15)*
      ('GIR Log'!$B$2:$B$73=$B15)*
      ('GIR Log'!$C$2:$C$73=$C15),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Log'!$E$2:$V$73,
    MATCH(1,
      ('Golf Log'!$A$2:$A$73=$A16)*
      ('Golf Log'!$B$2:$B$73=$B16)*
      ('Golf Log'!$C$2:$C$73=$C16),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Log'!$E$2:$V$73,
    MATCH(1,
      ('Putt Log'!$A$2:$A$73=$A16)*
      ('Putt Log'!$B$2:$B$73=$B16)*
      ('Putt Log'!$C$2:$C$73=$C16),
    0),
    MATCH($G16,'Putt Log'!$E$1:$V$1,0)
  ),
"")</f>
        <v>1</v>
      </c>
      <c r="P16" t="str" cm="1">
        <f t="array" ref="P16">IF(K16=3,"",
  IFERROR(
    INDEX('Fairway Log'!$E$2:$V$73,
      MATCH(1,
        ('Fairway Log'!$A$2:$A$73=$A16)*
        ('Fairway Log'!$B$2:$B$73=$B16)*
        ('Fairway Log'!$C$2:$C87=$C16),
      0),
      MATCH($G16,'Fairway Log'!$E$1:$V$1,0)
    ),
  "")
)</f>
        <v/>
      </c>
      <c r="Q16" t="str" cm="1">
        <f t="array" ref="Q16">IFERROR(
  INDEX('GIR Log'!$E$2:$V$73,
    MATCH(1,
      ('GIR Log'!$A$2:$A$73=$A16)*
      ('GIR Log'!$B$2:$B$73=$B16)*
      ('GIR Log'!$C$2:$C$73=$C16),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Log'!$E$2:$V$73,
    MATCH(1,
      ('Golf Log'!$A$2:$A$73=$A17)*
      ('Golf Log'!$B$2:$B$73=$B17)*
      ('Golf Log'!$C$2:$C$73=$C17),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Log'!$E$2:$V$73,
    MATCH(1,
      ('Putt Log'!$A$2:$A$73=$A17)*
      ('Putt Log'!$B$2:$B$73=$B17)*
      ('Putt Log'!$C$2:$C$73=$C17),
    0),
    MATCH($G17,'Putt Log'!$E$1:$V$1,0)
  ),
"")</f>
        <v>2</v>
      </c>
      <c r="P17" t="str" cm="1">
        <f t="array" ref="P17">IF(K17=3,"",
  IFERROR(
    INDEX('Fairway Log'!$E$2:$V$73,
      MATCH(1,
        ('Fairway Log'!$A$2:$A$73=$A17)*
        ('Fairway Log'!$B$2:$B$73=$B17)*
        ('Fairway Log'!$C$2:$C88=$C17),
      0),
      MATCH($G17,'Fairway Log'!$E$1:$V$1,0)
    ),
  "")
)</f>
        <v>→</v>
      </c>
      <c r="Q17" cm="1">
        <f t="array" ref="Q17">IFERROR(
  INDEX('GIR Log'!$E$2:$V$73,
    MATCH(1,
      ('GIR Log'!$A$2:$A$73=$A17)*
      ('GIR Log'!$B$2:$B$73=$B17)*
      ('GIR Log'!$C$2:$C$73=$C17),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Log'!$E$2:$V$73,
    MATCH(1,
      ('Golf Log'!$A$2:$A$73=$A18)*
      ('Golf Log'!$B$2:$B$73=$B18)*
      ('Golf Log'!$C$2:$C$73=$C18),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Log'!$E$2:$V$73,
    MATCH(1,
      ('Putt Log'!$A$2:$A$73=$A18)*
      ('Putt Log'!$B$2:$B$73=$B18)*
      ('Putt Log'!$C$2:$C$73=$C18),
    0),
    MATCH($G18,'Putt Log'!$E$1:$V$1,0)
  ),
"")</f>
        <v>2</v>
      </c>
      <c r="P18" cm="1">
        <f t="array" ref="P18">IF(K18=3,"",
  IFERROR(
    INDEX('Fairway Log'!$E$2:$V$73,
      MATCH(1,
        ('Fairway Log'!$A$2:$A$73=$A18)*
        ('Fairway Log'!$B$2:$B$73=$B18)*
        ('Fairway Log'!$C$2:$C89=$C18),
      0),
      MATCH($G18,'Fairway Log'!$E$1:$V$1,0)
    ),
  "")
)</f>
        <v>1</v>
      </c>
      <c r="Q18" cm="1">
        <f t="array" ref="Q18">IFERROR(
  INDEX('GIR Log'!$E$2:$V$73,
    MATCH(1,
      ('GIR Log'!$A$2:$A$73=$A18)*
      ('GIR Log'!$B$2:$B$73=$B18)*
      ('GIR Log'!$C$2:$C$73=$C18),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Log'!$E$2:$V$73,
    MATCH(1,
      ('Golf Log'!$A$2:$A$73=$A19)*
      ('Golf Log'!$B$2:$B$73=$B19)*
      ('Golf Log'!$C$2:$C$73=$C19),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Log'!$E$2:$V$73,
    MATCH(1,
      ('Putt Log'!$A$2:$A$73=$A19)*
      ('Putt Log'!$B$2:$B$73=$B19)*
      ('Putt Log'!$C$2:$C$73=$C19),
    0),
    MATCH($G19,'Putt Log'!$E$1:$V$1,0)
  ),
"")</f>
        <v>1</v>
      </c>
      <c r="P19" t="str" cm="1">
        <f t="array" ref="P19">IF(K19=3,"",
  IFERROR(
    INDEX('Fairway Log'!$E$2:$V$73,
      MATCH(1,
        ('Fairway Log'!$A$2:$A$73=$A19)*
        ('Fairway Log'!$B$2:$B$73=$B19)*
        ('Fairway Log'!$C$2:$C90=$C19),
      0),
      MATCH($G19,'Fairway Log'!$E$1:$V$1,0)
    ),
  "")
)</f>
        <v>→</v>
      </c>
      <c r="Q19" t="str" cm="1">
        <f t="array" ref="Q19">IFERROR(
  INDEX('GIR Log'!$E$2:$V$73,
    MATCH(1,
      ('GIR Log'!$A$2:$A$73=$A19)*
      ('GIR Log'!$B$2:$B$73=$B19)*
      ('GIR Log'!$C$2:$C$73=$C19),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Log'!$E$2:$V$73,
    MATCH(1,
      ('Golf Log'!$A$2:$A$73=$A20)*
      ('Golf Log'!$B$2:$B$73=$B20)*
      ('Golf Log'!$C$2:$C$73=$C20),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Log'!$E$2:$V$73,
    MATCH(1,
      ('Putt Log'!$A$2:$A$73=$A20)*
      ('Putt Log'!$B$2:$B$73=$B20)*
      ('Putt Log'!$C$2:$C$73=$C20),
    0),
    MATCH($G20,'Putt Log'!$E$1:$V$1,0)
  ),
"")</f>
        <v>2</v>
      </c>
      <c r="P20" t="str" cm="1">
        <f t="array" ref="P20">IF(K20=3,"",
  IFERROR(
    INDEX('Fairway Log'!$E$2:$V$73,
      MATCH(1,
        ('Fairway Log'!$A$2:$A$73=$A20)*
        ('Fairway Log'!$B$2:$B$73=$B20)*
        ('Fairway Log'!$C$2:$C91=$C20),
      0),
      MATCH($G20,'Fairway Log'!$E$1:$V$1,0)
    ),
  "")
)</f>
        <v>→</v>
      </c>
      <c r="Q20" cm="1">
        <f t="array" ref="Q20">IFERROR(
  INDEX('GIR Log'!$E$2:$V$73,
    MATCH(1,
      ('GIR Log'!$A$2:$A$73=$A20)*
      ('GIR Log'!$B$2:$B$73=$B20)*
      ('GIR Log'!$C$2:$C$73=$C20),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Log'!$E$2:$V$73,
    MATCH(1,
      ('Golf Log'!$A$2:$A$73=$A21)*
      ('Golf Log'!$B$2:$B$73=$B21)*
      ('Golf Log'!$C$2:$C$73=$C21),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Log'!$E$2:$V$73,
    MATCH(1,
      ('Putt Log'!$A$2:$A$73=$A21)*
      ('Putt Log'!$B$2:$B$73=$B21)*
      ('Putt Log'!$C$2:$C$73=$C21),
    0),
    MATCH($G21,'Putt Log'!$E$1:$V$1,0)
  ),
"")</f>
        <v>3</v>
      </c>
      <c r="P21" cm="1">
        <f t="array" ref="P21">IF(K21=3,"",
  IFERROR(
    INDEX('Fairway Log'!$E$2:$V$73,
      MATCH(1,
        ('Fairway Log'!$A$2:$A$73=$A21)*
        ('Fairway Log'!$B$2:$B$73=$B21)*
        ('Fairway Log'!$C$2:$C92=$C21),
      0),
      MATCH($G21,'Fairway Log'!$E$1:$V$1,0)
    ),
  "")
)</f>
        <v>1</v>
      </c>
      <c r="Q21" t="str" cm="1">
        <f t="array" ref="Q21">IFERROR(
  INDEX('GIR Log'!$E$2:$V$73,
    MATCH(1,
      ('GIR Log'!$A$2:$A$73=$A21)*
      ('GIR Log'!$B$2:$B$73=$B21)*
      ('GIR Log'!$C$2:$C$73=$C21),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Log'!$E$2:$V$73,
    MATCH(1,
      ('Golf Log'!$A$2:$A$73=$A22)*
      ('Golf Log'!$B$2:$B$73=$B22)*
      ('Golf Log'!$C$2:$C$73=$C22),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Log'!$E$2:$V$73,
    MATCH(1,
      ('Putt Log'!$A$2:$A$73=$A22)*
      ('Putt Log'!$B$2:$B$73=$B22)*
      ('Putt Log'!$C$2:$C$73=$C22),
    0),
    MATCH($G22,'Putt Log'!$E$1:$V$1,0)
  ),
"")</f>
        <v>2</v>
      </c>
      <c r="P22" t="str" cm="1">
        <f t="array" ref="P22">IF(K22=3,"",
  IFERROR(
    INDEX('Fairway Log'!$E$2:$V$73,
      MATCH(1,
        ('Fairway Log'!$A$2:$A$73=$A22)*
        ('Fairway Log'!$B$2:$B$73=$B22)*
        ('Fairway Log'!$C$2:$C93=$C22),
      0),
      MATCH($G22,'Fairway Log'!$E$1:$V$1,0)
    ),
  "")
)</f>
        <v/>
      </c>
      <c r="Q22" t="str" cm="1">
        <f t="array" ref="Q22">IFERROR(
  INDEX('GIR Log'!$E$2:$V$73,
    MATCH(1,
      ('GIR Log'!$A$2:$A$73=$A22)*
      ('GIR Log'!$B$2:$B$73=$B22)*
      ('GIR Log'!$C$2:$C$73=$C22),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Log'!$E$2:$V$73,
    MATCH(1,
      ('Golf Log'!$A$2:$A$73=$A23)*
      ('Golf Log'!$B$2:$B$73=$B23)*
      ('Golf Log'!$C$2:$C$73=$C23),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Log'!$E$2:$V$73,
    MATCH(1,
      ('Putt Log'!$A$2:$A$73=$A23)*
      ('Putt Log'!$B$2:$B$73=$B23)*
      ('Putt Log'!$C$2:$C$73=$C23),
    0),
    MATCH($G23,'Putt Log'!$E$1:$V$1,0)
  ),
"")</f>
        <v>2</v>
      </c>
      <c r="P23" cm="1">
        <f t="array" ref="P23">IF(K23=3,"",
  IFERROR(
    INDEX('Fairway Log'!$E$2:$V$73,
      MATCH(1,
        ('Fairway Log'!$A$2:$A$73=$A23)*
        ('Fairway Log'!$B$2:$B$73=$B23)*
        ('Fairway Log'!$C$2:$C94=$C23),
      0),
      MATCH($G23,'Fairway Log'!$E$1:$V$1,0)
    ),
  "")
)</f>
        <v>1</v>
      </c>
      <c r="Q23" cm="1">
        <f t="array" ref="Q23">IFERROR(
  INDEX('GIR Log'!$E$2:$V$73,
    MATCH(1,
      ('GIR Log'!$A$2:$A$73=$A23)*
      ('GIR Log'!$B$2:$B$73=$B23)*
      ('GIR Log'!$C$2:$C$73=$C23),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Log'!$E$2:$V$73,
    MATCH(1,
      ('Golf Log'!$A$2:$A$73=$A24)*
      ('Golf Log'!$B$2:$B$73=$B24)*
      ('Golf Log'!$C$2:$C$73=$C24),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Log'!$E$2:$V$73,
    MATCH(1,
      ('Putt Log'!$A$2:$A$73=$A24)*
      ('Putt Log'!$B$2:$B$73=$B24)*
      ('Putt Log'!$C$2:$C$73=$C24),
    0),
    MATCH($G24,'Putt Log'!$E$1:$V$1,0)
  ),
"")</f>
        <v>2</v>
      </c>
      <c r="P24" cm="1">
        <f t="array" ref="P24">IF(K24=3,"",
  IFERROR(
    INDEX('Fairway Log'!$E$2:$V$73,
      MATCH(1,
        ('Fairway Log'!$A$2:$A$73=$A24)*
        ('Fairway Log'!$B$2:$B$73=$B24)*
        ('Fairway Log'!$C$2:$C95=$C24),
      0),
      MATCH($G24,'Fairway Log'!$E$1:$V$1,0)
    ),
  "")
)</f>
        <v>1</v>
      </c>
      <c r="Q24" t="str" cm="1">
        <f t="array" ref="Q24">IFERROR(
  INDEX('GIR Log'!$E$2:$V$73,
    MATCH(1,
      ('GIR Log'!$A$2:$A$73=$A24)*
      ('GIR Log'!$B$2:$B$73=$B24)*
      ('GIR Log'!$C$2:$C$73=$C24),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Log'!$E$2:$V$73,
    MATCH(1,
      ('Golf Log'!$A$2:$A$73=$A25)*
      ('Golf Log'!$B$2:$B$73=$B25)*
      ('Golf Log'!$C$2:$C$73=$C25),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Log'!$E$2:$V$73,
    MATCH(1,
      ('Putt Log'!$A$2:$A$73=$A25)*
      ('Putt Log'!$B$2:$B$73=$B25)*
      ('Putt Log'!$C$2:$C$73=$C25),
    0),
    MATCH($G25,'Putt Log'!$E$1:$V$1,0)
  ),
"")</f>
        <v>2</v>
      </c>
      <c r="P25" cm="1">
        <f t="array" ref="P25">IF(K25=3,"",
  IFERROR(
    INDEX('Fairway Log'!$E$2:$V$73,
      MATCH(1,
        ('Fairway Log'!$A$2:$A$73=$A25)*
        ('Fairway Log'!$B$2:$B$73=$B25)*
        ('Fairway Log'!$C$2:$C96=$C25),
      0),
      MATCH($G25,'Fairway Log'!$E$1:$V$1,0)
    ),
  "")
)</f>
        <v>1</v>
      </c>
      <c r="Q25" t="str" cm="1">
        <f t="array" ref="Q25">IFERROR(
  INDEX('GIR Log'!$E$2:$V$73,
    MATCH(1,
      ('GIR Log'!$A$2:$A$73=$A25)*
      ('GIR Log'!$B$2:$B$73=$B25)*
      ('GIR Log'!$C$2:$C$73=$C25),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Log'!$E$2:$V$73,
    MATCH(1,
      ('Golf Log'!$A$2:$A$73=$A26)*
      ('Golf Log'!$B$2:$B$73=$B26)*
      ('Golf Log'!$C$2:$C$73=$C26),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Log'!$E$2:$V$73,
    MATCH(1,
      ('Putt Log'!$A$2:$A$73=$A26)*
      ('Putt Log'!$B$2:$B$73=$B26)*
      ('Putt Log'!$C$2:$C$73=$C26),
    0),
    MATCH($G26,'Putt Log'!$E$1:$V$1,0)
  ),
"")</f>
        <v>1</v>
      </c>
      <c r="P26" t="str" cm="1">
        <f t="array" ref="P26">IF(K26=3,"",
  IFERROR(
    INDEX('Fairway Log'!$E$2:$V$73,
      MATCH(1,
        ('Fairway Log'!$A$2:$A$73=$A26)*
        ('Fairway Log'!$B$2:$B$73=$B26)*
        ('Fairway Log'!$C$2:$C97=$C26),
      0),
      MATCH($G26,'Fairway Log'!$E$1:$V$1,0)
    ),
  "")
)</f>
        <v>→</v>
      </c>
      <c r="Q26" t="str" cm="1">
        <f t="array" ref="Q26">IFERROR(
  INDEX('GIR Log'!$E$2:$V$73,
    MATCH(1,
      ('GIR Log'!$A$2:$A$73=$A26)*
      ('GIR Log'!$B$2:$B$73=$B26)*
      ('GIR Log'!$C$2:$C$73=$C26),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Log'!$E$2:$V$73,
    MATCH(1,
      ('Golf Log'!$A$2:$A$73=$A27)*
      ('Golf Log'!$B$2:$B$73=$B27)*
      ('Golf Log'!$C$2:$C$73=$C27),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Log'!$E$2:$V$73,
    MATCH(1,
      ('Putt Log'!$A$2:$A$73=$A27)*
      ('Putt Log'!$B$2:$B$73=$B27)*
      ('Putt Log'!$C$2:$C$73=$C27),
    0),
    MATCH($G27,'Putt Log'!$E$1:$V$1,0)
  ),
"")</f>
        <v>2</v>
      </c>
      <c r="P27" t="str" cm="1">
        <f t="array" ref="P27">IF(K27=3,"",
  IFERROR(
    INDEX('Fairway Log'!$E$2:$V$73,
      MATCH(1,
        ('Fairway Log'!$A$2:$A$73=$A27)*
        ('Fairway Log'!$B$2:$B$73=$B27)*
        ('Fairway Log'!$C$2:$C98=$C27),
      0),
      MATCH($G27,'Fairway Log'!$E$1:$V$1,0)
    ),
  "")
)</f>
        <v/>
      </c>
      <c r="Q27" t="str" cm="1">
        <f t="array" ref="Q27">IFERROR(
  INDEX('GIR Log'!$E$2:$V$73,
    MATCH(1,
      ('GIR Log'!$A$2:$A$73=$A27)*
      ('GIR Log'!$B$2:$B$73=$B27)*
      ('GIR Log'!$C$2:$C$73=$C27),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Log'!$E$2:$V$73,
    MATCH(1,
      ('Golf Log'!$A$2:$A$73=$A28)*
      ('Golf Log'!$B$2:$B$73=$B28)*
      ('Golf Log'!$C$2:$C$73=$C28),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Log'!$E$2:$V$73,
    MATCH(1,
      ('Putt Log'!$A$2:$A$73=$A28)*
      ('Putt Log'!$B$2:$B$73=$B28)*
      ('Putt Log'!$C$2:$C$73=$C28),
    0),
    MATCH($G28,'Putt Log'!$E$1:$V$1,0)
  ),
"")</f>
        <v>2</v>
      </c>
      <c r="P28" cm="1">
        <f t="array" ref="P28">IF(K28=3,"",
  IFERROR(
    INDEX('Fairway Log'!$E$2:$V$73,
      MATCH(1,
        ('Fairway Log'!$A$2:$A$73=$A28)*
        ('Fairway Log'!$B$2:$B$73=$B28)*
        ('Fairway Log'!$C$2:$C99=$C28),
      0),
      MATCH($G28,'Fairway Log'!$E$1:$V$1,0)
    ),
  "")
)</f>
        <v>1</v>
      </c>
      <c r="Q28" cm="1">
        <f t="array" ref="Q28">IFERROR(
  INDEX('GIR Log'!$E$2:$V$73,
    MATCH(1,
      ('GIR Log'!$A$2:$A$73=$A28)*
      ('GIR Log'!$B$2:$B$73=$B28)*
      ('GIR Log'!$C$2:$C$73=$C28),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Log'!$E$2:$V$73,
    MATCH(1,
      ('Golf Log'!$A$2:$A$73=$A29)*
      ('Golf Log'!$B$2:$B$73=$B29)*
      ('Golf Log'!$C$2:$C$73=$C29),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Log'!$E$2:$V$73,
    MATCH(1,
      ('Putt Log'!$A$2:$A$73=$A29)*
      ('Putt Log'!$B$2:$B$73=$B29)*
      ('Putt Log'!$C$2:$C$73=$C29),
    0),
    MATCH($G29,'Putt Log'!$E$1:$V$1,0)
  ),
"")</f>
        <v>2</v>
      </c>
      <c r="P29" cm="1">
        <f t="array" ref="P29">IF(K29=3,"",
  IFERROR(
    INDEX('Fairway Log'!$E$2:$V$73,
      MATCH(1,
        ('Fairway Log'!$A$2:$A$73=$A29)*
        ('Fairway Log'!$B$2:$B$73=$B29)*
        ('Fairway Log'!$C$2:$C100=$C29),
      0),
      MATCH($G29,'Fairway Log'!$E$1:$V$1,0)
    ),
  "")
)</f>
        <v>1</v>
      </c>
      <c r="Q29" cm="1">
        <f t="array" ref="Q29">IFERROR(
  INDEX('GIR Log'!$E$2:$V$73,
    MATCH(1,
      ('GIR Log'!$A$2:$A$73=$A29)*
      ('GIR Log'!$B$2:$B$73=$B29)*
      ('GIR Log'!$C$2:$C$73=$C29),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Log'!$E$2:$V$73,
    MATCH(1,
      ('Golf Log'!$A$2:$A$73=$A30)*
      ('Golf Log'!$B$2:$B$73=$B30)*
      ('Golf Log'!$C$2:$C$73=$C30),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Log'!$E$2:$V$73,
    MATCH(1,
      ('Putt Log'!$A$2:$A$73=$A30)*
      ('Putt Log'!$B$2:$B$73=$B30)*
      ('Putt Log'!$C$2:$C$73=$C30),
    0),
    MATCH($G30,'Putt Log'!$E$1:$V$1,0)
  ),
"")</f>
        <v>1</v>
      </c>
      <c r="P30" cm="1">
        <f t="array" ref="P30">IF(K30=3,"",
  IFERROR(
    INDEX('Fairway Log'!$E$2:$V$73,
      MATCH(1,
        ('Fairway Log'!$A$2:$A$73=$A30)*
        ('Fairway Log'!$B$2:$B$73=$B30)*
        ('Fairway Log'!$C$2:$C101=$C30),
      0),
      MATCH($G30,'Fairway Log'!$E$1:$V$1,0)
    ),
  "")
)</f>
        <v>1</v>
      </c>
      <c r="Q30" t="str" cm="1">
        <f t="array" ref="Q30">IFERROR(
  INDEX('GIR Log'!$E$2:$V$73,
    MATCH(1,
      ('GIR Log'!$A$2:$A$73=$A30)*
      ('GIR Log'!$B$2:$B$73=$B30)*
      ('GIR Log'!$C$2:$C$73=$C30),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Log'!$E$2:$V$73,
    MATCH(1,
      ('Golf Log'!$A$2:$A$73=$A31)*
      ('Golf Log'!$B$2:$B$73=$B31)*
      ('Golf Log'!$C$2:$C$73=$C31),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Log'!$E$2:$V$73,
    MATCH(1,
      ('Putt Log'!$A$2:$A$73=$A31)*
      ('Putt Log'!$B$2:$B$73=$B31)*
      ('Putt Log'!$C$2:$C$73=$C31),
    0),
    MATCH($G31,'Putt Log'!$E$1:$V$1,0)
  ),
"")</f>
        <v>2</v>
      </c>
      <c r="P31" cm="1">
        <f t="array" ref="P31">IF(K31=3,"",
  IFERROR(
    INDEX('Fairway Log'!$E$2:$V$73,
      MATCH(1,
        ('Fairway Log'!$A$2:$A$73=$A31)*
        ('Fairway Log'!$B$2:$B$73=$B31)*
        ('Fairway Log'!$C$2:$C102=$C31),
      0),
      MATCH($G31,'Fairway Log'!$E$1:$V$1,0)
    ),
  "")
)</f>
        <v>1</v>
      </c>
      <c r="Q31" t="str" cm="1">
        <f t="array" ref="Q31">IFERROR(
  INDEX('GIR Log'!$E$2:$V$73,
    MATCH(1,
      ('GIR Log'!$A$2:$A$73=$A31)*
      ('GIR Log'!$B$2:$B$73=$B31)*
      ('GIR Log'!$C$2:$C$73=$C31),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Log'!$E$2:$V$73,
    MATCH(1,
      ('Golf Log'!$A$2:$A$73=$A32)*
      ('Golf Log'!$B$2:$B$73=$B32)*
      ('Golf Log'!$C$2:$C$73=$C32),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Log'!$E$2:$V$73,
    MATCH(1,
      ('Putt Log'!$A$2:$A$73=$A32)*
      ('Putt Log'!$B$2:$B$73=$B32)*
      ('Putt Log'!$C$2:$C$73=$C32),
    0),
    MATCH($G32,'Putt Log'!$E$1:$V$1,0)
  ),
"")</f>
        <v>2</v>
      </c>
      <c r="P32" t="str" cm="1">
        <f t="array" ref="P32">IF(K32=3,"",
  IFERROR(
    INDEX('Fairway Log'!$E$2:$V$73,
      MATCH(1,
        ('Fairway Log'!$A$2:$A$73=$A32)*
        ('Fairway Log'!$B$2:$B$73=$B32)*
        ('Fairway Log'!$C$2:$C103=$C32),
      0),
      MATCH($G32,'Fairway Log'!$E$1:$V$1,0)
    ),
  "")
)</f>
        <v/>
      </c>
      <c r="Q32" t="str" cm="1">
        <f t="array" ref="Q32">IFERROR(
  INDEX('GIR Log'!$E$2:$V$73,
    MATCH(1,
      ('GIR Log'!$A$2:$A$73=$A32)*
      ('GIR Log'!$B$2:$B$73=$B32)*
      ('GIR Log'!$C$2:$C$73=$C32),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Log'!$E$2:$V$73,
    MATCH(1,
      ('Golf Log'!$A$2:$A$73=$A33)*
      ('Golf Log'!$B$2:$B$73=$B33)*
      ('Golf Log'!$C$2:$C$73=$C33),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Log'!$E$2:$V$73,
    MATCH(1,
      ('Putt Log'!$A$2:$A$73=$A33)*
      ('Putt Log'!$B$2:$B$73=$B33)*
      ('Putt Log'!$C$2:$C$73=$C33),
    0),
    MATCH($G33,'Putt Log'!$E$1:$V$1,0)
  ),
"")</f>
        <v>2</v>
      </c>
      <c r="P33" t="str" cm="1">
        <f t="array" ref="P33">IF(K33=3,"",
  IFERROR(
    INDEX('Fairway Log'!$E$2:$V$73,
      MATCH(1,
        ('Fairway Log'!$A$2:$A$73=$A33)*
        ('Fairway Log'!$B$2:$B$73=$B33)*
        ('Fairway Log'!$C$2:$C104=$C33),
      0),
      MATCH($G33,'Fairway Log'!$E$1:$V$1,0)
    ),
  "")
)</f>
        <v>→</v>
      </c>
      <c r="Q33" t="str" cm="1">
        <f t="array" ref="Q33">IFERROR(
  INDEX('GIR Log'!$E$2:$V$73,
    MATCH(1,
      ('GIR Log'!$A$2:$A$73=$A33)*
      ('GIR Log'!$B$2:$B$73=$B33)*
      ('GIR Log'!$C$2:$C$73=$C33),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Log'!$E$2:$V$73,
    MATCH(1,
      ('Golf Log'!$A$2:$A$73=$A34)*
      ('Golf Log'!$B$2:$B$73=$B34)*
      ('Golf Log'!$C$2:$C$73=$C34),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Log'!$E$2:$V$73,
    MATCH(1,
      ('Putt Log'!$A$2:$A$73=$A34)*
      ('Putt Log'!$B$2:$B$73=$B34)*
      ('Putt Log'!$C$2:$C$73=$C34),
    0),
    MATCH($G34,'Putt Log'!$E$1:$V$1,0)
  ),
"")</f>
        <v>1</v>
      </c>
      <c r="P34" cm="1">
        <f t="array" ref="P34">IF(K34=3,"",
  IFERROR(
    INDEX('Fairway Log'!$E$2:$V$73,
      MATCH(1,
        ('Fairway Log'!$A$2:$A$73=$A34)*
        ('Fairway Log'!$B$2:$B$73=$B34)*
        ('Fairway Log'!$C$2:$C105=$C34),
      0),
      MATCH($G34,'Fairway Log'!$E$1:$V$1,0)
    ),
  "")
)</f>
        <v>1</v>
      </c>
      <c r="Q34" t="str" cm="1">
        <f t="array" ref="Q34">IFERROR(
  INDEX('GIR Log'!$E$2:$V$73,
    MATCH(1,
      ('GIR Log'!$A$2:$A$73=$A34)*
      ('GIR Log'!$B$2:$B$73=$B34)*
      ('GIR Log'!$C$2:$C$73=$C34),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Log'!$E$2:$V$73,
    MATCH(1,
      ('Golf Log'!$A$2:$A$73=$A35)*
      ('Golf Log'!$B$2:$B$73=$B35)*
      ('Golf Log'!$C$2:$C$73=$C35),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Log'!$E$2:$V$73,
    MATCH(1,
      ('Putt Log'!$A$2:$A$73=$A35)*
      ('Putt Log'!$B$2:$B$73=$B35)*
      ('Putt Log'!$C$2:$C$73=$C35),
    0),
    MATCH($G35,'Putt Log'!$E$1:$V$1,0)
  ),
"")</f>
        <v>2</v>
      </c>
      <c r="P35" t="str" cm="1">
        <f t="array" ref="P35">IF(K35=3,"",
  IFERROR(
    INDEX('Fairway Log'!$E$2:$V$73,
      MATCH(1,
        ('Fairway Log'!$A$2:$A$73=$A35)*
        ('Fairway Log'!$B$2:$B$73=$B35)*
        ('Fairway Log'!$C$2:$C106=$C35),
      0),
      MATCH($G35,'Fairway Log'!$E$1:$V$1,0)
    ),
  "")
)</f>
        <v/>
      </c>
      <c r="Q35" t="str" cm="1">
        <f t="array" ref="Q35">IFERROR(
  INDEX('GIR Log'!$E$2:$V$73,
    MATCH(1,
      ('GIR Log'!$A$2:$A$73=$A35)*
      ('GIR Log'!$B$2:$B$73=$B35)*
      ('GIR Log'!$C$2:$C$73=$C35),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Log'!$E$2:$V$73,
    MATCH(1,
      ('Golf Log'!$A$2:$A$73=$A36)*
      ('Golf Log'!$B$2:$B$73=$B36)*
      ('Golf Log'!$C$2:$C$73=$C36),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Log'!$E$2:$V$73,
    MATCH(1,
      ('Putt Log'!$A$2:$A$73=$A36)*
      ('Putt Log'!$B$2:$B$73=$B36)*
      ('Putt Log'!$C$2:$C$73=$C36),
    0),
    MATCH($G36,'Putt Log'!$E$1:$V$1,0)
  ),
"")</f>
        <v>2</v>
      </c>
      <c r="P36" cm="1">
        <f t="array" ref="P36">IF(K36=3,"",
  IFERROR(
    INDEX('Fairway Log'!$E$2:$V$73,
      MATCH(1,
        ('Fairway Log'!$A$2:$A$73=$A36)*
        ('Fairway Log'!$B$2:$B$73=$B36)*
        ('Fairway Log'!$C$2:$C107=$C36),
      0),
      MATCH($G36,'Fairway Log'!$E$1:$V$1,0)
    ),
  "")
)</f>
        <v>1</v>
      </c>
      <c r="Q36" cm="1">
        <f t="array" ref="Q36">IFERROR(
  INDEX('GIR Log'!$E$2:$V$73,
    MATCH(1,
      ('GIR Log'!$A$2:$A$73=$A36)*
      ('GIR Log'!$B$2:$B$73=$B36)*
      ('GIR Log'!$C$2:$C$73=$C36),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Log'!$E$2:$V$73,
    MATCH(1,
      ('Golf Log'!$A$2:$A$73=$A37)*
      ('Golf Log'!$B$2:$B$73=$B37)*
      ('Golf Log'!$C$2:$C$73=$C37),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Log'!$E$2:$V$73,
    MATCH(1,
      ('Putt Log'!$A$2:$A$73=$A37)*
      ('Putt Log'!$B$2:$B$73=$B37)*
      ('Putt Log'!$C$2:$C$73=$C37),
    0),
    MATCH($G37,'Putt Log'!$E$1:$V$1,0)
  ),
"")</f>
        <v>2</v>
      </c>
      <c r="P37" cm="1">
        <f t="array" ref="P37">IF(K37=3,"",
  IFERROR(
    INDEX('Fairway Log'!$E$2:$V$73,
      MATCH(1,
        ('Fairway Log'!$A$2:$A$73=$A37)*
        ('Fairway Log'!$B$2:$B$73=$B37)*
        ('Fairway Log'!$C$2:$C108=$C37),
      0),
      MATCH($G37,'Fairway Log'!$E$1:$V$1,0)
    ),
  "")
)</f>
        <v>1</v>
      </c>
      <c r="Q37" cm="1">
        <f t="array" ref="Q37">IFERROR(
  INDEX('GIR Log'!$E$2:$V$73,
    MATCH(1,
      ('GIR Log'!$A$2:$A$73=$A37)*
      ('GIR Log'!$B$2:$B$73=$B37)*
      ('GIR Log'!$C$2:$C$73=$C37),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Log'!$E$2:$V$73,
    MATCH(1,
      ('Golf Log'!$A$2:$A$73=$A38)*
      ('Golf Log'!$B$2:$B$73=$B38)*
      ('Golf Log'!$C$2:$C$73=$C38),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Log'!$E$2:$V$73,
    MATCH(1,
      ('Putt Log'!$A$2:$A$73=$A38)*
      ('Putt Log'!$B$2:$B$73=$B38)*
      ('Putt Log'!$C$2:$C$73=$C38),
    0),
    MATCH($G38,'Putt Log'!$E$1:$V$1,0)
  ),
"")</f>
        <v>2</v>
      </c>
      <c r="P38" cm="1">
        <f t="array" ref="P38">IF(K38=3,"",
  IFERROR(
    INDEX('Fairway Log'!$E$2:$V$73,
      MATCH(1,
        ('Fairway Log'!$A$2:$A$73=$A38)*
        ('Fairway Log'!$B$2:$B$73=$B38)*
        ('Fairway Log'!$C$2:$C109=$C38),
      0),
      MATCH($G38,'Fairway Log'!$E$1:$V$1,0)
    ),
  "")
)</f>
        <v>1</v>
      </c>
      <c r="Q38" t="str" cm="1">
        <f t="array" ref="Q38">IFERROR(
  INDEX('GIR Log'!$E$2:$V$73,
    MATCH(1,
      ('GIR Log'!$A$2:$A$73=$A38)*
      ('GIR Log'!$B$2:$B$73=$B38)*
      ('GIR Log'!$C$2:$C$73=$C38),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Log'!$E$2:$V$73,
    MATCH(1,
      ('Golf Log'!$A$2:$A$73=$A39)*
      ('Golf Log'!$B$2:$B$73=$B39)*
      ('Golf Log'!$C$2:$C$73=$C39),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Log'!$E$2:$V$73,
    MATCH(1,
      ('Putt Log'!$A$2:$A$73=$A39)*
      ('Putt Log'!$B$2:$B$73=$B39)*
      ('Putt Log'!$C$2:$C$73=$C39),
    0),
    MATCH($G39,'Putt Log'!$E$1:$V$1,0)
  ),
"")</f>
        <v>3</v>
      </c>
      <c r="P39" cm="1">
        <f t="array" ref="P39">IF(K39=3,"",
  IFERROR(
    INDEX('Fairway Log'!$E$2:$V$73,
      MATCH(1,
        ('Fairway Log'!$A$2:$A$73=$A39)*
        ('Fairway Log'!$B$2:$B$73=$B39)*
        ('Fairway Log'!$C$2:$C110=$C39),
      0),
      MATCH($G39,'Fairway Log'!$E$1:$V$1,0)
    ),
  "")
)</f>
        <v>1</v>
      </c>
      <c r="Q39" cm="1">
        <f t="array" ref="Q39">IFERROR(
  INDEX('GIR Log'!$E$2:$V$73,
    MATCH(1,
      ('GIR Log'!$A$2:$A$73=$A39)*
      ('GIR Log'!$B$2:$B$73=$B39)*
      ('GIR Log'!$C$2:$C$73=$C39),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Log'!$E$2:$V$73,
    MATCH(1,
      ('Golf Log'!$A$2:$A$73=$A40)*
      ('Golf Log'!$B$2:$B$73=$B40)*
      ('Golf Log'!$C$2:$C$73=$C40),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Log'!$E$2:$V$73,
    MATCH(1,
      ('Putt Log'!$A$2:$A$73=$A40)*
      ('Putt Log'!$B$2:$B$73=$B40)*
      ('Putt Log'!$C$2:$C$73=$C40),
    0),
    MATCH($G40,'Putt Log'!$E$1:$V$1,0)
  ),
"")</f>
        <v>2</v>
      </c>
      <c r="P40" t="str" cm="1">
        <f t="array" ref="P40">IF(K40=3,"",
  IFERROR(
    INDEX('Fairway Log'!$E$2:$V$73,
      MATCH(1,
        ('Fairway Log'!$A$2:$A$73=$A40)*
        ('Fairway Log'!$B$2:$B$73=$B40)*
        ('Fairway Log'!$C$2:$C111=$C40),
      0),
      MATCH($G40,'Fairway Log'!$E$1:$V$1,0)
    ),
  "")
)</f>
        <v/>
      </c>
      <c r="Q40" t="str" cm="1">
        <f t="array" ref="Q40">IFERROR(
  INDEX('GIR Log'!$E$2:$V$73,
    MATCH(1,
      ('GIR Log'!$A$2:$A$73=$A40)*
      ('GIR Log'!$B$2:$B$73=$B40)*
      ('GIR Log'!$C$2:$C$73=$C40),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Log'!$E$2:$V$73,
    MATCH(1,
      ('Golf Log'!$A$2:$A$73=$A41)*
      ('Golf Log'!$B$2:$B$73=$B41)*
      ('Golf Log'!$C$2:$C$73=$C41),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Log'!$E$2:$V$73,
    MATCH(1,
      ('Putt Log'!$A$2:$A$73=$A41)*
      ('Putt Log'!$B$2:$B$73=$B41)*
      ('Putt Log'!$C$2:$C$73=$C41),
    0),
    MATCH($G41,'Putt Log'!$E$1:$V$1,0)
  ),
"")</f>
        <v>2</v>
      </c>
      <c r="P41" cm="1">
        <f t="array" ref="P41">IF(K41=3,"",
  IFERROR(
    INDEX('Fairway Log'!$E$2:$V$73,
      MATCH(1,
        ('Fairway Log'!$A$2:$A$73=$A41)*
        ('Fairway Log'!$B$2:$B$73=$B41)*
        ('Fairway Log'!$C$2:$C112=$C41),
      0),
      MATCH($G41,'Fairway Log'!$E$1:$V$1,0)
    ),
  "")
)</f>
        <v>1</v>
      </c>
      <c r="Q41" cm="1">
        <f t="array" ref="Q41">IFERROR(
  INDEX('GIR Log'!$E$2:$V$73,
    MATCH(1,
      ('GIR Log'!$A$2:$A$73=$A41)*
      ('GIR Log'!$B$2:$B$73=$B41)*
      ('GIR Log'!$C$2:$C$73=$C41),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Log'!$E$2:$V$73,
    MATCH(1,
      ('Golf Log'!$A$2:$A$73=$A42)*
      ('Golf Log'!$B$2:$B$73=$B42)*
      ('Golf Log'!$C$2:$C$73=$C42),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Log'!$E$2:$V$73,
    MATCH(1,
      ('Putt Log'!$A$2:$A$73=$A42)*
      ('Putt Log'!$B$2:$B$73=$B42)*
      ('Putt Log'!$C$2:$C$73=$C42),
    0),
    MATCH($G42,'Putt Log'!$E$1:$V$1,0)
  ),
"")</f>
        <v>1</v>
      </c>
      <c r="P42" t="str" cm="1">
        <f t="array" ref="P42">IF(K42=3,"",
  IFERROR(
    INDEX('Fairway Log'!$E$2:$V$73,
      MATCH(1,
        ('Fairway Log'!$A$2:$A$73=$A42)*
        ('Fairway Log'!$B$2:$B$73=$B42)*
        ('Fairway Log'!$C$2:$C113=$C42),
      0),
      MATCH($G42,'Fairway Log'!$E$1:$V$1,0)
    ),
  "")
)</f>
        <v>←</v>
      </c>
      <c r="Q42" t="str" cm="1">
        <f t="array" ref="Q42">IFERROR(
  INDEX('GIR Log'!$E$2:$V$73,
    MATCH(1,
      ('GIR Log'!$A$2:$A$73=$A42)*
      ('GIR Log'!$B$2:$B$73=$B42)*
      ('GIR Log'!$C$2:$C$73=$C42),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Log'!$E$2:$V$73,
    MATCH(1,
      ('Golf Log'!$A$2:$A$73=$A43)*
      ('Golf Log'!$B$2:$B$73=$B43)*
      ('Golf Log'!$C$2:$C$73=$C43),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Log'!$E$2:$V$73,
    MATCH(1,
      ('Putt Log'!$A$2:$A$73=$A43)*
      ('Putt Log'!$B$2:$B$73=$B43)*
      ('Putt Log'!$C$2:$C$73=$C43),
    0),
    MATCH($G43,'Putt Log'!$E$1:$V$1,0)
  ),
"")</f>
        <v>2</v>
      </c>
      <c r="P43" t="str" cm="1">
        <f t="array" ref="P43">IF(K43=3,"",
  IFERROR(
    INDEX('Fairway Log'!$E$2:$V$73,
      MATCH(1,
        ('Fairway Log'!$A$2:$A$73=$A43)*
        ('Fairway Log'!$B$2:$B$73=$B43)*
        ('Fairway Log'!$C$2:$C114=$C43),
      0),
      MATCH($G43,'Fairway Log'!$E$1:$V$1,0)
    ),
  "")
)</f>
        <v>→</v>
      </c>
      <c r="Q43" cm="1">
        <f t="array" ref="Q43">IFERROR(
  INDEX('GIR Log'!$E$2:$V$73,
    MATCH(1,
      ('GIR Log'!$A$2:$A$73=$A43)*
      ('GIR Log'!$B$2:$B$73=$B43)*
      ('GIR Log'!$C$2:$C$73=$C43),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Log'!$E$2:$V$73,
    MATCH(1,
      ('Golf Log'!$A$2:$A$73=$A44)*
      ('Golf Log'!$B$2:$B$73=$B44)*
      ('Golf Log'!$C$2:$C$73=$C44),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Log'!$E$2:$V$73,
    MATCH(1,
      ('Putt Log'!$A$2:$A$73=$A44)*
      ('Putt Log'!$B$2:$B$73=$B44)*
      ('Putt Log'!$C$2:$C$73=$C44),
    0),
    MATCH($G44,'Putt Log'!$E$1:$V$1,0)
  ),
"")</f>
        <v>1</v>
      </c>
      <c r="P44" cm="1">
        <f t="array" ref="P44">IF(K44=3,"",
  IFERROR(
    INDEX('Fairway Log'!$E$2:$V$73,
      MATCH(1,
        ('Fairway Log'!$A$2:$A$73=$A44)*
        ('Fairway Log'!$B$2:$B$73=$B44)*
        ('Fairway Log'!$C$2:$C115=$C44),
      0),
      MATCH($G44,'Fairway Log'!$E$1:$V$1,0)
    ),
  "")
)</f>
        <v>1</v>
      </c>
      <c r="Q44" t="str" cm="1">
        <f t="array" ref="Q44">IFERROR(
  INDEX('GIR Log'!$E$2:$V$73,
    MATCH(1,
      ('GIR Log'!$A$2:$A$73=$A44)*
      ('GIR Log'!$B$2:$B$73=$B44)*
      ('GIR Log'!$C$2:$C$73=$C44),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Log'!$E$2:$V$73,
    MATCH(1,
      ('Golf Log'!$A$2:$A$73=$A45)*
      ('Golf Log'!$B$2:$B$73=$B45)*
      ('Golf Log'!$C$2:$C$73=$C45),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Log'!$E$2:$V$73,
    MATCH(1,
      ('Putt Log'!$A$2:$A$73=$A45)*
      ('Putt Log'!$B$2:$B$73=$B45)*
      ('Putt Log'!$C$2:$C$73=$C45),
    0),
    MATCH($G45,'Putt Log'!$E$1:$V$1,0)
  ),
"")</f>
        <v>2</v>
      </c>
      <c r="P45" t="str" cm="1">
        <f t="array" ref="P45">IF(K45=3,"",
  IFERROR(
    INDEX('Fairway Log'!$E$2:$V$73,
      MATCH(1,
        ('Fairway Log'!$A$2:$A$73=$A45)*
        ('Fairway Log'!$B$2:$B$73=$B45)*
        ('Fairway Log'!$C$2:$C116=$C45),
      0),
      MATCH($G45,'Fairway Log'!$E$1:$V$1,0)
    ),
  "")
)</f>
        <v/>
      </c>
      <c r="Q45" cm="1">
        <f t="array" ref="Q45">IFERROR(
  INDEX('GIR Log'!$E$2:$V$73,
    MATCH(1,
      ('GIR Log'!$A$2:$A$73=$A45)*
      ('GIR Log'!$B$2:$B$73=$B45)*
      ('GIR Log'!$C$2:$C$73=$C45),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Log'!$E$2:$V$73,
    MATCH(1,
      ('Golf Log'!$A$2:$A$73=$A46)*
      ('Golf Log'!$B$2:$B$73=$B46)*
      ('Golf Log'!$C$2:$C$73=$C46),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Log'!$E$2:$V$73,
    MATCH(1,
      ('Putt Log'!$A$2:$A$73=$A46)*
      ('Putt Log'!$B$2:$B$73=$B46)*
      ('Putt Log'!$C$2:$C$73=$C46),
    0),
    MATCH($G46,'Putt Log'!$E$1:$V$1,0)
  ),
"")</f>
        <v>2</v>
      </c>
      <c r="P46" cm="1">
        <f t="array" ref="P46">IF(K46=3,"",
  IFERROR(
    INDEX('Fairway Log'!$E$2:$V$73,
      MATCH(1,
        ('Fairway Log'!$A$2:$A$73=$A46)*
        ('Fairway Log'!$B$2:$B$73=$B46)*
        ('Fairway Log'!$C$2:$C117=$C46),
      0),
      MATCH($G46,'Fairway Log'!$E$1:$V$1,0)
    ),
  "")
)</f>
        <v>1</v>
      </c>
      <c r="Q46" t="str" cm="1">
        <f t="array" ref="Q46">IFERROR(
  INDEX('GIR Log'!$E$2:$V$73,
    MATCH(1,
      ('GIR Log'!$A$2:$A$73=$A46)*
      ('GIR Log'!$B$2:$B$73=$B46)*
      ('GIR Log'!$C$2:$C$73=$C46),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Log'!$E$2:$V$73,
    MATCH(1,
      ('Golf Log'!$A$2:$A$73=$A47)*
      ('Golf Log'!$B$2:$B$73=$B47)*
      ('Golf Log'!$C$2:$C$73=$C47),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Log'!$E$2:$V$73,
    MATCH(1,
      ('Putt Log'!$A$2:$A$73=$A47)*
      ('Putt Log'!$B$2:$B$73=$B47)*
      ('Putt Log'!$C$2:$C$73=$C47),
    0),
    MATCH($G47,'Putt Log'!$E$1:$V$1,0)
  ),
"")</f>
        <v>2</v>
      </c>
      <c r="P47" cm="1">
        <f t="array" ref="P47">IF(K47=3,"",
  IFERROR(
    INDEX('Fairway Log'!$E$2:$V$73,
      MATCH(1,
        ('Fairway Log'!$A$2:$A$73=$A47)*
        ('Fairway Log'!$B$2:$B$73=$B47)*
        ('Fairway Log'!$C$2:$C118=$C47),
      0),
      MATCH($G47,'Fairway Log'!$E$1:$V$1,0)
    ),
  "")
)</f>
        <v>1</v>
      </c>
      <c r="Q47" t="str" cm="1">
        <f t="array" ref="Q47">IFERROR(
  INDEX('GIR Log'!$E$2:$V$73,
    MATCH(1,
      ('GIR Log'!$A$2:$A$73=$A47)*
      ('GIR Log'!$B$2:$B$73=$B47)*
      ('GIR Log'!$C$2:$C$73=$C47),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Log'!$E$2:$V$73,
    MATCH(1,
      ('Golf Log'!$A$2:$A$73=$A48)*
      ('Golf Log'!$B$2:$B$73=$B48)*
      ('Golf Log'!$C$2:$C$73=$C48),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Log'!$E$2:$V$73,
    MATCH(1,
      ('Putt Log'!$A$2:$A$73=$A48)*
      ('Putt Log'!$B$2:$B$73=$B48)*
      ('Putt Log'!$C$2:$C$73=$C48),
    0),
    MATCH($G48,'Putt Log'!$E$1:$V$1,0)
  ),
"")</f>
        <v>2</v>
      </c>
      <c r="P48" t="str" cm="1">
        <f t="array" ref="P48">IF(K48=3,"",
  IFERROR(
    INDEX('Fairway Log'!$E$2:$V$73,
      MATCH(1,
        ('Fairway Log'!$A$2:$A$73=$A48)*
        ('Fairway Log'!$B$2:$B$73=$B48)*
        ('Fairway Log'!$C$2:$C119=$C48),
      0),
      MATCH($G48,'Fairway Log'!$E$1:$V$1,0)
    ),
  "")
)</f>
        <v/>
      </c>
      <c r="Q48" cm="1">
        <f t="array" ref="Q48">IFERROR(
  INDEX('GIR Log'!$E$2:$V$73,
    MATCH(1,
      ('GIR Log'!$A$2:$A$73=$A48)*
      ('GIR Log'!$B$2:$B$73=$B48)*
      ('GIR Log'!$C$2:$C$73=$C48),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Log'!$E$2:$V$73,
    MATCH(1,
      ('Golf Log'!$A$2:$A$73=$A49)*
      ('Golf Log'!$B$2:$B$73=$B49)*
      ('Golf Log'!$C$2:$C$73=$C49),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Log'!$E$2:$V$73,
    MATCH(1,
      ('Putt Log'!$A$2:$A$73=$A49)*
      ('Putt Log'!$B$2:$B$73=$B49)*
      ('Putt Log'!$C$2:$C$73=$C49),
    0),
    MATCH($G49,'Putt Log'!$E$1:$V$1,0)
  ),
"")</f>
        <v>2</v>
      </c>
      <c r="P49" t="str" cm="1">
        <f t="array" ref="P49">IF(K49=3,"",
  IFERROR(
    INDEX('Fairway Log'!$E$2:$V$73,
      MATCH(1,
        ('Fairway Log'!$A$2:$A$73=$A49)*
        ('Fairway Log'!$B$2:$B$73=$B49)*
        ('Fairway Log'!$C$2:$C120=$C49),
      0),
      MATCH($G49,'Fairway Log'!$E$1:$V$1,0)
    ),
  "")
)</f>
        <v>←</v>
      </c>
      <c r="Q49" t="str" cm="1">
        <f t="array" ref="Q49">IFERROR(
  INDEX('GIR Log'!$E$2:$V$73,
    MATCH(1,
      ('GIR Log'!$A$2:$A$73=$A49)*
      ('GIR Log'!$B$2:$B$73=$B49)*
      ('GIR Log'!$C$2:$C$73=$C49),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Log'!$E$2:$V$73,
    MATCH(1,
      ('Golf Log'!$A$2:$A$73=$A50)*
      ('Golf Log'!$B$2:$B$73=$B50)*
      ('Golf Log'!$C$2:$C$73=$C50),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Log'!$E$2:$V$73,
    MATCH(1,
      ('Putt Log'!$A$2:$A$73=$A50)*
      ('Putt Log'!$B$2:$B$73=$B50)*
      ('Putt Log'!$C$2:$C$73=$C50),
    0),
    MATCH($G50,'Putt Log'!$E$1:$V$1,0)
  ),
"")</f>
        <v>1</v>
      </c>
      <c r="P50" t="str" cm="1">
        <f t="array" ref="P50">IF(K50=3,"",
  IFERROR(
    INDEX('Fairway Log'!$E$2:$V$73,
      MATCH(1,
        ('Fairway Log'!$A$2:$A$73=$A50)*
        ('Fairway Log'!$B$2:$B$73=$B50)*
        ('Fairway Log'!$C$2:$C121=$C50),
      0),
      MATCH($G50,'Fairway Log'!$E$1:$V$1,0)
    ),
  "")
)</f>
        <v>→</v>
      </c>
      <c r="Q50" t="str" cm="1">
        <f t="array" ref="Q50">IFERROR(
  INDEX('GIR Log'!$E$2:$V$73,
    MATCH(1,
      ('GIR Log'!$A$2:$A$73=$A50)*
      ('GIR Log'!$B$2:$B$73=$B50)*
      ('GIR Log'!$C$2:$C$73=$C50),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Log'!$E$2:$V$73,
    MATCH(1,
      ('Golf Log'!$A$2:$A$73=$A51)*
      ('Golf Log'!$B$2:$B$73=$B51)*
      ('Golf Log'!$C$2:$C$73=$C51),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Log'!$E$2:$V$73,
    MATCH(1,
      ('Putt Log'!$A$2:$A$73=$A51)*
      ('Putt Log'!$B$2:$B$73=$B51)*
      ('Putt Log'!$C$2:$C$73=$C51),
    0),
    MATCH($G51,'Putt Log'!$E$1:$V$1,0)
  ),
"")</f>
        <v>1</v>
      </c>
      <c r="P51" t="str" cm="1">
        <f t="array" ref="P51">IF(K51=3,"",
  IFERROR(
    INDEX('Fairway Log'!$E$2:$V$73,
      MATCH(1,
        ('Fairway Log'!$A$2:$A$73=$A51)*
        ('Fairway Log'!$B$2:$B$73=$B51)*
        ('Fairway Log'!$C$2:$C122=$C51),
      0),
      MATCH($G51,'Fairway Log'!$E$1:$V$1,0)
    ),
  "")
)</f>
        <v>→</v>
      </c>
      <c r="Q51" t="str" cm="1">
        <f t="array" ref="Q51">IFERROR(
  INDEX('GIR Log'!$E$2:$V$73,
    MATCH(1,
      ('GIR Log'!$A$2:$A$73=$A51)*
      ('GIR Log'!$B$2:$B$73=$B51)*
      ('GIR Log'!$C$2:$C$73=$C51),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Log'!$E$2:$V$73,
    MATCH(1,
      ('Golf Log'!$A$2:$A$73=$A52)*
      ('Golf Log'!$B$2:$B$73=$B52)*
      ('Golf Log'!$C$2:$C$73=$C52),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Log'!$E$2:$V$73,
    MATCH(1,
      ('Putt Log'!$A$2:$A$73=$A52)*
      ('Putt Log'!$B$2:$B$73=$B52)*
      ('Putt Log'!$C$2:$C$73=$C52),
    0),
    MATCH($G52,'Putt Log'!$E$1:$V$1,0)
  ),
"")</f>
        <v>1</v>
      </c>
      <c r="P52" t="str" cm="1">
        <f t="array" ref="P52">IF(K52=3,"",
  IFERROR(
    INDEX('Fairway Log'!$E$2:$V$73,
      MATCH(1,
        ('Fairway Log'!$A$2:$A$73=$A52)*
        ('Fairway Log'!$B$2:$B$73=$B52)*
        ('Fairway Log'!$C$2:$C123=$C52),
      0),
      MATCH($G52,'Fairway Log'!$E$1:$V$1,0)
    ),
  "")
)</f>
        <v>→</v>
      </c>
      <c r="Q52" t="str" cm="1">
        <f t="array" ref="Q52">IFERROR(
  INDEX('GIR Log'!$E$2:$V$73,
    MATCH(1,
      ('GIR Log'!$A$2:$A$73=$A52)*
      ('GIR Log'!$B$2:$B$73=$B52)*
      ('GIR Log'!$C$2:$C$73=$C52),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Log'!$E$2:$V$73,
    MATCH(1,
      ('Golf Log'!$A$2:$A$73=$A53)*
      ('Golf Log'!$B$2:$B$73=$B53)*
      ('Golf Log'!$C$2:$C$73=$C53),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Log'!$E$2:$V$73,
    MATCH(1,
      ('Putt Log'!$A$2:$A$73=$A53)*
      ('Putt Log'!$B$2:$B$73=$B53)*
      ('Putt Log'!$C$2:$C$73=$C53),
    0),
    MATCH($G53,'Putt Log'!$E$1:$V$1,0)
  ),
"")</f>
        <v>2</v>
      </c>
      <c r="P53" t="str" cm="1">
        <f t="array" ref="P53">IF(K53=3,"",
  IFERROR(
    INDEX('Fairway Log'!$E$2:$V$73,
      MATCH(1,
        ('Fairway Log'!$A$2:$A$73=$A53)*
        ('Fairway Log'!$B$2:$B$73=$B53)*
        ('Fairway Log'!$C$2:$C124=$C53),
      0),
      MATCH($G53,'Fairway Log'!$E$1:$V$1,0)
    ),
  "")
)</f>
        <v/>
      </c>
      <c r="Q53" t="str" cm="1">
        <f t="array" ref="Q53">IFERROR(
  INDEX('GIR Log'!$E$2:$V$73,
    MATCH(1,
      ('GIR Log'!$A$2:$A$73=$A53)*
      ('GIR Log'!$B$2:$B$73=$B53)*
      ('GIR Log'!$C$2:$C$73=$C53),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Log'!$E$2:$V$73,
    MATCH(1,
      ('Golf Log'!$A$2:$A$73=$A54)*
      ('Golf Log'!$B$2:$B$73=$B54)*
      ('Golf Log'!$C$2:$C$73=$C54),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Log'!$E$2:$V$73,
    MATCH(1,
      ('Putt Log'!$A$2:$A$73=$A54)*
      ('Putt Log'!$B$2:$B$73=$B54)*
      ('Putt Log'!$C$2:$C$73=$C54),
    0),
    MATCH($G54,'Putt Log'!$E$1:$V$1,0)
  ),
"")</f>
        <v>2</v>
      </c>
      <c r="P54" cm="1">
        <f t="array" ref="P54">IF(K54=3,"",
  IFERROR(
    INDEX('Fairway Log'!$E$2:$V$73,
      MATCH(1,
        ('Fairway Log'!$A$2:$A$73=$A54)*
        ('Fairway Log'!$B$2:$B$73=$B54)*
        ('Fairway Log'!$C$2:$C125=$C54),
      0),
      MATCH($G54,'Fairway Log'!$E$1:$V$1,0)
    ),
  "")
)</f>
        <v>1</v>
      </c>
      <c r="Q54" t="str" cm="1">
        <f t="array" ref="Q54">IFERROR(
  INDEX('GIR Log'!$E$2:$V$73,
    MATCH(1,
      ('GIR Log'!$A$2:$A$73=$A54)*
      ('GIR Log'!$B$2:$B$73=$B54)*
      ('GIR Log'!$C$2:$C$73=$C54),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Log'!$E$2:$V$73,
    MATCH(1,
      ('Golf Log'!$A$2:$A$73=$A55)*
      ('Golf Log'!$B$2:$B$73=$B55)*
      ('Golf Log'!$C$2:$C$73=$C55),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Log'!$E$2:$V$73,
    MATCH(1,
      ('Putt Log'!$A$2:$A$73=$A55)*
      ('Putt Log'!$B$2:$B$73=$B55)*
      ('Putt Log'!$C$2:$C$73=$C55),
    0),
    MATCH($G55,'Putt Log'!$E$1:$V$1,0)
  ),
"")</f>
        <v>1</v>
      </c>
      <c r="P55" cm="1">
        <f t="array" ref="P55">IF(K55=3,"",
  IFERROR(
    INDEX('Fairway Log'!$E$2:$V$73,
      MATCH(1,
        ('Fairway Log'!$A$2:$A$73=$A55)*
        ('Fairway Log'!$B$2:$B$73=$B55)*
        ('Fairway Log'!$C$2:$C126=$C55),
      0),
      MATCH($G55,'Fairway Log'!$E$1:$V$1,0)
    ),
  "")
)</f>
        <v>1</v>
      </c>
      <c r="Q55" t="str" cm="1">
        <f t="array" ref="Q55">IFERROR(
  INDEX('GIR Log'!$E$2:$V$73,
    MATCH(1,
      ('GIR Log'!$A$2:$A$73=$A55)*
      ('GIR Log'!$B$2:$B$73=$B55)*
      ('GIR Log'!$C$2:$C$73=$C55),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Log'!$E$2:$V$73,
    MATCH(1,
      ('Golf Log'!$A$2:$A$73=$A56)*
      ('Golf Log'!$B$2:$B$73=$B56)*
      ('Golf Log'!$C$2:$C$73=$C56),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Log'!$E$2:$V$73,
    MATCH(1,
      ('Putt Log'!$A$2:$A$73=$A56)*
      ('Putt Log'!$B$2:$B$73=$B56)*
      ('Putt Log'!$C$2:$C$73=$C56),
    0),
    MATCH($G56,'Putt Log'!$E$1:$V$1,0)
  ),
"")</f>
        <v>2</v>
      </c>
      <c r="P56" t="str" cm="1">
        <f t="array" ref="P56">IF(K56=3,"",
  IFERROR(
    INDEX('Fairway Log'!$E$2:$V$73,
      MATCH(1,
        ('Fairway Log'!$A$2:$A$73=$A56)*
        ('Fairway Log'!$B$2:$B$73=$B56)*
        ('Fairway Log'!$C$2:$C127=$C56),
      0),
      MATCH($G56,'Fairway Log'!$E$1:$V$1,0)
    ),
  "")
)</f>
        <v>↓</v>
      </c>
      <c r="Q56" t="str" cm="1">
        <f t="array" ref="Q56">IFERROR(
  INDEX('GIR Log'!$E$2:$V$73,
    MATCH(1,
      ('GIR Log'!$A$2:$A$73=$A56)*
      ('GIR Log'!$B$2:$B$73=$B56)*
      ('GIR Log'!$C$2:$C$73=$C56),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Log'!$E$2:$V$73,
    MATCH(1,
      ('Golf Log'!$A$2:$A$73=$A57)*
      ('Golf Log'!$B$2:$B$73=$B57)*
      ('Golf Log'!$C$2:$C$73=$C57),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Log'!$E$2:$V$73,
    MATCH(1,
      ('Putt Log'!$A$2:$A$73=$A57)*
      ('Putt Log'!$B$2:$B$73=$B57)*
      ('Putt Log'!$C$2:$C$73=$C57),
    0),
    MATCH($G57,'Putt Log'!$E$1:$V$1,0)
  ),
"")</f>
        <v>3</v>
      </c>
      <c r="P57" t="str" cm="1">
        <f t="array" ref="P57">IF(K57=3,"",
  IFERROR(
    INDEX('Fairway Log'!$E$2:$V$73,
      MATCH(1,
        ('Fairway Log'!$A$2:$A$73=$A57)*
        ('Fairway Log'!$B$2:$B$73=$B57)*
        ('Fairway Log'!$C$2:$C128=$C57),
      0),
      MATCH($G57,'Fairway Log'!$E$1:$V$1,0)
    ),
  "")
)</f>
        <v/>
      </c>
      <c r="Q57" t="str" cm="1">
        <f t="array" ref="Q57">IFERROR(
  INDEX('GIR Log'!$E$2:$V$73,
    MATCH(1,
      ('GIR Log'!$A$2:$A$73=$A57)*
      ('GIR Log'!$B$2:$B$73=$B57)*
      ('GIR Log'!$C$2:$C$73=$C57),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Log'!$E$2:$V$73,
    MATCH(1,
      ('Golf Log'!$A$2:$A$73=$A58)*
      ('Golf Log'!$B$2:$B$73=$B58)*
      ('Golf Log'!$C$2:$C$73=$C58),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Log'!$E$2:$V$73,
    MATCH(1,
      ('Putt Log'!$A$2:$A$73=$A58)*
      ('Putt Log'!$B$2:$B$73=$B58)*
      ('Putt Log'!$C$2:$C$73=$C58),
    0),
    MATCH($G58,'Putt Log'!$E$1:$V$1,0)
  ),
"")</f>
        <v>2</v>
      </c>
      <c r="P58" t="str" cm="1">
        <f t="array" ref="P58">IF(K58=3,"",
  IFERROR(
    INDEX('Fairway Log'!$E$2:$V$73,
      MATCH(1,
        ('Fairway Log'!$A$2:$A$73=$A58)*
        ('Fairway Log'!$B$2:$B$73=$B58)*
        ('Fairway Log'!$C$2:$C129=$C58),
      0),
      MATCH($G58,'Fairway Log'!$E$1:$V$1,0)
    ),
  "")
)</f>
        <v>→</v>
      </c>
      <c r="Q58" t="str" cm="1">
        <f t="array" ref="Q58">IFERROR(
  INDEX('GIR Log'!$E$2:$V$73,
    MATCH(1,
      ('GIR Log'!$A$2:$A$73=$A58)*
      ('GIR Log'!$B$2:$B$73=$B58)*
      ('GIR Log'!$C$2:$C$73=$C58),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Log'!$E$2:$V$73,
    MATCH(1,
      ('Golf Log'!$A$2:$A$73=$A59)*
      ('Golf Log'!$B$2:$B$73=$B59)*
      ('Golf Log'!$C$2:$C$73=$C59),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Log'!$E$2:$V$73,
    MATCH(1,
      ('Putt Log'!$A$2:$A$73=$A59)*
      ('Putt Log'!$B$2:$B$73=$B59)*
      ('Putt Log'!$C$2:$C$73=$C59),
    0),
    MATCH($G59,'Putt Log'!$E$1:$V$1,0)
  ),
"")</f>
        <v>2</v>
      </c>
      <c r="P59" t="str" cm="1">
        <f t="array" ref="P59">IF(K59=3,"",
  IFERROR(
    INDEX('Fairway Log'!$E$2:$V$73,
      MATCH(1,
        ('Fairway Log'!$A$2:$A$73=$A59)*
        ('Fairway Log'!$B$2:$B$73=$B59)*
        ('Fairway Log'!$C$2:$C130=$C59),
      0),
      MATCH($G59,'Fairway Log'!$E$1:$V$1,0)
    ),
  "")
)</f>
        <v>↓</v>
      </c>
      <c r="Q59" t="str" cm="1">
        <f t="array" ref="Q59">IFERROR(
  INDEX('GIR Log'!$E$2:$V$73,
    MATCH(1,
      ('GIR Log'!$A$2:$A$73=$A59)*
      ('GIR Log'!$B$2:$B$73=$B59)*
      ('GIR Log'!$C$2:$C$73=$C59),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Log'!$E$2:$V$73,
    MATCH(1,
      ('Golf Log'!$A$2:$A$73=$A60)*
      ('Golf Log'!$B$2:$B$73=$B60)*
      ('Golf Log'!$C$2:$C$73=$C60),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Log'!$E$2:$V$73,
    MATCH(1,
      ('Putt Log'!$A$2:$A$73=$A60)*
      ('Putt Log'!$B$2:$B$73=$B60)*
      ('Putt Log'!$C$2:$C$73=$C60),
    0),
    MATCH($G60,'Putt Log'!$E$1:$V$1,0)
  ),
"")</f>
        <v>2</v>
      </c>
      <c r="P60" cm="1">
        <f t="array" ref="P60">IF(K60=3,"",
  IFERROR(
    INDEX('Fairway Log'!$E$2:$V$73,
      MATCH(1,
        ('Fairway Log'!$A$2:$A$73=$A60)*
        ('Fairway Log'!$B$2:$B$73=$B60)*
        ('Fairway Log'!$C$2:$C131=$C60),
      0),
      MATCH($G60,'Fairway Log'!$E$1:$V$1,0)
    ),
  "")
)</f>
        <v>0</v>
      </c>
      <c r="Q60" cm="1">
        <f t="array" ref="Q60">IFERROR(
  INDEX('GIR Log'!$E$2:$V$73,
    MATCH(1,
      ('GIR Log'!$A$2:$A$73=$A60)*
      ('GIR Log'!$B$2:$B$73=$B60)*
      ('GIR Log'!$C$2:$C$73=$C60),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Log'!$E$2:$V$73,
    MATCH(1,
      ('Golf Log'!$A$2:$A$73=$A61)*
      ('Golf Log'!$B$2:$B$73=$B61)*
      ('Golf Log'!$C$2:$C$73=$C61),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Log'!$E$2:$V$73,
    MATCH(1,
      ('Putt Log'!$A$2:$A$73=$A61)*
      ('Putt Log'!$B$2:$B$73=$B61)*
      ('Putt Log'!$C$2:$C$73=$C61),
    0),
    MATCH($G61,'Putt Log'!$E$1:$V$1,0)
  ),
"")</f>
        <v>2</v>
      </c>
      <c r="P61" t="str" cm="1">
        <f t="array" ref="P61">IF(K61=3,"",
  IFERROR(
    INDEX('Fairway Log'!$E$2:$V$73,
      MATCH(1,
        ('Fairway Log'!$A$2:$A$73=$A61)*
        ('Fairway Log'!$B$2:$B$73=$B61)*
        ('Fairway Log'!$C$2:$C132=$C61),
      0),
      MATCH($G61,'Fairway Log'!$E$1:$V$1,0)
    ),
  "")
)</f>
        <v>←</v>
      </c>
      <c r="Q61" cm="1">
        <f t="array" ref="Q61">IFERROR(
  INDEX('GIR Log'!$E$2:$V$73,
    MATCH(1,
      ('GIR Log'!$A$2:$A$73=$A61)*
      ('GIR Log'!$B$2:$B$73=$B61)*
      ('GIR Log'!$C$2:$C$73=$C61),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Log'!$E$2:$V$73,
    MATCH(1,
      ('Golf Log'!$A$2:$A$73=$A62)*
      ('Golf Log'!$B$2:$B$73=$B62)*
      ('Golf Log'!$C$2:$C$73=$C62),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Log'!$E$2:$V$73,
    MATCH(1,
      ('Putt Log'!$A$2:$A$73=$A62)*
      ('Putt Log'!$B$2:$B$73=$B62)*
      ('Putt Log'!$C$2:$C$73=$C62),
    0),
    MATCH($G62,'Putt Log'!$E$1:$V$1,0)
  ),
"")</f>
        <v>2</v>
      </c>
      <c r="P62" t="str" cm="1">
        <f t="array" ref="P62">IF(K62=3,"",
  IFERROR(
    INDEX('Fairway Log'!$E$2:$V$73,
      MATCH(1,
        ('Fairway Log'!$A$2:$A$73=$A62)*
        ('Fairway Log'!$B$2:$B$73=$B62)*
        ('Fairway Log'!$C$2:$C133=$C62),
      0),
      MATCH($G62,'Fairway Log'!$E$1:$V$1,0)
    ),
  "")
)</f>
        <v>→</v>
      </c>
      <c r="Q62" t="str" cm="1">
        <f t="array" ref="Q62">IFERROR(
  INDEX('GIR Log'!$E$2:$V$73,
    MATCH(1,
      ('GIR Log'!$A$2:$A$73=$A62)*
      ('GIR Log'!$B$2:$B$73=$B62)*
      ('GIR Log'!$C$2:$C$73=$C62),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Log'!$E$2:$V$73,
    MATCH(1,
      ('Golf Log'!$A$2:$A$73=$A63)*
      ('Golf Log'!$B$2:$B$73=$B63)*
      ('Golf Log'!$C$2:$C$73=$C63),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Log'!$E$2:$V$73,
    MATCH(1,
      ('Putt Log'!$A$2:$A$73=$A63)*
      ('Putt Log'!$B$2:$B$73=$B63)*
      ('Putt Log'!$C$2:$C$73=$C63),
    0),
    MATCH($G63,'Putt Log'!$E$1:$V$1,0)
  ),
"")</f>
        <v>2</v>
      </c>
      <c r="P63" t="str" cm="1">
        <f t="array" ref="P63">IF(K63=3,"",
  IFERROR(
    INDEX('Fairway Log'!$E$2:$V$73,
      MATCH(1,
        ('Fairway Log'!$A$2:$A$73=$A63)*
        ('Fairway Log'!$B$2:$B$73=$B63)*
        ('Fairway Log'!$C$2:$C134=$C63),
      0),
      MATCH($G63,'Fairway Log'!$E$1:$V$1,0)
    ),
  "")
)</f>
        <v/>
      </c>
      <c r="Q63" t="str" cm="1">
        <f t="array" ref="Q63">IFERROR(
  INDEX('GIR Log'!$E$2:$V$73,
    MATCH(1,
      ('GIR Log'!$A$2:$A$73=$A63)*
      ('GIR Log'!$B$2:$B$73=$B63)*
      ('GIR Log'!$C$2:$C$73=$C63),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Log'!$E$2:$V$73,
    MATCH(1,
      ('Golf Log'!$A$2:$A$73=$A64)*
      ('Golf Log'!$B$2:$B$73=$B64)*
      ('Golf Log'!$C$2:$C$73=$C64),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Log'!$E$2:$V$73,
    MATCH(1,
      ('Putt Log'!$A$2:$A$73=$A64)*
      ('Putt Log'!$B$2:$B$73=$B64)*
      ('Putt Log'!$C$2:$C$73=$C64),
    0),
    MATCH($G64,'Putt Log'!$E$1:$V$1,0)
  ),
"")</f>
        <v>2</v>
      </c>
      <c r="P64" t="str" cm="1">
        <f t="array" ref="P64">IF(K64=3,"",
  IFERROR(
    INDEX('Fairway Log'!$E$2:$V$73,
      MATCH(1,
        ('Fairway Log'!$A$2:$A$73=$A64)*
        ('Fairway Log'!$B$2:$B$73=$B64)*
        ('Fairway Log'!$C$2:$C135=$C64),
      0),
      MATCH($G64,'Fairway Log'!$E$1:$V$1,0)
    ),
  "")
)</f>
        <v>→</v>
      </c>
      <c r="Q64" t="str" cm="1">
        <f t="array" ref="Q64">IFERROR(
  INDEX('GIR Log'!$E$2:$V$73,
    MATCH(1,
      ('GIR Log'!$A$2:$A$73=$A64)*
      ('GIR Log'!$B$2:$B$73=$B64)*
      ('GIR Log'!$C$2:$C$73=$C64),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Log'!$E$2:$V$73,
    MATCH(1,
      ('Golf Log'!$A$2:$A$73=$A65)*
      ('Golf Log'!$B$2:$B$73=$B65)*
      ('Golf Log'!$C$2:$C$73=$C65),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Log'!$E$2:$V$73,
    MATCH(1,
      ('Putt Log'!$A$2:$A$73=$A65)*
      ('Putt Log'!$B$2:$B$73=$B65)*
      ('Putt Log'!$C$2:$C$73=$C65),
    0),
    MATCH($G65,'Putt Log'!$E$1:$V$1,0)
  ),
"")</f>
        <v>1</v>
      </c>
      <c r="P65" t="str" cm="1">
        <f t="array" ref="P65">IF(K65=3,"",
  IFERROR(
    INDEX('Fairway Log'!$E$2:$V$73,
      MATCH(1,
        ('Fairway Log'!$A$2:$A$73=$A65)*
        ('Fairway Log'!$B$2:$B$73=$B65)*
        ('Fairway Log'!$C$2:$C136=$C65),
      0),
      MATCH($G65,'Fairway Log'!$E$1:$V$1,0)
    ),
  "")
)</f>
        <v>←</v>
      </c>
      <c r="Q65" t="str" cm="1">
        <f t="array" ref="Q65">IFERROR(
  INDEX('GIR Log'!$E$2:$V$73,
    MATCH(1,
      ('GIR Log'!$A$2:$A$73=$A65)*
      ('GIR Log'!$B$2:$B$73=$B65)*
      ('GIR Log'!$C$2:$C$73=$C65),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Log'!$E$2:$V$73,
    MATCH(1,
      ('Golf Log'!$A$2:$A$73=$A66)*
      ('Golf Log'!$B$2:$B$73=$B66)*
      ('Golf Log'!$C$2:$C$73=$C66),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Log'!$E$2:$V$73,
    MATCH(1,
      ('Putt Log'!$A$2:$A$73=$A66)*
      ('Putt Log'!$B$2:$B$73=$B66)*
      ('Putt Log'!$C$2:$C$73=$C66),
    0),
    MATCH($G66,'Putt Log'!$E$1:$V$1,0)
  ),
"")</f>
        <v>2</v>
      </c>
      <c r="P66" cm="1">
        <f t="array" ref="P66">IF(K66=3,"",
  IFERROR(
    INDEX('Fairway Log'!$E$2:$V$73,
      MATCH(1,
        ('Fairway Log'!$A$2:$A$73=$A66)*
        ('Fairway Log'!$B$2:$B$73=$B66)*
        ('Fairway Log'!$C$2:$C137=$C66),
      0),
      MATCH($G66,'Fairway Log'!$E$1:$V$1,0)
    ),
  "")
)</f>
        <v>1</v>
      </c>
      <c r="Q66" t="str" cm="1">
        <f t="array" ref="Q66">IFERROR(
  INDEX('GIR Log'!$E$2:$V$73,
    MATCH(1,
      ('GIR Log'!$A$2:$A$73=$A66)*
      ('GIR Log'!$B$2:$B$73=$B66)*
      ('GIR Log'!$C$2:$C$73=$C66),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Log'!$E$2:$V$73,
    MATCH(1,
      ('Golf Log'!$A$2:$A$73=$A67)*
      ('Golf Log'!$B$2:$B$73=$B67)*
      ('Golf Log'!$C$2:$C$73=$C67),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Log'!$E$2:$V$73,
    MATCH(1,
      ('Putt Log'!$A$2:$A$73=$A67)*
      ('Putt Log'!$B$2:$B$73=$B67)*
      ('Putt Log'!$C$2:$C$73=$C67),
    0),
    MATCH($G67,'Putt Log'!$E$1:$V$1,0)
  ),
"")</f>
        <v>2</v>
      </c>
      <c r="P67" cm="1">
        <f t="array" ref="P67">IF(K67=3,"",
  IFERROR(
    INDEX('Fairway Log'!$E$2:$V$73,
      MATCH(1,
        ('Fairway Log'!$A$2:$A$73=$A67)*
        ('Fairway Log'!$B$2:$B$73=$B67)*
        ('Fairway Log'!$C$2:$C138=$C67),
      0),
      MATCH($G67,'Fairway Log'!$E$1:$V$1,0)
    ),
  "")
)</f>
        <v>1</v>
      </c>
      <c r="Q67" t="str" cm="1">
        <f t="array" ref="Q67">IFERROR(
  INDEX('GIR Log'!$E$2:$V$73,
    MATCH(1,
      ('GIR Log'!$A$2:$A$73=$A67)*
      ('GIR Log'!$B$2:$B$73=$B67)*
      ('GIR Log'!$C$2:$C$73=$C67),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Log'!$E$2:$V$73,
    MATCH(1,
      ('Golf Log'!$A$2:$A$73=$A68)*
      ('Golf Log'!$B$2:$B$73=$B68)*
      ('Golf Log'!$C$2:$C$73=$C68),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Log'!$E$2:$V$73,
    MATCH(1,
      ('Putt Log'!$A$2:$A$73=$A68)*
      ('Putt Log'!$B$2:$B$73=$B68)*
      ('Putt Log'!$C$2:$C$73=$C68),
    0),
    MATCH($G68,'Putt Log'!$E$1:$V$1,0)
  ),
"")</f>
        <v>1</v>
      </c>
      <c r="P68" cm="1">
        <f t="array" ref="P68">IF(K68=3,"",
  IFERROR(
    INDEX('Fairway Log'!$E$2:$V$73,
      MATCH(1,
        ('Fairway Log'!$A$2:$A$73=$A68)*
        ('Fairway Log'!$B$2:$B$73=$B68)*
        ('Fairway Log'!$C$2:$C139=$C68),
      0),
      MATCH($G68,'Fairway Log'!$E$1:$V$1,0)
    ),
  "")
)</f>
        <v>1</v>
      </c>
      <c r="Q68" t="str" cm="1">
        <f t="array" ref="Q68">IFERROR(
  INDEX('GIR Log'!$E$2:$V$73,
    MATCH(1,
      ('GIR Log'!$A$2:$A$73=$A68)*
      ('GIR Log'!$B$2:$B$73=$B68)*
      ('GIR Log'!$C$2:$C$73=$C68),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Log'!$E$2:$V$73,
    MATCH(1,
      ('Golf Log'!$A$2:$A$73=$A69)*
      ('Golf Log'!$B$2:$B$73=$B69)*
      ('Golf Log'!$C$2:$C$73=$C69),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Log'!$E$2:$V$73,
    MATCH(1,
      ('Putt Log'!$A$2:$A$73=$A69)*
      ('Putt Log'!$B$2:$B$73=$B69)*
      ('Putt Log'!$C$2:$C$73=$C69),
    0),
    MATCH($G69,'Putt Log'!$E$1:$V$1,0)
  ),
"")</f>
        <v>2</v>
      </c>
      <c r="P69" cm="1">
        <f t="array" ref="P69">IF(K69=3,"",
  IFERROR(
    INDEX('Fairway Log'!$E$2:$V$73,
      MATCH(1,
        ('Fairway Log'!$A$2:$A$73=$A69)*
        ('Fairway Log'!$B$2:$B$73=$B69)*
        ('Fairway Log'!$C$2:$C140=$C69),
      0),
      MATCH($G69,'Fairway Log'!$E$1:$V$1,0)
    ),
  "")
)</f>
        <v>1</v>
      </c>
      <c r="Q69" t="str" cm="1">
        <f t="array" ref="Q69">IFERROR(
  INDEX('GIR Log'!$E$2:$V$73,
    MATCH(1,
      ('GIR Log'!$A$2:$A$73=$A69)*
      ('GIR Log'!$B$2:$B$73=$B69)*
      ('GIR Log'!$C$2:$C$73=$C69),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Log'!$E$2:$V$73,
    MATCH(1,
      ('Golf Log'!$A$2:$A$73=$A70)*
      ('Golf Log'!$B$2:$B$73=$B70)*
      ('Golf Log'!$C$2:$C$73=$C70),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Log'!$E$2:$V$73,
    MATCH(1,
      ('Putt Log'!$A$2:$A$73=$A70)*
      ('Putt Log'!$B$2:$B$73=$B70)*
      ('Putt Log'!$C$2:$C$73=$C70),
    0),
    MATCH($G70,'Putt Log'!$E$1:$V$1,0)
  ),
"")</f>
        <v>2</v>
      </c>
      <c r="P70" t="str" cm="1">
        <f t="array" ref="P70">IF(K70=3,"",
  IFERROR(
    INDEX('Fairway Log'!$E$2:$V$73,
      MATCH(1,
        ('Fairway Log'!$A$2:$A$73=$A70)*
        ('Fairway Log'!$B$2:$B$73=$B70)*
        ('Fairway Log'!$C$2:$C141=$C70),
      0),
      MATCH($G70,'Fairway Log'!$E$1:$V$1,0)
    ),
  "")
)</f>
        <v/>
      </c>
      <c r="Q70" t="str" cm="1">
        <f t="array" ref="Q70">IFERROR(
  INDEX('GIR Log'!$E$2:$V$73,
    MATCH(1,
      ('GIR Log'!$A$2:$A$73=$A70)*
      ('GIR Log'!$B$2:$B$73=$B70)*
      ('GIR Log'!$C$2:$C$73=$C70),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Log'!$E$2:$V$73,
    MATCH(1,
      ('Golf Log'!$A$2:$A$73=$A71)*
      ('Golf Log'!$B$2:$B$73=$B71)*
      ('Golf Log'!$C$2:$C$73=$C71),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Log'!$E$2:$V$73,
    MATCH(1,
      ('Putt Log'!$A$2:$A$73=$A71)*
      ('Putt Log'!$B$2:$B$73=$B71)*
      ('Putt Log'!$C$2:$C$73=$C71),
    0),
    MATCH($G71,'Putt Log'!$E$1:$V$1,0)
  ),
"")</f>
        <v>2</v>
      </c>
      <c r="P71" t="str" cm="1">
        <f t="array" ref="P71">IF(K71=3,"",
  IFERROR(
    INDEX('Fairway Log'!$E$2:$V$73,
      MATCH(1,
        ('Fairway Log'!$A$2:$A$73=$A71)*
        ('Fairway Log'!$B$2:$B$73=$B71)*
        ('Fairway Log'!$C$2:$C142=$C71),
      0),
      MATCH($G71,'Fairway Log'!$E$1:$V$1,0)
    ),
  "")
)</f>
        <v>→</v>
      </c>
      <c r="Q71" t="str" cm="1">
        <f t="array" ref="Q71">IFERROR(
  INDEX('GIR Log'!$E$2:$V$73,
    MATCH(1,
      ('GIR Log'!$A$2:$A$73=$A71)*
      ('GIR Log'!$B$2:$B$73=$B71)*
      ('GIR Log'!$C$2:$C$73=$C71),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Log'!$E$2:$V$73,
    MATCH(1,
      ('Golf Log'!$A$2:$A$73=$A72)*
      ('Golf Log'!$B$2:$B$73=$B72)*
      ('Golf Log'!$C$2:$C$73=$C72),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Log'!$E$2:$V$73,
    MATCH(1,
      ('Putt Log'!$A$2:$A$73=$A72)*
      ('Putt Log'!$B$2:$B$73=$B72)*
      ('Putt Log'!$C$2:$C$73=$C72),
    0),
    MATCH($G72,'Putt Log'!$E$1:$V$1,0)
  ),
"")</f>
        <v>2</v>
      </c>
      <c r="P72" t="str" cm="1">
        <f t="array" ref="P72">IF(K72=3,"",
  IFERROR(
    INDEX('Fairway Log'!$E$2:$V$73,
      MATCH(1,
        ('Fairway Log'!$A$2:$A$73=$A72)*
        ('Fairway Log'!$B$2:$B$73=$B72)*
        ('Fairway Log'!$C$2:$C143=$C72),
      0),
      MATCH($G72,'Fairway Log'!$E$1:$V$1,0)
    ),
  "")
)</f>
        <v/>
      </c>
      <c r="Q72" t="str" cm="1">
        <f t="array" ref="Q72">IFERROR(
  INDEX('GIR Log'!$E$2:$V$73,
    MATCH(1,
      ('GIR Log'!$A$2:$A$73=$A72)*
      ('GIR Log'!$B$2:$B$73=$B72)*
      ('GIR Log'!$C$2:$C$73=$C72),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Log'!$E$2:$V$73,
    MATCH(1,
      ('Golf Log'!$A$2:$A$73=$A73)*
      ('Golf Log'!$B$2:$B$73=$B73)*
      ('Golf Log'!$C$2:$C$73=$C73),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Log'!$E$2:$V$73,
    MATCH(1,
      ('Putt Log'!$A$2:$A$73=$A73)*
      ('Putt Log'!$B$2:$B$73=$B73)*
      ('Putt Log'!$C$2:$C$73=$C73),
    0),
    MATCH($G73,'Putt Log'!$E$1:$V$1,0)
  ),
"")</f>
        <v>2</v>
      </c>
      <c r="P73" cm="1">
        <f t="array" ref="P73">IF(K73=3,"",
  IFERROR(
    INDEX('Fairway Log'!$E$2:$V$73,
      MATCH(1,
        ('Fairway Log'!$A$2:$A$73=$A73)*
        ('Fairway Log'!$B$2:$B$73=$B73)*
        ('Fairway Log'!$C$2:$C144=$C73),
      0),
      MATCH($G73,'Fairway Log'!$E$1:$V$1,0)
    ),
  "")
)</f>
        <v>1</v>
      </c>
      <c r="Q73" t="str" cm="1">
        <f t="array" ref="Q73">IFERROR(
  INDEX('GIR Log'!$E$2:$V$73,
    MATCH(1,
      ('GIR Log'!$A$2:$A$73=$A73)*
      ('GIR Log'!$B$2:$B$73=$B73)*
      ('GIR Log'!$C$2:$C$73=$C73),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Log'!$E$2:$V$73,
    MATCH(1,
      ('Golf Log'!$A$2:$A$73=$A74)*
      ('Golf Log'!$B$2:$B$73=$B74)*
      ('Golf Log'!$C$2:$C$73=$C74),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Log'!$E$2:$V$73,
    MATCH(1,
      ('Putt Log'!$A$2:$A$73=$A74)*
      ('Putt Log'!$B$2:$B$73=$B74)*
      ('Putt Log'!$C$2:$C$73=$C74),
    0),
    MATCH($G74,'Putt Log'!$E$1:$V$1,0)
  ),
"")</f>
        <v>3</v>
      </c>
      <c r="P74" t="str" cm="1">
        <f t="array" ref="P74">IF(K74=3,"",
  IFERROR(
    INDEX('Fairway Log'!$E$2:$V$73,
      MATCH(1,
        ('Fairway Log'!$A$2:$A$73=$A74)*
        ('Fairway Log'!$B$2:$B$73=$B74)*
        ('Fairway Log'!$C$2:$C145=$C74),
      0),
      MATCH($G74,'Fairway Log'!$E$1:$V$1,0)
    ),
  "")
)</f>
        <v>←</v>
      </c>
      <c r="Q74" t="str" cm="1">
        <f t="array" ref="Q74">IFERROR(
  INDEX('GIR Log'!$E$2:$V$73,
    MATCH(1,
      ('GIR Log'!$A$2:$A$73=$A74)*
      ('GIR Log'!$B$2:$B$73=$B74)*
      ('GIR Log'!$C$2:$C$73=$C74),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Log'!$E$2:$V$73,
    MATCH(1,
      ('Golf Log'!$A$2:$A$73=$A75)*
      ('Golf Log'!$B$2:$B$73=$B75)*
      ('Golf Log'!$C$2:$C$73=$C75),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Log'!$E$2:$V$73,
    MATCH(1,
      ('Putt Log'!$A$2:$A$73=$A75)*
      ('Putt Log'!$B$2:$B$73=$B75)*
      ('Putt Log'!$C$2:$C$73=$C75),
    0),
    MATCH($G75,'Putt Log'!$E$1:$V$1,0)
  ),
"")</f>
        <v>3</v>
      </c>
      <c r="P75" cm="1">
        <f t="array" ref="P75">IF(K75=3,"",
  IFERROR(
    INDEX('Fairway Log'!$E$2:$V$73,
      MATCH(1,
        ('Fairway Log'!$A$2:$A$73=$A75)*
        ('Fairway Log'!$B$2:$B$73=$B75)*
        ('Fairway Log'!$C$2:$C146=$C75),
      0),
      MATCH($G75,'Fairway Log'!$E$1:$V$1,0)
    ),
  "")
)</f>
        <v>1</v>
      </c>
      <c r="Q75" t="str" cm="1">
        <f t="array" ref="Q75">IFERROR(
  INDEX('GIR Log'!$E$2:$V$73,
    MATCH(1,
      ('GIR Log'!$A$2:$A$73=$A75)*
      ('GIR Log'!$B$2:$B$73=$B75)*
      ('GIR Log'!$C$2:$C$73=$C75),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Log'!$E$2:$V$73,
    MATCH(1,
      ('Golf Log'!$A$2:$A$73=$A76)*
      ('Golf Log'!$B$2:$B$73=$B76)*
      ('Golf Log'!$C$2:$C$73=$C76),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Log'!$E$2:$V$73,
    MATCH(1,
      ('Putt Log'!$A$2:$A$73=$A76)*
      ('Putt Log'!$B$2:$B$73=$B76)*
      ('Putt Log'!$C$2:$C$73=$C76),
    0),
    MATCH($G76,'Putt Log'!$E$1:$V$1,0)
  ),
"")</f>
        <v>1</v>
      </c>
      <c r="P76" t="str" cm="1">
        <f t="array" ref="P76">IF(K76=3,"",
  IFERROR(
    INDEX('Fairway Log'!$E$2:$V$73,
      MATCH(1,
        ('Fairway Log'!$A$2:$A$73=$A76)*
        ('Fairway Log'!$B$2:$B$73=$B76)*
        ('Fairway Log'!$C$2:$C147=$C76),
      0),
      MATCH($G76,'Fairway Log'!$E$1:$V$1,0)
    ),
  "")
)</f>
        <v>→</v>
      </c>
      <c r="Q76" cm="1">
        <f t="array" ref="Q76">IFERROR(
  INDEX('GIR Log'!$E$2:$V$73,
    MATCH(1,
      ('GIR Log'!$A$2:$A$73=$A76)*
      ('GIR Log'!$B$2:$B$73=$B76)*
      ('GIR Log'!$C$2:$C$73=$C76),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Log'!$E$2:$V$73,
    MATCH(1,
      ('Golf Log'!$A$2:$A$73=$A77)*
      ('Golf Log'!$B$2:$B$73=$B77)*
      ('Golf Log'!$C$2:$C$73=$C77),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Log'!$E$2:$V$73,
    MATCH(1,
      ('Putt Log'!$A$2:$A$73=$A77)*
      ('Putt Log'!$B$2:$B$73=$B77)*
      ('Putt Log'!$C$2:$C$73=$C77),
    0),
    MATCH($G77,'Putt Log'!$E$1:$V$1,0)
  ),
"")</f>
        <v>2</v>
      </c>
      <c r="P77" t="str" cm="1">
        <f t="array" ref="P77">IF(K77=3,"",
  IFERROR(
    INDEX('Fairway Log'!$E$2:$V$73,
      MATCH(1,
        ('Fairway Log'!$A$2:$A$73=$A77)*
        ('Fairway Log'!$B$2:$B$73=$B77)*
        ('Fairway Log'!$C$2:$C148=$C77),
      0),
      MATCH($G77,'Fairway Log'!$E$1:$V$1,0)
    ),
  "")
)</f>
        <v/>
      </c>
      <c r="Q77" t="str" cm="1">
        <f t="array" ref="Q77">IFERROR(
  INDEX('GIR Log'!$E$2:$V$73,
    MATCH(1,
      ('GIR Log'!$A$2:$A$73=$A77)*
      ('GIR Log'!$B$2:$B$73=$B77)*
      ('GIR Log'!$C$2:$C$73=$C77),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Log'!$E$2:$V$73,
    MATCH(1,
      ('Golf Log'!$A$2:$A$73=$A78)*
      ('Golf Log'!$B$2:$B$73=$B78)*
      ('Golf Log'!$C$2:$C$73=$C78),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Log'!$E$2:$V$73,
    MATCH(1,
      ('Putt Log'!$A$2:$A$73=$A78)*
      ('Putt Log'!$B$2:$B$73=$B78)*
      ('Putt Log'!$C$2:$C$73=$C78),
    0),
    MATCH($G78,'Putt Log'!$E$1:$V$1,0)
  ),
"")</f>
        <v>1</v>
      </c>
      <c r="P78" cm="1">
        <f t="array" ref="P78">IF(K78=3,"",
  IFERROR(
    INDEX('Fairway Log'!$E$2:$V$73,
      MATCH(1,
        ('Fairway Log'!$A$2:$A$73=$A78)*
        ('Fairway Log'!$B$2:$B$73=$B78)*
        ('Fairway Log'!$C$2:$C149=$C78),
      0),
      MATCH($G78,'Fairway Log'!$E$1:$V$1,0)
    ),
  "")
)</f>
        <v>1</v>
      </c>
      <c r="Q78" cm="1">
        <f t="array" ref="Q78">IFERROR(
  INDEX('GIR Log'!$E$2:$V$73,
    MATCH(1,
      ('GIR Log'!$A$2:$A$73=$A78)*
      ('GIR Log'!$B$2:$B$73=$B78)*
      ('GIR Log'!$C$2:$C$73=$C78),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Log'!$E$2:$V$73,
    MATCH(1,
      ('Golf Log'!$A$2:$A$73=$A79)*
      ('Golf Log'!$B$2:$B$73=$B79)*
      ('Golf Log'!$C$2:$C$73=$C79),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Log'!$E$2:$V$73,
    MATCH(1,
      ('Putt Log'!$A$2:$A$73=$A79)*
      ('Putt Log'!$B$2:$B$73=$B79)*
      ('Putt Log'!$C$2:$C$73=$C79),
    0),
    MATCH($G79,'Putt Log'!$E$1:$V$1,0)
  ),
"")</f>
        <v>1</v>
      </c>
      <c r="P79" t="str" cm="1">
        <f t="array" ref="P79">IF(K79=3,"",
  IFERROR(
    INDEX('Fairway Log'!$E$2:$V$73,
      MATCH(1,
        ('Fairway Log'!$A$2:$A$73=$A79)*
        ('Fairway Log'!$B$2:$B$73=$B79)*
        ('Fairway Log'!$C$2:$C150=$C79),
      0),
      MATCH($G79,'Fairway Log'!$E$1:$V$1,0)
    ),
  "")
)</f>
        <v>→</v>
      </c>
      <c r="Q79" t="str" cm="1">
        <f t="array" ref="Q79">IFERROR(
  INDEX('GIR Log'!$E$2:$V$73,
    MATCH(1,
      ('GIR Log'!$A$2:$A$73=$A79)*
      ('GIR Log'!$B$2:$B$73=$B79)*
      ('GIR Log'!$C$2:$C$73=$C79),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Log'!$E$2:$V$73,
    MATCH(1,
      ('Golf Log'!$A$2:$A$73=$A80)*
      ('Golf Log'!$B$2:$B$73=$B80)*
      ('Golf Log'!$C$2:$C$73=$C80),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Log'!$E$2:$V$73,
    MATCH(1,
      ('Putt Log'!$A$2:$A$73=$A80)*
      ('Putt Log'!$B$2:$B$73=$B80)*
      ('Putt Log'!$C$2:$C$73=$C80),
    0),
    MATCH($G80,'Putt Log'!$E$1:$V$1,0)
  ),
"")</f>
        <v>1</v>
      </c>
      <c r="P80" t="str" cm="1">
        <f t="array" ref="P80">IF(K80=3,"",
  IFERROR(
    INDEX('Fairway Log'!$E$2:$V$73,
      MATCH(1,
        ('Fairway Log'!$A$2:$A$73=$A80)*
        ('Fairway Log'!$B$2:$B$73=$B80)*
        ('Fairway Log'!$C$2:$C151=$C80),
      0),
      MATCH($G80,'Fairway Log'!$E$1:$V$1,0)
    ),
  "")
)</f>
        <v>←</v>
      </c>
      <c r="Q80" cm="1">
        <f t="array" ref="Q80">IFERROR(
  INDEX('GIR Log'!$E$2:$V$73,
    MATCH(1,
      ('GIR Log'!$A$2:$A$73=$A80)*
      ('GIR Log'!$B$2:$B$73=$B80)*
      ('GIR Log'!$C$2:$C$73=$C80),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Log'!$E$2:$V$73,
    MATCH(1,
      ('Golf Log'!$A$2:$A$73=$A81)*
      ('Golf Log'!$B$2:$B$73=$B81)*
      ('Golf Log'!$C$2:$C$73=$C81),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Log'!$E$2:$V$73,
    MATCH(1,
      ('Putt Log'!$A$2:$A$73=$A81)*
      ('Putt Log'!$B$2:$B$73=$B81)*
      ('Putt Log'!$C$2:$C$73=$C81),
    0),
    MATCH($G81,'Putt Log'!$E$1:$V$1,0)
  ),
"")</f>
        <v>1</v>
      </c>
      <c r="P81" t="str" cm="1">
        <f t="array" ref="P81">IF(K81=3,"",
  IFERROR(
    INDEX('Fairway Log'!$E$2:$V$73,
      MATCH(1,
        ('Fairway Log'!$A$2:$A$73=$A81)*
        ('Fairway Log'!$B$2:$B$73=$B81)*
        ('Fairway Log'!$C$2:$C152=$C81),
      0),
      MATCH($G81,'Fairway Log'!$E$1:$V$1,0)
    ),
  "")
)</f>
        <v/>
      </c>
      <c r="Q81" t="str" cm="1">
        <f t="array" ref="Q81">IFERROR(
  INDEX('GIR Log'!$E$2:$V$73,
    MATCH(1,
      ('GIR Log'!$A$2:$A$73=$A81)*
      ('GIR Log'!$B$2:$B$73=$B81)*
      ('GIR Log'!$C$2:$C$73=$C81),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Log'!$E$2:$V$73,
    MATCH(1,
      ('Golf Log'!$A$2:$A$73=$A82)*
      ('Golf Log'!$B$2:$B$73=$B82)*
      ('Golf Log'!$C$2:$C$73=$C82),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Log'!$E$2:$V$73,
    MATCH(1,
      ('Putt Log'!$A$2:$A$73=$A82)*
      ('Putt Log'!$B$2:$B$73=$B82)*
      ('Putt Log'!$C$2:$C$73=$C82),
    0),
    MATCH($G82,'Putt Log'!$E$1:$V$1,0)
  ),
"")</f>
        <v>2</v>
      </c>
      <c r="P82" cm="1">
        <f t="array" ref="P82">IF(K82=3,"",
  IFERROR(
    INDEX('Fairway Log'!$E$2:$V$73,
      MATCH(1,
        ('Fairway Log'!$A$2:$A$73=$A82)*
        ('Fairway Log'!$B$2:$B$73=$B82)*
        ('Fairway Log'!$C$2:$C153=$C82),
      0),
      MATCH($G82,'Fairway Log'!$E$1:$V$1,0)
    ),
  "")
)</f>
        <v>1</v>
      </c>
      <c r="Q82" cm="1">
        <f t="array" ref="Q82">IFERROR(
  INDEX('GIR Log'!$E$2:$V$73,
    MATCH(1,
      ('GIR Log'!$A$2:$A$73=$A82)*
      ('GIR Log'!$B$2:$B$73=$B82)*
      ('GIR Log'!$C$2:$C$73=$C82),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Log'!$E$2:$V$73,
    MATCH(1,
      ('Golf Log'!$A$2:$A$73=$A83)*
      ('Golf Log'!$B$2:$B$73=$B83)*
      ('Golf Log'!$C$2:$C$73=$C83),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Log'!$E$2:$V$73,
    MATCH(1,
      ('Putt Log'!$A$2:$A$73=$A83)*
      ('Putt Log'!$B$2:$B$73=$B83)*
      ('Putt Log'!$C$2:$C$73=$C83),
    0),
    MATCH($G83,'Putt Log'!$E$1:$V$1,0)
  ),
"")</f>
        <v>1</v>
      </c>
      <c r="P83" cm="1">
        <f t="array" ref="P83">IF(K83=3,"",
  IFERROR(
    INDEX('Fairway Log'!$E$2:$V$73,
      MATCH(1,
        ('Fairway Log'!$A$2:$A$73=$A83)*
        ('Fairway Log'!$B$2:$B$73=$B83)*
        ('Fairway Log'!$C$2:$C154=$C83),
      0),
      MATCH($G83,'Fairway Log'!$E$1:$V$1,0)
    ),
  "")
)</f>
        <v>1</v>
      </c>
      <c r="Q83" t="str" cm="1">
        <f t="array" ref="Q83">IFERROR(
  INDEX('GIR Log'!$E$2:$V$73,
    MATCH(1,
      ('GIR Log'!$A$2:$A$73=$A83)*
      ('GIR Log'!$B$2:$B$73=$B83)*
      ('GIR Log'!$C$2:$C$73=$C83),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Log'!$E$2:$V$73,
    MATCH(1,
      ('Golf Log'!$A$2:$A$73=$A84)*
      ('Golf Log'!$B$2:$B$73=$B84)*
      ('Golf Log'!$C$2:$C$73=$C84),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Log'!$E$2:$V$73,
    MATCH(1,
      ('Putt Log'!$A$2:$A$73=$A84)*
      ('Putt Log'!$B$2:$B$73=$B84)*
      ('Putt Log'!$C$2:$C$73=$C84),
    0),
    MATCH($G84,'Putt Log'!$E$1:$V$1,0)
  ),
"")</f>
        <v>2</v>
      </c>
      <c r="P84" t="str" cm="1">
        <f t="array" ref="P84">IF(K84=3,"",
  IFERROR(
    INDEX('Fairway Log'!$E$2:$V$73,
      MATCH(1,
        ('Fairway Log'!$A$2:$A$73=$A84)*
        ('Fairway Log'!$B$2:$B$73=$B84)*
        ('Fairway Log'!$C$2:$C155=$C84),
      0),
      MATCH($G84,'Fairway Log'!$E$1:$V$1,0)
    ),
  "")
)</f>
        <v>←</v>
      </c>
      <c r="Q84" t="str" cm="1">
        <f t="array" ref="Q84">IFERROR(
  INDEX('GIR Log'!$E$2:$V$73,
    MATCH(1,
      ('GIR Log'!$A$2:$A$73=$A84)*
      ('GIR Log'!$B$2:$B$73=$B84)*
      ('GIR Log'!$C$2:$C$73=$C84),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Log'!$E$2:$V$73,
    MATCH(1,
      ('Golf Log'!$A$2:$A$73=$A85)*
      ('Golf Log'!$B$2:$B$73=$B85)*
      ('Golf Log'!$C$2:$C$73=$C85),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Log'!$E$2:$V$73,
    MATCH(1,
      ('Putt Log'!$A$2:$A$73=$A85)*
      ('Putt Log'!$B$2:$B$73=$B85)*
      ('Putt Log'!$C$2:$C$73=$C85),
    0),
    MATCH($G85,'Putt Log'!$E$1:$V$1,0)
  ),
"")</f>
        <v>2</v>
      </c>
      <c r="P85" t="str" cm="1">
        <f t="array" ref="P85">IF(K85=3,"",
  IFERROR(
    INDEX('Fairway Log'!$E$2:$V$73,
      MATCH(1,
        ('Fairway Log'!$A$2:$A$73=$A85)*
        ('Fairway Log'!$B$2:$B$73=$B85)*
        ('Fairway Log'!$C$2:$C156=$C85),
      0),
      MATCH($G85,'Fairway Log'!$E$1:$V$1,0)
    ),
  "")
)</f>
        <v/>
      </c>
      <c r="Q85" t="str" cm="1">
        <f t="array" ref="Q85">IFERROR(
  INDEX('GIR Log'!$E$2:$V$73,
    MATCH(1,
      ('GIR Log'!$A$2:$A$73=$A85)*
      ('GIR Log'!$B$2:$B$73=$B85)*
      ('GIR Log'!$C$2:$C$73=$C85),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Log'!$E$2:$V$73,
    MATCH(1,
      ('Golf Log'!$A$2:$A$73=$A86)*
      ('Golf Log'!$B$2:$B$73=$B86)*
      ('Golf Log'!$C$2:$C$73=$C86),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Log'!$E$2:$V$73,
    MATCH(1,
      ('Putt Log'!$A$2:$A$73=$A86)*
      ('Putt Log'!$B$2:$B$73=$B86)*
      ('Putt Log'!$C$2:$C$73=$C86),
    0),
    MATCH($G86,'Putt Log'!$E$1:$V$1,0)
  ),
"")</f>
        <v>2</v>
      </c>
      <c r="P86" t="str" cm="1">
        <f t="array" ref="P86">IF(K86=3,"",
  IFERROR(
    INDEX('Fairway Log'!$E$2:$V$73,
      MATCH(1,
        ('Fairway Log'!$A$2:$A$73=$A86)*
        ('Fairway Log'!$B$2:$B$73=$B86)*
        ('Fairway Log'!$C$2:$C157=$C86),
      0),
      MATCH($G86,'Fairway Log'!$E$1:$V$1,0)
    ),
  "")
)</f>
        <v>→</v>
      </c>
      <c r="Q86" t="str" cm="1">
        <f t="array" ref="Q86">IFERROR(
  INDEX('GIR Log'!$E$2:$V$73,
    MATCH(1,
      ('GIR Log'!$A$2:$A$73=$A86)*
      ('GIR Log'!$B$2:$B$73=$B86)*
      ('GIR Log'!$C$2:$C$73=$C86),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Log'!$E$2:$V$73,
    MATCH(1,
      ('Golf Log'!$A$2:$A$73=$A87)*
      ('Golf Log'!$B$2:$B$73=$B87)*
      ('Golf Log'!$C$2:$C$73=$C87),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Log'!$E$2:$V$73,
    MATCH(1,
      ('Putt Log'!$A$2:$A$73=$A87)*
      ('Putt Log'!$B$2:$B$73=$B87)*
      ('Putt Log'!$C$2:$C$73=$C87),
    0),
    MATCH($G87,'Putt Log'!$E$1:$V$1,0)
  ),
"")</f>
        <v>2</v>
      </c>
      <c r="P87" cm="1">
        <f t="array" ref="P87">IF(K87=3,"",
  IFERROR(
    INDEX('Fairway Log'!$E$2:$V$73,
      MATCH(1,
        ('Fairway Log'!$A$2:$A$73=$A87)*
        ('Fairway Log'!$B$2:$B$73=$B87)*
        ('Fairway Log'!$C$2:$C158=$C87),
      0),
      MATCH($G87,'Fairway Log'!$E$1:$V$1,0)
    ),
  "")
)</f>
        <v>1</v>
      </c>
      <c r="Q87" t="str" cm="1">
        <f t="array" ref="Q87">IFERROR(
  INDEX('GIR Log'!$E$2:$V$73,
    MATCH(1,
      ('GIR Log'!$A$2:$A$73=$A87)*
      ('GIR Log'!$B$2:$B$73=$B87)*
      ('GIR Log'!$C$2:$C$73=$C87),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Log'!$E$2:$V$73,
    MATCH(1,
      ('Golf Log'!$A$2:$A$73=$A88)*
      ('Golf Log'!$B$2:$B$73=$B88)*
      ('Golf Log'!$C$2:$C$73=$C88),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Log'!$E$2:$V$73,
    MATCH(1,
      ('Putt Log'!$A$2:$A$73=$A88)*
      ('Putt Log'!$B$2:$B$73=$B88)*
      ('Putt Log'!$C$2:$C$73=$C88),
    0),
    MATCH($G88,'Putt Log'!$E$1:$V$1,0)
  ),
"")</f>
        <v>2</v>
      </c>
      <c r="P88" cm="1">
        <f t="array" ref="P88">IF(K88=3,"",
  IFERROR(
    INDEX('Fairway Log'!$E$2:$V$73,
      MATCH(1,
        ('Fairway Log'!$A$2:$A$73=$A88)*
        ('Fairway Log'!$B$2:$B$73=$B88)*
        ('Fairway Log'!$C$2:$C159=$C88),
      0),
      MATCH($G88,'Fairway Log'!$E$1:$V$1,0)
    ),
  "")
)</f>
        <v>1</v>
      </c>
      <c r="Q88" cm="1">
        <f t="array" ref="Q88">IFERROR(
  INDEX('GIR Log'!$E$2:$V$73,
    MATCH(1,
      ('GIR Log'!$A$2:$A$73=$A88)*
      ('GIR Log'!$B$2:$B$73=$B88)*
      ('GIR Log'!$C$2:$C$73=$C88),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Log'!$E$2:$V$73,
    MATCH(1,
      ('Golf Log'!$A$2:$A$73=$A89)*
      ('Golf Log'!$B$2:$B$73=$B89)*
      ('Golf Log'!$C$2:$C$73=$C89),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Log'!$E$2:$V$73,
    MATCH(1,
      ('Putt Log'!$A$2:$A$73=$A89)*
      ('Putt Log'!$B$2:$B$73=$B89)*
      ('Putt Log'!$C$2:$C$73=$C89),
    0),
    MATCH($G89,'Putt Log'!$E$1:$V$1,0)
  ),
"")</f>
        <v>1</v>
      </c>
      <c r="P89" t="str" cm="1">
        <f t="array" ref="P89">IF(K89=3,"",
  IFERROR(
    INDEX('Fairway Log'!$E$2:$V$73,
      MATCH(1,
        ('Fairway Log'!$A$2:$A$73=$A89)*
        ('Fairway Log'!$B$2:$B$73=$B89)*
        ('Fairway Log'!$C$2:$C160=$C89),
      0),
      MATCH($G89,'Fairway Log'!$E$1:$V$1,0)
    ),
  "")
)</f>
        <v>→</v>
      </c>
      <c r="Q89" cm="1">
        <f t="array" ref="Q89">IFERROR(
  INDEX('GIR Log'!$E$2:$V$73,
    MATCH(1,
      ('GIR Log'!$A$2:$A$73=$A89)*
      ('GIR Log'!$B$2:$B$73=$B89)*
      ('GIR Log'!$C$2:$C$73=$C89),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Log'!$E$2:$V$73,
    MATCH(1,
      ('Golf Log'!$A$2:$A$73=$A90)*
      ('Golf Log'!$B$2:$B$73=$B90)*
      ('Golf Log'!$C$2:$C$73=$C90),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Log'!$E$2:$V$73,
    MATCH(1,
      ('Putt Log'!$A$2:$A$73=$A90)*
      ('Putt Log'!$B$2:$B$73=$B90)*
      ('Putt Log'!$C$2:$C$73=$C90),
    0),
    MATCH($G90,'Putt Log'!$E$1:$V$1,0)
  ),
"")</f>
        <v>1</v>
      </c>
      <c r="P90" t="str" cm="1">
        <f t="array" ref="P90">IF(K90=3,"",
  IFERROR(
    INDEX('Fairway Log'!$E$2:$V$73,
      MATCH(1,
        ('Fairway Log'!$A$2:$A$73=$A90)*
        ('Fairway Log'!$B$2:$B$73=$B90)*
        ('Fairway Log'!$C$2:$C161=$C90),
      0),
      MATCH($G90,'Fairway Log'!$E$1:$V$1,0)
    ),
  "")
)</f>
        <v/>
      </c>
      <c r="Q90" cm="1">
        <f t="array" ref="Q90">IFERROR(
  INDEX('GIR Log'!$E$2:$V$73,
    MATCH(1,
      ('GIR Log'!$A$2:$A$73=$A90)*
      ('GIR Log'!$B$2:$B$73=$B90)*
      ('GIR Log'!$C$2:$C$73=$C90),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Log'!$E$2:$V$73,
    MATCH(1,
      ('Golf Log'!$A$2:$A$73=$A91)*
      ('Golf Log'!$B$2:$B$73=$B91)*
      ('Golf Log'!$C$2:$C$73=$C91),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Log'!$E$2:$V$73,
    MATCH(1,
      ('Putt Log'!$A$2:$A$73=$A91)*
      ('Putt Log'!$B$2:$B$73=$B91)*
      ('Putt Log'!$C$2:$C$73=$C91),
    0),
    MATCH($G91,'Putt Log'!$E$1:$V$1,0)
  ),
"")</f>
        <v>1</v>
      </c>
      <c r="P91" t="str" cm="1">
        <f t="array" ref="P91">IF(K91=3,"",
  IFERROR(
    INDEX('Fairway Log'!$E$2:$V$73,
      MATCH(1,
        ('Fairway Log'!$A$2:$A$73=$A91)*
        ('Fairway Log'!$B$2:$B$73=$B91)*
        ('Fairway Log'!$C$2:$C162=$C91),
      0),
      MATCH($G91,'Fairway Log'!$E$1:$V$1,0)
    ),
  "")
)</f>
        <v>→</v>
      </c>
      <c r="Q91" t="str" cm="1">
        <f t="array" ref="Q91">IFERROR(
  INDEX('GIR Log'!$E$2:$V$73,
    MATCH(1,
      ('GIR Log'!$A$2:$A$73=$A91)*
      ('GIR Log'!$B$2:$B$73=$B91)*
      ('GIR Log'!$C$2:$C$73=$C91),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Log'!$E$2:$V$73,
    MATCH(1,
      ('Golf Log'!$A$2:$A$73=$A92)*
      ('Golf Log'!$B$2:$B$73=$B92)*
      ('Golf Log'!$C$2:$C$73=$C92),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Log'!$E$2:$V$73,
    MATCH(1,
      ('Putt Log'!$A$2:$A$73=$A92)*
      ('Putt Log'!$B$2:$B$73=$B92)*
      ('Putt Log'!$C$2:$C$73=$C92),
    0),
    MATCH($G92,'Putt Log'!$E$1:$V$1,0)
  ),
"")</f>
        <v>2</v>
      </c>
      <c r="P92" t="str" cm="1">
        <f t="array" ref="P92">IF(K92=3,"",
  IFERROR(
    INDEX('Fairway Log'!$E$2:$V$73,
      MATCH(1,
        ('Fairway Log'!$A$2:$A$73=$A92)*
        ('Fairway Log'!$B$2:$B$73=$B92)*
        ('Fairway Log'!$C$2:$C163=$C92),
      0),
      MATCH($G92,'Fairway Log'!$E$1:$V$1,0)
    ),
  "")
)</f>
        <v>←</v>
      </c>
      <c r="Q92" cm="1">
        <f t="array" ref="Q92">IFERROR(
  INDEX('GIR Log'!$E$2:$V$73,
    MATCH(1,
      ('GIR Log'!$A$2:$A$73=$A92)*
      ('GIR Log'!$B$2:$B$73=$B92)*
      ('GIR Log'!$C$2:$C$73=$C92),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Log'!$E$2:$V$73,
    MATCH(1,
      ('Golf Log'!$A$2:$A$73=$A93)*
      ('Golf Log'!$B$2:$B$73=$B93)*
      ('Golf Log'!$C$2:$C$73=$C93),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Log'!$E$2:$V$73,
    MATCH(1,
      ('Putt Log'!$A$2:$A$73=$A93)*
      ('Putt Log'!$B$2:$B$73=$B93)*
      ('Putt Log'!$C$2:$C$73=$C93),
    0),
    MATCH($G93,'Putt Log'!$E$1:$V$1,0)
  ),
"")</f>
        <v>2</v>
      </c>
      <c r="P93" t="str" cm="1">
        <f t="array" ref="P93">IF(K93=3,"",
  IFERROR(
    INDEX('Fairway Log'!$E$2:$V$73,
      MATCH(1,
        ('Fairway Log'!$A$2:$A$73=$A93)*
        ('Fairway Log'!$B$2:$B$73=$B93)*
        ('Fairway Log'!$C$2:$C164=$C93),
      0),
      MATCH($G93,'Fairway Log'!$E$1:$V$1,0)
    ),
  "")
)</f>
        <v>→</v>
      </c>
      <c r="Q93" t="str" cm="1">
        <f t="array" ref="Q93">IFERROR(
  INDEX('GIR Log'!$E$2:$V$73,
    MATCH(1,
      ('GIR Log'!$A$2:$A$73=$A93)*
      ('GIR Log'!$B$2:$B$73=$B93)*
      ('GIR Log'!$C$2:$C$73=$C93),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Log'!$E$2:$V$73,
    MATCH(1,
      ('Golf Log'!$A$2:$A$73=$A94)*
      ('Golf Log'!$B$2:$B$73=$B94)*
      ('Golf Log'!$C$2:$C$73=$C94),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Log'!$E$2:$V$73,
    MATCH(1,
      ('Putt Log'!$A$2:$A$73=$A94)*
      ('Putt Log'!$B$2:$B$73=$B94)*
      ('Putt Log'!$C$2:$C$73=$C94),
    0),
    MATCH($G94,'Putt Log'!$E$1:$V$1,0)
  ),
"")</f>
        <v>0</v>
      </c>
      <c r="P94" t="str" cm="1">
        <f t="array" ref="P94">IF(K94=3,"",
  IFERROR(
    INDEX('Fairway Log'!$E$2:$V$73,
      MATCH(1,
        ('Fairway Log'!$A$2:$A$73=$A94)*
        ('Fairway Log'!$B$2:$B$73=$B94)*
        ('Fairway Log'!$C$2:$C165=$C94),
      0),
      MATCH($G94,'Fairway Log'!$E$1:$V$1,0)
    ),
  "")
)</f>
        <v/>
      </c>
      <c r="Q94" t="str" cm="1">
        <f t="array" ref="Q94">IFERROR(
  INDEX('GIR Log'!$E$2:$V$73,
    MATCH(1,
      ('GIR Log'!$A$2:$A$73=$A94)*
      ('GIR Log'!$B$2:$B$73=$B94)*
      ('GIR Log'!$C$2:$C$73=$C94),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Log'!$E$2:$V$73,
    MATCH(1,
      ('Golf Log'!$A$2:$A$73=$A95)*
      ('Golf Log'!$B$2:$B$73=$B95)*
      ('Golf Log'!$C$2:$C$73=$C95),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Log'!$E$2:$V$73,
    MATCH(1,
      ('Putt Log'!$A$2:$A$73=$A95)*
      ('Putt Log'!$B$2:$B$73=$B95)*
      ('Putt Log'!$C$2:$C$73=$C95),
    0),
    MATCH($G95,'Putt Log'!$E$1:$V$1,0)
  ),
"")</f>
        <v>2</v>
      </c>
      <c r="P95" t="str" cm="1">
        <f t="array" ref="P95">IF(K95=3,"",
  IFERROR(
    INDEX('Fairway Log'!$E$2:$V$73,
      MATCH(1,
        ('Fairway Log'!$A$2:$A$73=$A95)*
        ('Fairway Log'!$B$2:$B$73=$B95)*
        ('Fairway Log'!$C$2:$C166=$C95),
      0),
      MATCH($G95,'Fairway Log'!$E$1:$V$1,0)
    ),
  "")
)</f>
        <v>→</v>
      </c>
      <c r="Q95" t="str" cm="1">
        <f t="array" ref="Q95">IFERROR(
  INDEX('GIR Log'!$E$2:$V$73,
    MATCH(1,
      ('GIR Log'!$A$2:$A$73=$A95)*
      ('GIR Log'!$B$2:$B$73=$B95)*
      ('GIR Log'!$C$2:$C$73=$C95),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Log'!$E$2:$V$73,
    MATCH(1,
      ('Golf Log'!$A$2:$A$73=$A96)*
      ('Golf Log'!$B$2:$B$73=$B96)*
      ('Golf Log'!$C$2:$C$73=$C96),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Log'!$E$2:$V$73,
    MATCH(1,
      ('Putt Log'!$A$2:$A$73=$A96)*
      ('Putt Log'!$B$2:$B$73=$B96)*
      ('Putt Log'!$C$2:$C$73=$C96),
    0),
    MATCH($G96,'Putt Log'!$E$1:$V$1,0)
  ),
"")</f>
        <v>2</v>
      </c>
      <c r="P96" t="str" cm="1">
        <f t="array" ref="P96">IF(K96=3,"",
  IFERROR(
    INDEX('Fairway Log'!$E$2:$V$73,
      MATCH(1,
        ('Fairway Log'!$A$2:$A$73=$A96)*
        ('Fairway Log'!$B$2:$B$73=$B96)*
        ('Fairway Log'!$C$2:$C167=$C96),
      0),
      MATCH($G96,'Fairway Log'!$E$1:$V$1,0)
    ),
  "")
)</f>
        <v>↑</v>
      </c>
      <c r="Q96" t="str" cm="1">
        <f t="array" ref="Q96">IFERROR(
  INDEX('GIR Log'!$E$2:$V$73,
    MATCH(1,
      ('GIR Log'!$A$2:$A$73=$A96)*
      ('GIR Log'!$B$2:$B$73=$B96)*
      ('GIR Log'!$C$2:$C$73=$C96),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Log'!$E$2:$V$73,
    MATCH(1,
      ('Golf Log'!$A$2:$A$73=$A97)*
      ('Golf Log'!$B$2:$B$73=$B97)*
      ('Golf Log'!$C$2:$C$73=$C97),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Log'!$E$2:$V$73,
    MATCH(1,
      ('Putt Log'!$A$2:$A$73=$A97)*
      ('Putt Log'!$B$2:$B$73=$B97)*
      ('Putt Log'!$C$2:$C$73=$C97),
    0),
    MATCH($G97,'Putt Log'!$E$1:$V$1,0)
  ),
"")</f>
        <v>2</v>
      </c>
      <c r="P97" t="str" cm="1">
        <f t="array" ref="P97">IF(K97=3,"",
  IFERROR(
    INDEX('Fairway Log'!$E$2:$V$73,
      MATCH(1,
        ('Fairway Log'!$A$2:$A$73=$A97)*
        ('Fairway Log'!$B$2:$B$73=$B97)*
        ('Fairway Log'!$C$2:$C168=$C97),
      0),
      MATCH($G97,'Fairway Log'!$E$1:$V$1,0)
    ),
  "")
)</f>
        <v/>
      </c>
      <c r="Q97" t="str" cm="1">
        <f t="array" ref="Q97">IFERROR(
  INDEX('GIR Log'!$E$2:$V$73,
    MATCH(1,
      ('GIR Log'!$A$2:$A$73=$A97)*
      ('GIR Log'!$B$2:$B$73=$B97)*
      ('GIR Log'!$C$2:$C$73=$C97),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Log'!$E$2:$V$73,
    MATCH(1,
      ('Golf Log'!$A$2:$A$73=$A98)*
      ('Golf Log'!$B$2:$B$73=$B98)*
      ('Golf Log'!$C$2:$C$73=$C98),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Log'!$E$2:$V$73,
    MATCH(1,
      ('Putt Log'!$A$2:$A$73=$A98)*
      ('Putt Log'!$B$2:$B$73=$B98)*
      ('Putt Log'!$C$2:$C$73=$C98),
    0),
    MATCH($G98,'Putt Log'!$E$1:$V$1,0)
  ),
"")</f>
        <v>2</v>
      </c>
      <c r="P98" cm="1">
        <f t="array" ref="P98">IF(K98=3,"",
  IFERROR(
    INDEX('Fairway Log'!$E$2:$V$73,
      MATCH(1,
        ('Fairway Log'!$A$2:$A$73=$A98)*
        ('Fairway Log'!$B$2:$B$73=$B98)*
        ('Fairway Log'!$C$2:$C169=$C98),
      0),
      MATCH($G98,'Fairway Log'!$E$1:$V$1,0)
    ),
  "")
)</f>
        <v>1</v>
      </c>
      <c r="Q98" t="str" cm="1">
        <f t="array" ref="Q98">IFERROR(
  INDEX('GIR Log'!$E$2:$V$73,
    MATCH(1,
      ('GIR Log'!$A$2:$A$73=$A98)*
      ('GIR Log'!$B$2:$B$73=$B98)*
      ('GIR Log'!$C$2:$C$73=$C98),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Log'!$E$2:$V$73,
    MATCH(1,
      ('Golf Log'!$A$2:$A$73=$A99)*
      ('Golf Log'!$B$2:$B$73=$B99)*
      ('Golf Log'!$C$2:$C$73=$C99),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Log'!$E$2:$V$73,
    MATCH(1,
      ('Putt Log'!$A$2:$A$73=$A99)*
      ('Putt Log'!$B$2:$B$73=$B99)*
      ('Putt Log'!$C$2:$C$73=$C99),
    0),
    MATCH($G99,'Putt Log'!$E$1:$V$1,0)
  ),
"")</f>
        <v>2</v>
      </c>
      <c r="P99" cm="1">
        <f t="array" ref="P99">IF(K99=3,"",
  IFERROR(
    INDEX('Fairway Log'!$E$2:$V$73,
      MATCH(1,
        ('Fairway Log'!$A$2:$A$73=$A99)*
        ('Fairway Log'!$B$2:$B$73=$B99)*
        ('Fairway Log'!$C$2:$C170=$C99),
      0),
      MATCH($G99,'Fairway Log'!$E$1:$V$1,0)
    ),
  "")
)</f>
        <v>1</v>
      </c>
      <c r="Q99" cm="1">
        <f t="array" ref="Q99">IFERROR(
  INDEX('GIR Log'!$E$2:$V$73,
    MATCH(1,
      ('GIR Log'!$A$2:$A$73=$A99)*
      ('GIR Log'!$B$2:$B$73=$B99)*
      ('GIR Log'!$C$2:$C$73=$C99),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Log'!$E$2:$V$73,
    MATCH(1,
      ('Golf Log'!$A$2:$A$73=$A100)*
      ('Golf Log'!$B$2:$B$73=$B100)*
      ('Golf Log'!$C$2:$C$73=$C100),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Log'!$E$2:$V$73,
    MATCH(1,
      ('Putt Log'!$A$2:$A$73=$A100)*
      ('Putt Log'!$B$2:$B$73=$B100)*
      ('Putt Log'!$C$2:$C$73=$C100),
    0),
    MATCH($G100,'Putt Log'!$E$1:$V$1,0)
  ),
"")</f>
        <v>1</v>
      </c>
      <c r="P100" cm="1">
        <f t="array" ref="P100">IF(K100=3,"",
  IFERROR(
    INDEX('Fairway Log'!$E$2:$V$73,
      MATCH(1,
        ('Fairway Log'!$A$2:$A$73=$A100)*
        ('Fairway Log'!$B$2:$B$73=$B100)*
        ('Fairway Log'!$C$2:$C171=$C100),
      0),
      MATCH($G100,'Fairway Log'!$E$1:$V$1,0)
    ),
  "")
)</f>
        <v>1</v>
      </c>
      <c r="Q100" cm="1">
        <f t="array" ref="Q100">IFERROR(
  INDEX('GIR Log'!$E$2:$V$73,
    MATCH(1,
      ('GIR Log'!$A$2:$A$73=$A100)*
      ('GIR Log'!$B$2:$B$73=$B100)*
      ('GIR Log'!$C$2:$C$73=$C100),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Log'!$E$2:$V$73,
    MATCH(1,
      ('Golf Log'!$A$2:$A$73=$A101)*
      ('Golf Log'!$B$2:$B$73=$B101)*
      ('Golf Log'!$C$2:$C$73=$C101),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Log'!$E$2:$V$73,
    MATCH(1,
      ('Putt Log'!$A$2:$A$73=$A101)*
      ('Putt Log'!$B$2:$B$73=$B101)*
      ('Putt Log'!$C$2:$C$73=$C101),
    0),
    MATCH($G101,'Putt Log'!$E$1:$V$1,0)
  ),
"")</f>
        <v>1</v>
      </c>
      <c r="P101" t="str" cm="1">
        <f t="array" ref="P101">IF(K101=3,"",
  IFERROR(
    INDEX('Fairway Log'!$E$2:$V$73,
      MATCH(1,
        ('Fairway Log'!$A$2:$A$73=$A101)*
        ('Fairway Log'!$B$2:$B$73=$B101)*
        ('Fairway Log'!$C$2:$C172=$C101),
      0),
      MATCH($G101,'Fairway Log'!$E$1:$V$1,0)
    ),
  "")
)</f>
        <v>↑</v>
      </c>
      <c r="Q101" t="str" cm="1">
        <f t="array" ref="Q101">IFERROR(
  INDEX('GIR Log'!$E$2:$V$73,
    MATCH(1,
      ('GIR Log'!$A$2:$A$73=$A101)*
      ('GIR Log'!$B$2:$B$73=$B101)*
      ('GIR Log'!$C$2:$C$73=$C101),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Log'!$E$2:$V$73,
    MATCH(1,
      ('Golf Log'!$A$2:$A$73=$A102)*
      ('Golf Log'!$B$2:$B$73=$B102)*
      ('Golf Log'!$C$2:$C$73=$C102),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Log'!$E$2:$V$73,
    MATCH(1,
      ('Putt Log'!$A$2:$A$73=$A102)*
      ('Putt Log'!$B$2:$B$73=$B102)*
      ('Putt Log'!$C$2:$C$73=$C102),
    0),
    MATCH($G102,'Putt Log'!$E$1:$V$1,0)
  ),
"")</f>
        <v>2</v>
      </c>
      <c r="P102" t="str" cm="1">
        <f t="array" ref="P102">IF(K102=3,"",
  IFERROR(
    INDEX('Fairway Log'!$E$2:$V$73,
      MATCH(1,
        ('Fairway Log'!$A$2:$A$73=$A102)*
        ('Fairway Log'!$B$2:$B$73=$B102)*
        ('Fairway Log'!$C$2:$C173=$C102),
      0),
      MATCH($G102,'Fairway Log'!$E$1:$V$1,0)
    ),
  "")
)</f>
        <v/>
      </c>
      <c r="Q102" cm="1">
        <f t="array" ref="Q102">IFERROR(
  INDEX('GIR Log'!$E$2:$V$73,
    MATCH(1,
      ('GIR Log'!$A$2:$A$73=$A102)*
      ('GIR Log'!$B$2:$B$73=$B102)*
      ('GIR Log'!$C$2:$C$73=$C102),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Log'!$E$2:$V$73,
    MATCH(1,
      ('Golf Log'!$A$2:$A$73=$A103)*
      ('Golf Log'!$B$2:$B$73=$B103)*
      ('Golf Log'!$C$2:$C$73=$C103),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Log'!$E$2:$V$73,
    MATCH(1,
      ('Putt Log'!$A$2:$A$73=$A103)*
      ('Putt Log'!$B$2:$B$73=$B103)*
      ('Putt Log'!$C$2:$C$73=$C103),
    0),
    MATCH($G103,'Putt Log'!$E$1:$V$1,0)
  ),
"")</f>
        <v>1</v>
      </c>
      <c r="P103" t="str" cm="1">
        <f t="array" ref="P103">IF(K103=3,"",
  IFERROR(
    INDEX('Fairway Log'!$E$2:$V$73,
      MATCH(1,
        ('Fairway Log'!$A$2:$A$73=$A103)*
        ('Fairway Log'!$B$2:$B$73=$B103)*
        ('Fairway Log'!$C$2:$C174=$C103),
      0),
      MATCH($G103,'Fairway Log'!$E$1:$V$1,0)
    ),
  "")
)</f>
        <v>→</v>
      </c>
      <c r="Q103" t="str" cm="1">
        <f t="array" ref="Q103">IFERROR(
  INDEX('GIR Log'!$E$2:$V$73,
    MATCH(1,
      ('GIR Log'!$A$2:$A$73=$A103)*
      ('GIR Log'!$B$2:$B$73=$B103)*
      ('GIR Log'!$C$2:$C$73=$C103),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Log'!$E$2:$V$73,
    MATCH(1,
      ('Golf Log'!$A$2:$A$73=$A104)*
      ('Golf Log'!$B$2:$B$73=$B104)*
      ('Golf Log'!$C$2:$C$73=$C104),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Log'!$E$2:$V$73,
    MATCH(1,
      ('Putt Log'!$A$2:$A$73=$A104)*
      ('Putt Log'!$B$2:$B$73=$B104)*
      ('Putt Log'!$C$2:$C$73=$C104),
    0),
    MATCH($G104,'Putt Log'!$E$1:$V$1,0)
  ),
"")</f>
        <v>1</v>
      </c>
      <c r="P104" t="str" cm="1">
        <f t="array" ref="P104">IF(K104=3,"",
  IFERROR(
    INDEX('Fairway Log'!$E$2:$V$73,
      MATCH(1,
        ('Fairway Log'!$A$2:$A$73=$A104)*
        ('Fairway Log'!$B$2:$B$73=$B104)*
        ('Fairway Log'!$C$2:$C175=$C104),
      0),
      MATCH($G104,'Fairway Log'!$E$1:$V$1,0)
    ),
  "")
)</f>
        <v>→</v>
      </c>
      <c r="Q104" t="str" cm="1">
        <f t="array" ref="Q104">IFERROR(
  INDEX('GIR Log'!$E$2:$V$73,
    MATCH(1,
      ('GIR Log'!$A$2:$A$73=$A104)*
      ('GIR Log'!$B$2:$B$73=$B104)*
      ('GIR Log'!$C$2:$C$73=$C104),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Log'!$E$2:$V$73,
    MATCH(1,
      ('Golf Log'!$A$2:$A$73=$A105)*
      ('Golf Log'!$B$2:$B$73=$B105)*
      ('Golf Log'!$C$2:$C$73=$C105),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Log'!$E$2:$V$73,
    MATCH(1,
      ('Putt Log'!$A$2:$A$73=$A105)*
      ('Putt Log'!$B$2:$B$73=$B105)*
      ('Putt Log'!$C$2:$C$73=$C105),
    0),
    MATCH($G105,'Putt Log'!$E$1:$V$1,0)
  ),
"")</f>
        <v>3</v>
      </c>
      <c r="P105" cm="1">
        <f t="array" ref="P105">IF(K105=3,"",
  IFERROR(
    INDEX('Fairway Log'!$E$2:$V$73,
      MATCH(1,
        ('Fairway Log'!$A$2:$A$73=$A105)*
        ('Fairway Log'!$B$2:$B$73=$B105)*
        ('Fairway Log'!$C$2:$C176=$C105),
      0),
      MATCH($G105,'Fairway Log'!$E$1:$V$1,0)
    ),
  "")
)</f>
        <v>1</v>
      </c>
      <c r="Q105" t="str" cm="1">
        <f t="array" ref="Q105">IFERROR(
  INDEX('GIR Log'!$E$2:$V$73,
    MATCH(1,
      ('GIR Log'!$A$2:$A$73=$A105)*
      ('GIR Log'!$B$2:$B$73=$B105)*
      ('GIR Log'!$C$2:$C$73=$C105),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Log'!$E$2:$V$73,
    MATCH(1,
      ('Golf Log'!$A$2:$A$73=$A106)*
      ('Golf Log'!$B$2:$B$73=$B106)*
      ('Golf Log'!$C$2:$C$73=$C106),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Log'!$E$2:$V$73,
    MATCH(1,
      ('Putt Log'!$A$2:$A$73=$A106)*
      ('Putt Log'!$B$2:$B$73=$B106)*
      ('Putt Log'!$C$2:$C$73=$C106),
    0),
    MATCH($G106,'Putt Log'!$E$1:$V$1,0)
  ),
"")</f>
        <v>2</v>
      </c>
      <c r="P106" t="str" cm="1">
        <f t="array" ref="P106">IF(K106=3,"",
  IFERROR(
    INDEX('Fairway Log'!$E$2:$V$73,
      MATCH(1,
        ('Fairway Log'!$A$2:$A$73=$A106)*
        ('Fairway Log'!$B$2:$B$73=$B106)*
        ('Fairway Log'!$C$2:$C177=$C106),
      0),
      MATCH($G106,'Fairway Log'!$E$1:$V$1,0)
    ),
  "")
)</f>
        <v/>
      </c>
      <c r="Q106" t="str" cm="1">
        <f t="array" ref="Q106">IFERROR(
  INDEX('GIR Log'!$E$2:$V$73,
    MATCH(1,
      ('GIR Log'!$A$2:$A$73=$A106)*
      ('GIR Log'!$B$2:$B$73=$B106)*
      ('GIR Log'!$C$2:$C$73=$C106),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Log'!$E$2:$V$73,
    MATCH(1,
      ('Golf Log'!$A$2:$A$73=$A107)*
      ('Golf Log'!$B$2:$B$73=$B107)*
      ('Golf Log'!$C$2:$C$73=$C107),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Log'!$E$2:$V$73,
    MATCH(1,
      ('Putt Log'!$A$2:$A$73=$A107)*
      ('Putt Log'!$B$2:$B$73=$B107)*
      ('Putt Log'!$C$2:$C$73=$C107),
    0),
    MATCH($G107,'Putt Log'!$E$1:$V$1,0)
  ),
"")</f>
        <v>1</v>
      </c>
      <c r="P107" t="str" cm="1">
        <f t="array" ref="P107">IF(K107=3,"",
  IFERROR(
    INDEX('Fairway Log'!$E$2:$V$73,
      MATCH(1,
        ('Fairway Log'!$A$2:$A$73=$A107)*
        ('Fairway Log'!$B$2:$B$73=$B107)*
        ('Fairway Log'!$C$2:$C178=$C107),
      0),
      MATCH($G107,'Fairway Log'!$E$1:$V$1,0)
    ),
  "")
)</f>
        <v>→</v>
      </c>
      <c r="Q107" t="str" cm="1">
        <f t="array" ref="Q107">IFERROR(
  INDEX('GIR Log'!$E$2:$V$73,
    MATCH(1,
      ('GIR Log'!$A$2:$A$73=$A107)*
      ('GIR Log'!$B$2:$B$73=$B107)*
      ('GIR Log'!$C$2:$C$73=$C107),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Log'!$E$2:$V$73,
    MATCH(1,
      ('Golf Log'!$A$2:$A$73=$A108)*
      ('Golf Log'!$B$2:$B$73=$B108)*
      ('Golf Log'!$C$2:$C$73=$C108),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Log'!$E$2:$V$73,
    MATCH(1,
      ('Putt Log'!$A$2:$A$73=$A108)*
      ('Putt Log'!$B$2:$B$73=$B108)*
      ('Putt Log'!$C$2:$C$73=$C108),
    0),
    MATCH($G108,'Putt Log'!$E$1:$V$1,0)
  ),
"")</f>
        <v>2</v>
      </c>
      <c r="P108" t="str" cm="1">
        <f t="array" ref="P108">IF(K108=3,"",
  IFERROR(
    INDEX('Fairway Log'!$E$2:$V$73,
      MATCH(1,
        ('Fairway Log'!$A$2:$A$73=$A108)*
        ('Fairway Log'!$B$2:$B$73=$B108)*
        ('Fairway Log'!$C$2:$C179=$C108),
      0),
      MATCH($G108,'Fairway Log'!$E$1:$V$1,0)
    ),
  "")
)</f>
        <v>→</v>
      </c>
      <c r="Q108" t="str" cm="1">
        <f t="array" ref="Q108">IFERROR(
  INDEX('GIR Log'!$E$2:$V$73,
    MATCH(1,
      ('GIR Log'!$A$2:$A$73=$A108)*
      ('GIR Log'!$B$2:$B$73=$B108)*
      ('GIR Log'!$C$2:$C$73=$C108),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Log'!$E$2:$V$73,
    MATCH(1,
      ('Golf Log'!$A$2:$A$73=$A109)*
      ('Golf Log'!$B$2:$B$73=$B109)*
      ('Golf Log'!$C$2:$C$73=$C109),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Log'!$E$2:$V$73,
    MATCH(1,
      ('Putt Log'!$A$2:$A$73=$A109)*
      ('Putt Log'!$B$2:$B$73=$B109)*
      ('Putt Log'!$C$2:$C$73=$C109),
    0),
    MATCH($G109,'Putt Log'!$E$1:$V$1,0)
  ),
"")</f>
        <v>1</v>
      </c>
      <c r="P109" cm="1">
        <f t="array" ref="P109">IF(K109=3,"",
  IFERROR(
    INDEX('Fairway Log'!$E$2:$V$73,
      MATCH(1,
        ('Fairway Log'!$A$2:$A$73=$A109)*
        ('Fairway Log'!$B$2:$B$73=$B109)*
        ('Fairway Log'!$C$2:$C180=$C109),
      0),
      MATCH($G109,'Fairway Log'!$E$1:$V$1,0)
    ),
  "")
)</f>
        <v>1</v>
      </c>
      <c r="Q109" t="str" cm="1">
        <f t="array" ref="Q109">IFERROR(
  INDEX('GIR Log'!$E$2:$V$73,
    MATCH(1,
      ('GIR Log'!$A$2:$A$73=$A109)*
      ('GIR Log'!$B$2:$B$73=$B109)*
      ('GIR Log'!$C$2:$C$73=$C109),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Log'!$E$2:$V$73,
    MATCH(1,
      ('Golf Log'!$A$2:$A$73=$A110)*
      ('Golf Log'!$B$2:$B$73=$B110)*
      ('Golf Log'!$C$2:$C$73=$C110),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Log'!$E$2:$V$73,
    MATCH(1,
      ('Putt Log'!$A$2:$A$73=$A110)*
      ('Putt Log'!$B$2:$B$73=$B110)*
      ('Putt Log'!$C$2:$C$73=$C110),
    0),
    MATCH($G110,'Putt Log'!$E$1:$V$1,0)
  ),
"")</f>
        <v>2</v>
      </c>
      <c r="P110" cm="1">
        <f t="array" ref="P110">IF(K110=3,"",
  IFERROR(
    INDEX('Fairway Log'!$E$2:$V$73,
      MATCH(1,
        ('Fairway Log'!$A$2:$A$73=$A110)*
        ('Fairway Log'!$B$2:$B$73=$B110)*
        ('Fairway Log'!$C$2:$C181=$C110),
      0),
      MATCH($G110,'Fairway Log'!$E$1:$V$1,0)
    ),
  "")
)</f>
        <v>1</v>
      </c>
      <c r="Q110" t="str" cm="1">
        <f t="array" ref="Q110">IFERROR(
  INDEX('GIR Log'!$E$2:$V$73,
    MATCH(1,
      ('GIR Log'!$A$2:$A$73=$A110)*
      ('GIR Log'!$B$2:$B$73=$B110)*
      ('GIR Log'!$C$2:$C$73=$C110),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Log'!$E$2:$V$73,
    MATCH(1,
      ('Golf Log'!$A$2:$A$73=$A111)*
      ('Golf Log'!$B$2:$B$73=$B111)*
      ('Golf Log'!$C$2:$C$73=$C111),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Log'!$E$2:$V$73,
    MATCH(1,
      ('Putt Log'!$A$2:$A$73=$A111)*
      ('Putt Log'!$B$2:$B$73=$B111)*
      ('Putt Log'!$C$2:$C$73=$C111),
    0),
    MATCH($G111,'Putt Log'!$E$1:$V$1,0)
  ),
"")</f>
        <v>2</v>
      </c>
      <c r="P111" t="str" cm="1">
        <f t="array" ref="P111">IF(K111=3,"",
  IFERROR(
    INDEX('Fairway Log'!$E$2:$V$73,
      MATCH(1,
        ('Fairway Log'!$A$2:$A$73=$A111)*
        ('Fairway Log'!$B$2:$B$73=$B111)*
        ('Fairway Log'!$C$2:$C182=$C111),
      0),
      MATCH($G111,'Fairway Log'!$E$1:$V$1,0)
    ),
  "")
)</f>
        <v>→</v>
      </c>
      <c r="Q111" t="str" cm="1">
        <f t="array" ref="Q111">IFERROR(
  INDEX('GIR Log'!$E$2:$V$73,
    MATCH(1,
      ('GIR Log'!$A$2:$A$73=$A111)*
      ('GIR Log'!$B$2:$B$73=$B111)*
      ('GIR Log'!$C$2:$C$73=$C111),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Log'!$E$2:$V$73,
    MATCH(1,
      ('Golf Log'!$A$2:$A$73=$A112)*
      ('Golf Log'!$B$2:$B$73=$B112)*
      ('Golf Log'!$C$2:$C$73=$C112),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Log'!$E$2:$V$73,
    MATCH(1,
      ('Putt Log'!$A$2:$A$73=$A112)*
      ('Putt Log'!$B$2:$B$73=$B112)*
      ('Putt Log'!$C$2:$C$73=$C112),
    0),
    MATCH($G112,'Putt Log'!$E$1:$V$1,0)
  ),
"")</f>
        <v>2</v>
      </c>
      <c r="P112" t="str" cm="1">
        <f t="array" ref="P112">IF(K112=3,"",
  IFERROR(
    INDEX('Fairway Log'!$E$2:$V$73,
      MATCH(1,
        ('Fairway Log'!$A$2:$A$73=$A112)*
        ('Fairway Log'!$B$2:$B$73=$B112)*
        ('Fairway Log'!$C$2:$C183=$C112),
      0),
      MATCH($G112,'Fairway Log'!$E$1:$V$1,0)
    ),
  "")
)</f>
        <v>↓</v>
      </c>
      <c r="Q112" t="str" cm="1">
        <f t="array" ref="Q112">IFERROR(
  INDEX('GIR Log'!$E$2:$V$73,
    MATCH(1,
      ('GIR Log'!$A$2:$A$73=$A112)*
      ('GIR Log'!$B$2:$B$73=$B112)*
      ('GIR Log'!$C$2:$C$73=$C112),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Log'!$E$2:$V$73,
    MATCH(1,
      ('Golf Log'!$A$2:$A$73=$A113)*
      ('Golf Log'!$B$2:$B$73=$B113)*
      ('Golf Log'!$C$2:$C$73=$C113),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Log'!$E$2:$V$73,
    MATCH(1,
      ('Putt Log'!$A$2:$A$73=$A113)*
      ('Putt Log'!$B$2:$B$73=$B113)*
      ('Putt Log'!$C$2:$C$73=$C113),
    0),
    MATCH($G113,'Putt Log'!$E$1:$V$1,0)
  ),
"")</f>
        <v>2</v>
      </c>
      <c r="P113" t="str" cm="1">
        <f t="array" ref="P113">IF(K113=3,"",
  IFERROR(
    INDEX('Fairway Log'!$E$2:$V$73,
      MATCH(1,
        ('Fairway Log'!$A$2:$A$73=$A113)*
        ('Fairway Log'!$B$2:$B$73=$B113)*
        ('Fairway Log'!$C$2:$C184=$C113),
      0),
      MATCH($G113,'Fairway Log'!$E$1:$V$1,0)
    ),
  "")
)</f>
        <v/>
      </c>
      <c r="Q113" t="str" cm="1">
        <f t="array" ref="Q113">IFERROR(
  INDEX('GIR Log'!$E$2:$V$73,
    MATCH(1,
      ('GIR Log'!$A$2:$A$73=$A113)*
      ('GIR Log'!$B$2:$B$73=$B113)*
      ('GIR Log'!$C$2:$C$73=$C113),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Log'!$E$2:$V$73,
    MATCH(1,
      ('Golf Log'!$A$2:$A$73=$A114)*
      ('Golf Log'!$B$2:$B$73=$B114)*
      ('Golf Log'!$C$2:$C$73=$C114),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Log'!$E$2:$V$73,
    MATCH(1,
      ('Putt Log'!$A$2:$A$73=$A114)*
      ('Putt Log'!$B$2:$B$73=$B114)*
      ('Putt Log'!$C$2:$C$73=$C114),
    0),
    MATCH($G114,'Putt Log'!$E$1:$V$1,0)
  ),
"")</f>
        <v>1</v>
      </c>
      <c r="P114" t="str" cm="1">
        <f t="array" ref="P114">IF(K114=3,"",
  IFERROR(
    INDEX('Fairway Log'!$E$2:$V$73,
      MATCH(1,
        ('Fairway Log'!$A$2:$A$73=$A114)*
        ('Fairway Log'!$B$2:$B$73=$B114)*
        ('Fairway Log'!$C$2:$C185=$C114),
      0),
      MATCH($G114,'Fairway Log'!$E$1:$V$1,0)
    ),
  "")
)</f>
        <v>↓</v>
      </c>
      <c r="Q114" t="str" cm="1">
        <f t="array" ref="Q114">IFERROR(
  INDEX('GIR Log'!$E$2:$V$73,
    MATCH(1,
      ('GIR Log'!$A$2:$A$73=$A114)*
      ('GIR Log'!$B$2:$B$73=$B114)*
      ('GIR Log'!$C$2:$C$73=$C114),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Log'!$E$2:$V$73,
    MATCH(1,
      ('Golf Log'!$A$2:$A$73=$A115)*
      ('Golf Log'!$B$2:$B$73=$B115)*
      ('Golf Log'!$C$2:$C$73=$C115),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Log'!$E$2:$V$73,
    MATCH(1,
      ('Putt Log'!$A$2:$A$73=$A115)*
      ('Putt Log'!$B$2:$B$73=$B115)*
      ('Putt Log'!$C$2:$C$73=$C115),
    0),
    MATCH($G115,'Putt Log'!$E$1:$V$1,0)
  ),
"")</f>
        <v>2</v>
      </c>
      <c r="P115" cm="1">
        <f t="array" ref="P115">IF(K115=3,"",
  IFERROR(
    INDEX('Fairway Log'!$E$2:$V$73,
      MATCH(1,
        ('Fairway Log'!$A$2:$A$73=$A115)*
        ('Fairway Log'!$B$2:$B$73=$B115)*
        ('Fairway Log'!$C$2:$C186=$C115),
      0),
      MATCH($G115,'Fairway Log'!$E$1:$V$1,0)
    ),
  "")
)</f>
        <v>1</v>
      </c>
      <c r="Q115" t="str" cm="1">
        <f t="array" ref="Q115">IFERROR(
  INDEX('GIR Log'!$E$2:$V$73,
    MATCH(1,
      ('GIR Log'!$A$2:$A$73=$A115)*
      ('GIR Log'!$B$2:$B$73=$B115)*
      ('GIR Log'!$C$2:$C$73=$C115),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Log'!$E$2:$V$73,
    MATCH(1,
      ('Golf Log'!$A$2:$A$73=$A116)*
      ('Golf Log'!$B$2:$B$73=$B116)*
      ('Golf Log'!$C$2:$C$73=$C116),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Log'!$E$2:$V$73,
    MATCH(1,
      ('Putt Log'!$A$2:$A$73=$A116)*
      ('Putt Log'!$B$2:$B$73=$B116)*
      ('Putt Log'!$C$2:$C$73=$C116),
    0),
    MATCH($G116,'Putt Log'!$E$1:$V$1,0)
  ),
"")</f>
        <v>2</v>
      </c>
      <c r="P116" t="str" cm="1">
        <f t="array" ref="P116">IF(K116=3,"",
  IFERROR(
    INDEX('Fairway Log'!$E$2:$V$73,
      MATCH(1,
        ('Fairway Log'!$A$2:$A$73=$A116)*
        ('Fairway Log'!$B$2:$B$73=$B116)*
        ('Fairway Log'!$C$2:$C187=$C116),
      0),
      MATCH($G116,'Fairway Log'!$E$1:$V$1,0)
    ),
  "")
)</f>
        <v/>
      </c>
      <c r="Q116" t="str" cm="1">
        <f t="array" ref="Q116">IFERROR(
  INDEX('GIR Log'!$E$2:$V$73,
    MATCH(1,
      ('GIR Log'!$A$2:$A$73=$A116)*
      ('GIR Log'!$B$2:$B$73=$B116)*
      ('GIR Log'!$C$2:$C$73=$C116),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Log'!$E$2:$V$73,
    MATCH(1,
      ('Golf Log'!$A$2:$A$73=$A117)*
      ('Golf Log'!$B$2:$B$73=$B117)*
      ('Golf Log'!$C$2:$C$73=$C117),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Log'!$E$2:$V$73,
    MATCH(1,
      ('Putt Log'!$A$2:$A$73=$A117)*
      ('Putt Log'!$B$2:$B$73=$B117)*
      ('Putt Log'!$C$2:$C$73=$C117),
    0),
    MATCH($G117,'Putt Log'!$E$1:$V$1,0)
  ),
"")</f>
        <v>2</v>
      </c>
      <c r="P117" t="str" cm="1">
        <f t="array" ref="P117">IF(K117=3,"",
  IFERROR(
    INDEX('Fairway Log'!$E$2:$V$73,
      MATCH(1,
        ('Fairway Log'!$A$2:$A$73=$A117)*
        ('Fairway Log'!$B$2:$B$73=$B117)*
        ('Fairway Log'!$C$2:$C188=$C117),
      0),
      MATCH($G117,'Fairway Log'!$E$1:$V$1,0)
    ),
  "")
)</f>
        <v>→</v>
      </c>
      <c r="Q117" t="str" cm="1">
        <f t="array" ref="Q117">IFERROR(
  INDEX('GIR Log'!$E$2:$V$73,
    MATCH(1,
      ('GIR Log'!$A$2:$A$73=$A117)*
      ('GIR Log'!$B$2:$B$73=$B117)*
      ('GIR Log'!$C$2:$C$73=$C117),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Log'!$E$2:$V$73,
    MATCH(1,
      ('Golf Log'!$A$2:$A$73=$A118)*
      ('Golf Log'!$B$2:$B$73=$B118)*
      ('Golf Log'!$C$2:$C$73=$C118),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Log'!$E$2:$V$73,
    MATCH(1,
      ('Putt Log'!$A$2:$A$73=$A118)*
      ('Putt Log'!$B$2:$B$73=$B118)*
      ('Putt Log'!$C$2:$C$73=$C118),
    0),
    MATCH($G118,'Putt Log'!$E$1:$V$1,0)
  ),
"")</f>
        <v>1</v>
      </c>
      <c r="P118" t="str" cm="1">
        <f t="array" ref="P118">IF(K118=3,"",
  IFERROR(
    INDEX('Fairway Log'!$E$2:$V$73,
      MATCH(1,
        ('Fairway Log'!$A$2:$A$73=$A118)*
        ('Fairway Log'!$B$2:$B$73=$B118)*
        ('Fairway Log'!$C$2:$C189=$C118),
      0),
      MATCH($G118,'Fairway Log'!$E$1:$V$1,0)
    ),
  "")
)</f>
        <v>→</v>
      </c>
      <c r="Q118" t="str" cm="1">
        <f t="array" ref="Q118">IFERROR(
  INDEX('GIR Log'!$E$2:$V$73,
    MATCH(1,
      ('GIR Log'!$A$2:$A$73=$A118)*
      ('GIR Log'!$B$2:$B$73=$B118)*
      ('GIR Log'!$C$2:$C$73=$C118),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Log'!$E$2:$V$73,
    MATCH(1,
      ('Golf Log'!$A$2:$A$73=$A119)*
      ('Golf Log'!$B$2:$B$73=$B119)*
      ('Golf Log'!$C$2:$C$73=$C119),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Log'!$E$2:$V$73,
    MATCH(1,
      ('Putt Log'!$A$2:$A$73=$A119)*
      ('Putt Log'!$B$2:$B$73=$B119)*
      ('Putt Log'!$C$2:$C$73=$C119),
    0),
    MATCH($G119,'Putt Log'!$E$1:$V$1,0)
  ),
"")</f>
        <v>2</v>
      </c>
      <c r="P119" cm="1">
        <f t="array" ref="P119">IF(K119=3,"",
  IFERROR(
    INDEX('Fairway Log'!$E$2:$V$73,
      MATCH(1,
        ('Fairway Log'!$A$2:$A$73=$A119)*
        ('Fairway Log'!$B$2:$B$73=$B119)*
        ('Fairway Log'!$C$2:$C190=$C119),
      0),
      MATCH($G119,'Fairway Log'!$E$1:$V$1,0)
    ),
  "")
)</f>
        <v>1</v>
      </c>
      <c r="Q119" cm="1">
        <f t="array" ref="Q119">IFERROR(
  INDEX('GIR Log'!$E$2:$V$73,
    MATCH(1,
      ('GIR Log'!$A$2:$A$73=$A119)*
      ('GIR Log'!$B$2:$B$73=$B119)*
      ('GIR Log'!$C$2:$C$73=$C119),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Log'!$E$2:$V$73,
    MATCH(1,
      ('Golf Log'!$A$2:$A$73=$A120)*
      ('Golf Log'!$B$2:$B$73=$B120)*
      ('Golf Log'!$C$2:$C$73=$C120),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Log'!$E$2:$V$73,
    MATCH(1,
      ('Putt Log'!$A$2:$A$73=$A120)*
      ('Putt Log'!$B$2:$B$73=$B120)*
      ('Putt Log'!$C$2:$C$73=$C120),
    0),
    MATCH($G120,'Putt Log'!$E$1:$V$1,0)
  ),
"")</f>
        <v>2</v>
      </c>
      <c r="P120" t="str" cm="1">
        <f t="array" ref="P120">IF(K120=3,"",
  IFERROR(
    INDEX('Fairway Log'!$E$2:$V$73,
      MATCH(1,
        ('Fairway Log'!$A$2:$A$73=$A120)*
        ('Fairway Log'!$B$2:$B$73=$B120)*
        ('Fairway Log'!$C$2:$C191=$C120),
      0),
      MATCH($G120,'Fairway Log'!$E$1:$V$1,0)
    ),
  "")
)</f>
        <v/>
      </c>
      <c r="Q120" t="str" cm="1">
        <f t="array" ref="Q120">IFERROR(
  INDEX('GIR Log'!$E$2:$V$73,
    MATCH(1,
      ('GIR Log'!$A$2:$A$73=$A120)*
      ('GIR Log'!$B$2:$B$73=$B120)*
      ('GIR Log'!$C$2:$C$73=$C120),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Log'!$E$2:$V$73,
    MATCH(1,
      ('Golf Log'!$A$2:$A$73=$A121)*
      ('Golf Log'!$B$2:$B$73=$B121)*
      ('Golf Log'!$C$2:$C$73=$C121),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Log'!$E$2:$V$73,
    MATCH(1,
      ('Putt Log'!$A$2:$A$73=$A121)*
      ('Putt Log'!$B$2:$B$73=$B121)*
      ('Putt Log'!$C$2:$C$73=$C121),
    0),
    MATCH($G121,'Putt Log'!$E$1:$V$1,0)
  ),
"")</f>
        <v>2</v>
      </c>
      <c r="P121" cm="1">
        <f t="array" ref="P121">IF(K121=3,"",
  IFERROR(
    INDEX('Fairway Log'!$E$2:$V$73,
      MATCH(1,
        ('Fairway Log'!$A$2:$A$73=$A121)*
        ('Fairway Log'!$B$2:$B$73=$B121)*
        ('Fairway Log'!$C$2:$C192=$C121),
      0),
      MATCH($G121,'Fairway Log'!$E$1:$V$1,0)
    ),
  "")
)</f>
        <v>1</v>
      </c>
      <c r="Q121" cm="1">
        <f t="array" ref="Q121">IFERROR(
  INDEX('GIR Log'!$E$2:$V$73,
    MATCH(1,
      ('GIR Log'!$A$2:$A$73=$A121)*
      ('GIR Log'!$B$2:$B$73=$B121)*
      ('GIR Log'!$C$2:$C$73=$C121),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Log'!$E$2:$V$73,
    MATCH(1,
      ('Golf Log'!$A$2:$A$73=$A122)*
      ('Golf Log'!$B$2:$B$73=$B122)*
      ('Golf Log'!$C$2:$C$73=$C122),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Log'!$E$2:$V$73,
    MATCH(1,
      ('Putt Log'!$A$2:$A$73=$A122)*
      ('Putt Log'!$B$2:$B$73=$B122)*
      ('Putt Log'!$C$2:$C$73=$C122),
    0),
    MATCH($G122,'Putt Log'!$E$1:$V$1,0)
  ),
"")</f>
        <v>2</v>
      </c>
      <c r="P122" t="str" cm="1">
        <f t="array" ref="P122">IF(K122=3,"",
  IFERROR(
    INDEX('Fairway Log'!$E$2:$V$73,
      MATCH(1,
        ('Fairway Log'!$A$2:$A$73=$A122)*
        ('Fairway Log'!$B$2:$B$73=$B122)*
        ('Fairway Log'!$C$2:$C193=$C122),
      0),
      MATCH($G122,'Fairway Log'!$E$1:$V$1,0)
    ),
  "")
)</f>
        <v>→</v>
      </c>
      <c r="Q122" t="str" cm="1">
        <f t="array" ref="Q122">IFERROR(
  INDEX('GIR Log'!$E$2:$V$73,
    MATCH(1,
      ('GIR Log'!$A$2:$A$73=$A122)*
      ('GIR Log'!$B$2:$B$73=$B122)*
      ('GIR Log'!$C$2:$C$73=$C122),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Log'!$E$2:$V$73,
    MATCH(1,
      ('Golf Log'!$A$2:$A$73=$A123)*
      ('Golf Log'!$B$2:$B$73=$B123)*
      ('Golf Log'!$C$2:$C$73=$C123),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Log'!$E$2:$V$73,
    MATCH(1,
      ('Putt Log'!$A$2:$A$73=$A123)*
      ('Putt Log'!$B$2:$B$73=$B123)*
      ('Putt Log'!$C$2:$C$73=$C123),
    0),
    MATCH($G123,'Putt Log'!$E$1:$V$1,0)
  ),
"")</f>
        <v>1</v>
      </c>
      <c r="P123" t="str" cm="1">
        <f t="array" ref="P123">IF(K123=3,"",
  IFERROR(
    INDEX('Fairway Log'!$E$2:$V$73,
      MATCH(1,
        ('Fairway Log'!$A$2:$A$73=$A123)*
        ('Fairway Log'!$B$2:$B$73=$B123)*
        ('Fairway Log'!$C$2:$C194=$C123),
      0),
      MATCH($G123,'Fairway Log'!$E$1:$V$1,0)
    ),
  "")
)</f>
        <v/>
      </c>
      <c r="Q123" t="str" cm="1">
        <f t="array" ref="Q123">IFERROR(
  INDEX('GIR Log'!$E$2:$V$73,
    MATCH(1,
      ('GIR Log'!$A$2:$A$73=$A123)*
      ('GIR Log'!$B$2:$B$73=$B123)*
      ('GIR Log'!$C$2:$C$73=$C123),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Log'!$E$2:$V$73,
    MATCH(1,
      ('Golf Log'!$A$2:$A$73=$A124)*
      ('Golf Log'!$B$2:$B$73=$B124)*
      ('Golf Log'!$C$2:$C$73=$C124),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Log'!$E$2:$V$73,
    MATCH(1,
      ('Putt Log'!$A$2:$A$73=$A124)*
      ('Putt Log'!$B$2:$B$73=$B124)*
      ('Putt Log'!$C$2:$C$73=$C124),
    0),
    MATCH($G124,'Putt Log'!$E$1:$V$1,0)
  ),
"")</f>
        <v>1</v>
      </c>
      <c r="P124" t="str" cm="1">
        <f t="array" ref="P124">IF(K124=3,"",
  IFERROR(
    INDEX('Fairway Log'!$E$2:$V$73,
      MATCH(1,
        ('Fairway Log'!$A$2:$A$73=$A124)*
        ('Fairway Log'!$B$2:$B$73=$B124)*
        ('Fairway Log'!$C$2:$C195=$C124),
      0),
      MATCH($G124,'Fairway Log'!$E$1:$V$1,0)
    ),
  "")
)</f>
        <v>→</v>
      </c>
      <c r="Q124" t="str" cm="1">
        <f t="array" ref="Q124">IFERROR(
  INDEX('GIR Log'!$E$2:$V$73,
    MATCH(1,
      ('GIR Log'!$A$2:$A$73=$A124)*
      ('GIR Log'!$B$2:$B$73=$B124)*
      ('GIR Log'!$C$2:$C$73=$C124),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Log'!$E$2:$V$73,
    MATCH(1,
      ('Golf Log'!$A$2:$A$73=$A125)*
      ('Golf Log'!$B$2:$B$73=$B125)*
      ('Golf Log'!$C$2:$C$73=$C125),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Log'!$E$2:$V$73,
    MATCH(1,
      ('Putt Log'!$A$2:$A$73=$A125)*
      ('Putt Log'!$B$2:$B$73=$B125)*
      ('Putt Log'!$C$2:$C$73=$C125),
    0),
    MATCH($G125,'Putt Log'!$E$1:$V$1,0)
  ),
"")</f>
        <v>2</v>
      </c>
      <c r="P125" cm="1">
        <f t="array" ref="P125">IF(K125=3,"",
  IFERROR(
    INDEX('Fairway Log'!$E$2:$V$73,
      MATCH(1,
        ('Fairway Log'!$A$2:$A$73=$A125)*
        ('Fairway Log'!$B$2:$B$73=$B125)*
        ('Fairway Log'!$C$2:$C196=$C125),
      0),
      MATCH($G125,'Fairway Log'!$E$1:$V$1,0)
    ),
  "")
)</f>
        <v>1</v>
      </c>
      <c r="Q125" t="str" cm="1">
        <f t="array" ref="Q125">IFERROR(
  INDEX('GIR Log'!$E$2:$V$73,
    MATCH(1,
      ('GIR Log'!$A$2:$A$73=$A125)*
      ('GIR Log'!$B$2:$B$73=$B125)*
      ('GIR Log'!$C$2:$C$73=$C125),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Log'!$E$2:$V$73,
    MATCH(1,
      ('Golf Log'!$A$2:$A$73=$A126)*
      ('Golf Log'!$B$2:$B$73=$B126)*
      ('Golf Log'!$C$2:$C$73=$C126),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Log'!$E$2:$V$73,
    MATCH(1,
      ('Putt Log'!$A$2:$A$73=$A126)*
      ('Putt Log'!$B$2:$B$73=$B126)*
      ('Putt Log'!$C$2:$C$73=$C126),
    0),
    MATCH($G126,'Putt Log'!$E$1:$V$1,0)
  ),
"")</f>
        <v>2</v>
      </c>
      <c r="P126" cm="1">
        <f t="array" ref="P126">IF(K126=3,"",
  IFERROR(
    INDEX('Fairway Log'!$E$2:$V$73,
      MATCH(1,
        ('Fairway Log'!$A$2:$A$73=$A126)*
        ('Fairway Log'!$B$2:$B$73=$B126)*
        ('Fairway Log'!$C$2:$C197=$C126),
      0),
      MATCH($G126,'Fairway Log'!$E$1:$V$1,0)
    ),
  "")
)</f>
        <v>1</v>
      </c>
      <c r="Q126" t="str" cm="1">
        <f t="array" ref="Q126">IFERROR(
  INDEX('GIR Log'!$E$2:$V$73,
    MATCH(1,
      ('GIR Log'!$A$2:$A$73=$A126)*
      ('GIR Log'!$B$2:$B$73=$B126)*
      ('GIR Log'!$C$2:$C$73=$C126),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Log'!$E$2:$V$73,
    MATCH(1,
      ('Golf Log'!$A$2:$A$73=$A127)*
      ('Golf Log'!$B$2:$B$73=$B127)*
      ('Golf Log'!$C$2:$C$73=$C127),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Log'!$E$2:$V$73,
    MATCH(1,
      ('Putt Log'!$A$2:$A$73=$A127)*
      ('Putt Log'!$B$2:$B$73=$B127)*
      ('Putt Log'!$C$2:$C$73=$C127),
    0),
    MATCH($G127,'Putt Log'!$E$1:$V$1,0)
  ),
"")</f>
        <v>2</v>
      </c>
      <c r="P127" t="str" cm="1">
        <f t="array" ref="P127">IF(K127=3,"",
  IFERROR(
    INDEX('Fairway Log'!$E$2:$V$73,
      MATCH(1,
        ('Fairway Log'!$A$2:$A$73=$A127)*
        ('Fairway Log'!$B$2:$B$73=$B127)*
        ('Fairway Log'!$C$2:$C198=$C127),
      0),
      MATCH($G127,'Fairway Log'!$E$1:$V$1,0)
    ),
  "")
)</f>
        <v>→</v>
      </c>
      <c r="Q127" cm="1">
        <f t="array" ref="Q127">IFERROR(
  INDEX('GIR Log'!$E$2:$V$73,
    MATCH(1,
      ('GIR Log'!$A$2:$A$73=$A127)*
      ('GIR Log'!$B$2:$B$73=$B127)*
      ('GIR Log'!$C$2:$C$73=$C127),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Log'!$E$2:$V$73,
    MATCH(1,
      ('Golf Log'!$A$2:$A$73=$A128)*
      ('Golf Log'!$B$2:$B$73=$B128)*
      ('Golf Log'!$C$2:$C$73=$C128),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Log'!$E$2:$V$73,
    MATCH(1,
      ('Putt Log'!$A$2:$A$73=$A128)*
      ('Putt Log'!$B$2:$B$73=$B128)*
      ('Putt Log'!$C$2:$C$73=$C128),
    0),
    MATCH($G128,'Putt Log'!$E$1:$V$1,0)
  ),
"")</f>
        <v>2</v>
      </c>
      <c r="P128" t="str" cm="1">
        <f t="array" ref="P128">IF(K128=3,"",
  IFERROR(
    INDEX('Fairway Log'!$E$2:$V$73,
      MATCH(1,
        ('Fairway Log'!$A$2:$A$73=$A128)*
        ('Fairway Log'!$B$2:$B$73=$B128)*
        ('Fairway Log'!$C$2:$C199=$C128),
      0),
      MATCH($G128,'Fairway Log'!$E$1:$V$1,0)
    ),
  "")
)</f>
        <v>→</v>
      </c>
      <c r="Q128" t="str" cm="1">
        <f t="array" ref="Q128">IFERROR(
  INDEX('GIR Log'!$E$2:$V$73,
    MATCH(1,
      ('GIR Log'!$A$2:$A$73=$A128)*
      ('GIR Log'!$B$2:$B$73=$B128)*
      ('GIR Log'!$C$2:$C$73=$C128),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Log'!$E$2:$V$73,
    MATCH(1,
      ('Golf Log'!$A$2:$A$73=$A129)*
      ('Golf Log'!$B$2:$B$73=$B129)*
      ('Golf Log'!$C$2:$C$73=$C129),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Log'!$E$2:$V$73,
    MATCH(1,
      ('Putt Log'!$A$2:$A$73=$A129)*
      ('Putt Log'!$B$2:$B$73=$B129)*
      ('Putt Log'!$C$2:$C$73=$C129),
    0),
    MATCH($G129,'Putt Log'!$E$1:$V$1,0)
  ),
"")</f>
        <v>2</v>
      </c>
      <c r="P129" cm="1">
        <f t="array" ref="P129">IF(K129=3,"",
  IFERROR(
    INDEX('Fairway Log'!$E$2:$V$73,
      MATCH(1,
        ('Fairway Log'!$A$2:$A$73=$A129)*
        ('Fairway Log'!$B$2:$B$73=$B129)*
        ('Fairway Log'!$C$2:$C200=$C129),
      0),
      MATCH($G129,'Fairway Log'!$E$1:$V$1,0)
    ),
  "")
)</f>
        <v>1</v>
      </c>
      <c r="Q129" t="str" cm="1">
        <f t="array" ref="Q129">IFERROR(
  INDEX('GIR Log'!$E$2:$V$73,
    MATCH(1,
      ('GIR Log'!$A$2:$A$73=$A129)*
      ('GIR Log'!$B$2:$B$73=$B129)*
      ('GIR Log'!$C$2:$C$73=$C129),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Log'!$E$2:$V$73,
    MATCH(1,
      ('Golf Log'!$A$2:$A$73=$A130)*
      ('Golf Log'!$B$2:$B$73=$B130)*
      ('Golf Log'!$C$2:$C$73=$C130),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Log'!$E$2:$V$73,
    MATCH(1,
      ('Putt Log'!$A$2:$A$73=$A130)*
      ('Putt Log'!$B$2:$B$73=$B130)*
      ('Putt Log'!$C$2:$C$73=$C130),
    0),
    MATCH($G130,'Putt Log'!$E$1:$V$1,0)
  ),
"")</f>
        <v>2</v>
      </c>
      <c r="P130" t="str" cm="1">
        <f t="array" ref="P130">IF(K130=3,"",
  IFERROR(
    INDEX('Fairway Log'!$E$2:$V$73,
      MATCH(1,
        ('Fairway Log'!$A$2:$A$73=$A130)*
        ('Fairway Log'!$B$2:$B$73=$B130)*
        ('Fairway Log'!$C$2:$C201=$C130),
      0),
      MATCH($G130,'Fairway Log'!$E$1:$V$1,0)
    ),
  "")
)</f>
        <v/>
      </c>
      <c r="Q130" t="str" cm="1">
        <f t="array" ref="Q130">IFERROR(
  INDEX('GIR Log'!$E$2:$V$73,
    MATCH(1,
      ('GIR Log'!$A$2:$A$73=$A130)*
      ('GIR Log'!$B$2:$B$73=$B130)*
      ('GIR Log'!$C$2:$C$73=$C130),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Log'!$E$2:$V$73,
    MATCH(1,
      ('Golf Log'!$A$2:$A$73=$A131)*
      ('Golf Log'!$B$2:$B$73=$B131)*
      ('Golf Log'!$C$2:$C$73=$C131),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Log'!$E$2:$V$73,
    MATCH(1,
      ('Putt Log'!$A$2:$A$73=$A131)*
      ('Putt Log'!$B$2:$B$73=$B131)*
      ('Putt Log'!$C$2:$C$73=$C131),
    0),
    MATCH($G131,'Putt Log'!$E$1:$V$1,0)
  ),
"")</f>
        <v>2</v>
      </c>
      <c r="P131" t="str" cm="1">
        <f t="array" ref="P131">IF(K131=3,"",
  IFERROR(
    INDEX('Fairway Log'!$E$2:$V$73,
      MATCH(1,
        ('Fairway Log'!$A$2:$A$73=$A131)*
        ('Fairway Log'!$B$2:$B$73=$B131)*
        ('Fairway Log'!$C$2:$C202=$C131),
      0),
      MATCH($G131,'Fairway Log'!$E$1:$V$1,0)
    ),
  "")
)</f>
        <v>↓</v>
      </c>
      <c r="Q131" t="str" cm="1">
        <f t="array" ref="Q131">IFERROR(
  INDEX('GIR Log'!$E$2:$V$73,
    MATCH(1,
      ('GIR Log'!$A$2:$A$73=$A131)*
      ('GIR Log'!$B$2:$B$73=$B131)*
      ('GIR Log'!$C$2:$C$73=$C131),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Log'!$E$2:$V$73,
    MATCH(1,
      ('Golf Log'!$A$2:$A$73=$A132)*
      ('Golf Log'!$B$2:$B$73=$B132)*
      ('Golf Log'!$C$2:$C$73=$C132),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Log'!$E$2:$V$73,
    MATCH(1,
      ('Putt Log'!$A$2:$A$73=$A132)*
      ('Putt Log'!$B$2:$B$73=$B132)*
      ('Putt Log'!$C$2:$C$73=$C132),
    0),
    MATCH($G132,'Putt Log'!$E$1:$V$1,0)
  ),
"")</f>
        <v>1</v>
      </c>
      <c r="P132" t="str" cm="1">
        <f t="array" ref="P132">IF(K132=3,"",
  IFERROR(
    INDEX('Fairway Log'!$E$2:$V$73,
      MATCH(1,
        ('Fairway Log'!$A$2:$A$73=$A132)*
        ('Fairway Log'!$B$2:$B$73=$B132)*
        ('Fairway Log'!$C$2:$C203=$C132),
      0),
      MATCH($G132,'Fairway Log'!$E$1:$V$1,0)
    ),
  "")
)</f>
        <v/>
      </c>
      <c r="Q132" t="str" cm="1">
        <f t="array" ref="Q132">IFERROR(
  INDEX('GIR Log'!$E$2:$V$73,
    MATCH(1,
      ('GIR Log'!$A$2:$A$73=$A132)*
      ('GIR Log'!$B$2:$B$73=$B132)*
      ('GIR Log'!$C$2:$C$73=$C132),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Log'!$E$2:$V$73,
    MATCH(1,
      ('Golf Log'!$A$2:$A$73=$A133)*
      ('Golf Log'!$B$2:$B$73=$B133)*
      ('Golf Log'!$C$2:$C$73=$C133),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Log'!$E$2:$V$73,
    MATCH(1,
      ('Putt Log'!$A$2:$A$73=$A133)*
      ('Putt Log'!$B$2:$B$73=$B133)*
      ('Putt Log'!$C$2:$C$73=$C133),
    0),
    MATCH($G133,'Putt Log'!$E$1:$V$1,0)
  ),
"")</f>
        <v>2</v>
      </c>
      <c r="P133" t="str" cm="1">
        <f t="array" ref="P133">IF(K133=3,"",
  IFERROR(
    INDEX('Fairway Log'!$E$2:$V$73,
      MATCH(1,
        ('Fairway Log'!$A$2:$A$73=$A133)*
        ('Fairway Log'!$B$2:$B$73=$B133)*
        ('Fairway Log'!$C$2:$C204=$C133),
      0),
      MATCH($G133,'Fairway Log'!$E$1:$V$1,0)
    ),
  "")
)</f>
        <v>←</v>
      </c>
      <c r="Q133" t="str" cm="1">
        <f t="array" ref="Q133">IFERROR(
  INDEX('GIR Log'!$E$2:$V$73,
    MATCH(1,
      ('GIR Log'!$A$2:$A$73=$A133)*
      ('GIR Log'!$B$2:$B$73=$B133)*
      ('GIR Log'!$C$2:$C$73=$C133),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Log'!$E$2:$V$73,
    MATCH(1,
      ('Golf Log'!$A$2:$A$73=$A134)*
      ('Golf Log'!$B$2:$B$73=$B134)*
      ('Golf Log'!$C$2:$C$73=$C134),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Log'!$E$2:$V$73,
    MATCH(1,
      ('Putt Log'!$A$2:$A$73=$A134)*
      ('Putt Log'!$B$2:$B$73=$B134)*
      ('Putt Log'!$C$2:$C$73=$C134),
    0),
    MATCH($G134,'Putt Log'!$E$1:$V$1,0)
  ),
"")</f>
        <v>2</v>
      </c>
      <c r="P134" t="str" cm="1">
        <f t="array" ref="P134">IF(K134=3,"",
  IFERROR(
    INDEX('Fairway Log'!$E$2:$V$73,
      MATCH(1,
        ('Fairway Log'!$A$2:$A$73=$A134)*
        ('Fairway Log'!$B$2:$B$73=$B134)*
        ('Fairway Log'!$C$2:$C205=$C134),
      0),
      MATCH($G134,'Fairway Log'!$E$1:$V$1,0)
    ),
  "")
)</f>
        <v>←</v>
      </c>
      <c r="Q134" t="str" cm="1">
        <f t="array" ref="Q134">IFERROR(
  INDEX('GIR Log'!$E$2:$V$73,
    MATCH(1,
      ('GIR Log'!$A$2:$A$73=$A134)*
      ('GIR Log'!$B$2:$B$73=$B134)*
      ('GIR Log'!$C$2:$C$73=$C134),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Log'!$E$2:$V$73,
    MATCH(1,
      ('Golf Log'!$A$2:$A$73=$A135)*
      ('Golf Log'!$B$2:$B$73=$B135)*
      ('Golf Log'!$C$2:$C$73=$C135),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Log'!$E$2:$V$73,
    MATCH(1,
      ('Putt Log'!$A$2:$A$73=$A135)*
      ('Putt Log'!$B$2:$B$73=$B135)*
      ('Putt Log'!$C$2:$C$73=$C135),
    0),
    MATCH($G135,'Putt Log'!$E$1:$V$1,0)
  ),
"")</f>
        <v>2</v>
      </c>
      <c r="P135" cm="1">
        <f t="array" ref="P135">IF(K135=3,"",
  IFERROR(
    INDEX('Fairway Log'!$E$2:$V$73,
      MATCH(1,
        ('Fairway Log'!$A$2:$A$73=$A135)*
        ('Fairway Log'!$B$2:$B$73=$B135)*
        ('Fairway Log'!$C$2:$C206=$C135),
      0),
      MATCH($G135,'Fairway Log'!$E$1:$V$1,0)
    ),
  "")
)</f>
        <v>1</v>
      </c>
      <c r="Q135" t="str" cm="1">
        <f t="array" ref="Q135">IFERROR(
  INDEX('GIR Log'!$E$2:$V$73,
    MATCH(1,
      ('GIR Log'!$A$2:$A$73=$A135)*
      ('GIR Log'!$B$2:$B$73=$B135)*
      ('GIR Log'!$C$2:$C$73=$C135),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Log'!$E$2:$V$73,
    MATCH(1,
      ('Golf Log'!$A$2:$A$73=$A136)*
      ('Golf Log'!$B$2:$B$73=$B136)*
      ('Golf Log'!$C$2:$C$73=$C136),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Log'!$E$2:$V$73,
    MATCH(1,
      ('Putt Log'!$A$2:$A$73=$A136)*
      ('Putt Log'!$B$2:$B$73=$B136)*
      ('Putt Log'!$C$2:$C$73=$C136),
    0),
    MATCH($G136,'Putt Log'!$E$1:$V$1,0)
  ),
"")</f>
        <v>2</v>
      </c>
      <c r="P136" cm="1">
        <f t="array" ref="P136">IF(K136=3,"",
  IFERROR(
    INDEX('Fairway Log'!$E$2:$V$73,
      MATCH(1,
        ('Fairway Log'!$A$2:$A$73=$A136)*
        ('Fairway Log'!$B$2:$B$73=$B136)*
        ('Fairway Log'!$C$2:$C207=$C136),
      0),
      MATCH($G136,'Fairway Log'!$E$1:$V$1,0)
    ),
  "")
)</f>
        <v>1</v>
      </c>
      <c r="Q136" cm="1">
        <f t="array" ref="Q136">IFERROR(
  INDEX('GIR Log'!$E$2:$V$73,
    MATCH(1,
      ('GIR Log'!$A$2:$A$73=$A136)*
      ('GIR Log'!$B$2:$B$73=$B136)*
      ('GIR Log'!$C$2:$C$73=$C136),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Log'!$E$2:$V$73,
    MATCH(1,
      ('Golf Log'!$A$2:$A$73=$A137)*
      ('Golf Log'!$B$2:$B$73=$B137)*
      ('Golf Log'!$C$2:$C$73=$C137),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Log'!$E$2:$V$73,
    MATCH(1,
      ('Putt Log'!$A$2:$A$73=$A137)*
      ('Putt Log'!$B$2:$B$73=$B137)*
      ('Putt Log'!$C$2:$C$73=$C137),
    0),
    MATCH($G137,'Putt Log'!$E$1:$V$1,0)
  ),
"")</f>
        <v>1</v>
      </c>
      <c r="P137" t="str" cm="1">
        <f t="array" ref="P137">IF(K137=3,"",
  IFERROR(
    INDEX('Fairway Log'!$E$2:$V$73,
      MATCH(1,
        ('Fairway Log'!$A$2:$A$73=$A137)*
        ('Fairway Log'!$B$2:$B$73=$B137)*
        ('Fairway Log'!$C$2:$C208=$C137),
      0),
      MATCH($G137,'Fairway Log'!$E$1:$V$1,0)
    ),
  "")
)</f>
        <v>→</v>
      </c>
      <c r="Q137" cm="1">
        <f t="array" ref="Q137">IFERROR(
  INDEX('GIR Log'!$E$2:$V$73,
    MATCH(1,
      ('GIR Log'!$A$2:$A$73=$A137)*
      ('GIR Log'!$B$2:$B$73=$B137)*
      ('GIR Log'!$C$2:$C$73=$C137),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Log'!$E$2:$V$73,
    MATCH(1,
      ('Golf Log'!$A$2:$A$73=$A138)*
      ('Golf Log'!$B$2:$B$73=$B138)*
      ('Golf Log'!$C$2:$C$73=$C138),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Log'!$E$2:$V$73,
    MATCH(1,
      ('Putt Log'!$A$2:$A$73=$A138)*
      ('Putt Log'!$B$2:$B$73=$B138)*
      ('Putt Log'!$C$2:$C$73=$C138),
    0),
    MATCH($G138,'Putt Log'!$E$1:$V$1,0)
  ),
"")</f>
        <v>1</v>
      </c>
      <c r="P138" t="str" cm="1">
        <f t="array" ref="P138">IF(K138=3,"",
  IFERROR(
    INDEX('Fairway Log'!$E$2:$V$73,
      MATCH(1,
        ('Fairway Log'!$A$2:$A$73=$A138)*
        ('Fairway Log'!$B$2:$B$73=$B138)*
        ('Fairway Log'!$C$2:$C209=$C138),
      0),
      MATCH($G138,'Fairway Log'!$E$1:$V$1,0)
    ),
  "")
)</f>
        <v>→</v>
      </c>
      <c r="Q138" cm="1">
        <f t="array" ref="Q138">IFERROR(
  INDEX('GIR Log'!$E$2:$V$73,
    MATCH(1,
      ('GIR Log'!$A$2:$A$73=$A138)*
      ('GIR Log'!$B$2:$B$73=$B138)*
      ('GIR Log'!$C$2:$C$73=$C138),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Log'!$E$2:$V$73,
    MATCH(1,
      ('Golf Log'!$A$2:$A$73=$A139)*
      ('Golf Log'!$B$2:$B$73=$B139)*
      ('Golf Log'!$C$2:$C$73=$C139),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Log'!$E$2:$V$73,
    MATCH(1,
      ('Putt Log'!$A$2:$A$73=$A139)*
      ('Putt Log'!$B$2:$B$73=$B139)*
      ('Putt Log'!$C$2:$C$73=$C139),
    0),
    MATCH($G139,'Putt Log'!$E$1:$V$1,0)
  ),
"")</f>
        <v>2</v>
      </c>
      <c r="P139" t="str" cm="1">
        <f t="array" ref="P139">IF(K139=3,"",
  IFERROR(
    INDEX('Fairway Log'!$E$2:$V$73,
      MATCH(1,
        ('Fairway Log'!$A$2:$A$73=$A139)*
        ('Fairway Log'!$B$2:$B$73=$B139)*
        ('Fairway Log'!$C$2:$C210=$C139),
      0),
      MATCH($G139,'Fairway Log'!$E$1:$V$1,0)
    ),
  "")
)</f>
        <v>←</v>
      </c>
      <c r="Q139" t="str" cm="1">
        <f t="array" ref="Q139">IFERROR(
  INDEX('GIR Log'!$E$2:$V$73,
    MATCH(1,
      ('GIR Log'!$A$2:$A$73=$A139)*
      ('GIR Log'!$B$2:$B$73=$B139)*
      ('GIR Log'!$C$2:$C$73=$C139),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Log'!$E$2:$V$73,
    MATCH(1,
      ('Golf Log'!$A$2:$A$73=$A140)*
      ('Golf Log'!$B$2:$B$73=$B140)*
      ('Golf Log'!$C$2:$C$73=$C140),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Log'!$E$2:$V$73,
    MATCH(1,
      ('Putt Log'!$A$2:$A$73=$A140)*
      ('Putt Log'!$B$2:$B$73=$B140)*
      ('Putt Log'!$C$2:$C$73=$C140),
    0),
    MATCH($G140,'Putt Log'!$E$1:$V$1,0)
  ),
"")</f>
        <v>2</v>
      </c>
      <c r="P140" t="str" cm="1">
        <f t="array" ref="P140">IF(K140=3,"",
  IFERROR(
    INDEX('Fairway Log'!$E$2:$V$73,
      MATCH(1,
        ('Fairway Log'!$A$2:$A$73=$A140)*
        ('Fairway Log'!$B$2:$B$73=$B140)*
        ('Fairway Log'!$C$2:$C211=$C140),
      0),
      MATCH($G140,'Fairway Log'!$E$1:$V$1,0)
    ),
  "")
)</f>
        <v>→</v>
      </c>
      <c r="Q140" t="str" cm="1">
        <f t="array" ref="Q140">IFERROR(
  INDEX('GIR Log'!$E$2:$V$73,
    MATCH(1,
      ('GIR Log'!$A$2:$A$73=$A140)*
      ('GIR Log'!$B$2:$B$73=$B140)*
      ('GIR Log'!$C$2:$C$73=$C140),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Log'!$E$2:$V$73,
    MATCH(1,
      ('Golf Log'!$A$2:$A$73=$A141)*
      ('Golf Log'!$B$2:$B$73=$B141)*
      ('Golf Log'!$C$2:$C$73=$C141),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Log'!$E$2:$V$73,
    MATCH(1,
      ('Putt Log'!$A$2:$A$73=$A141)*
      ('Putt Log'!$B$2:$B$73=$B141)*
      ('Putt Log'!$C$2:$C$73=$C141),
    0),
    MATCH($G141,'Putt Log'!$E$1:$V$1,0)
  ),
"")</f>
        <v>2</v>
      </c>
      <c r="P141" t="str" cm="1">
        <f t="array" ref="P141">IF(K141=3,"",
  IFERROR(
    INDEX('Fairway Log'!$E$2:$V$73,
      MATCH(1,
        ('Fairway Log'!$A$2:$A$73=$A141)*
        ('Fairway Log'!$B$2:$B$73=$B141)*
        ('Fairway Log'!$C$2:$C212=$C141),
      0),
      MATCH($G141,'Fairway Log'!$E$1:$V$1,0)
    ),
  "")
)</f>
        <v/>
      </c>
      <c r="Q141" t="str" cm="1">
        <f t="array" ref="Q141">IFERROR(
  INDEX('GIR Log'!$E$2:$V$73,
    MATCH(1,
      ('GIR Log'!$A$2:$A$73=$A141)*
      ('GIR Log'!$B$2:$B$73=$B141)*
      ('GIR Log'!$C$2:$C$73=$C141),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Log'!$E$2:$V$73,
    MATCH(1,
      ('Golf Log'!$A$2:$A$73=$A142)*
      ('Golf Log'!$B$2:$B$73=$B142)*
      ('Golf Log'!$C$2:$C$73=$C142),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Log'!$E$2:$V$73,
    MATCH(1,
      ('Putt Log'!$A$2:$A$73=$A142)*
      ('Putt Log'!$B$2:$B$73=$B142)*
      ('Putt Log'!$C$2:$C$73=$C142),
    0),
    MATCH($G142,'Putt Log'!$E$1:$V$1,0)
  ),
"")</f>
        <v>2</v>
      </c>
      <c r="P142" cm="1">
        <f t="array" ref="P142">IF(K142=3,"",
  IFERROR(
    INDEX('Fairway Log'!$E$2:$V$73,
      MATCH(1,
        ('Fairway Log'!$A$2:$A$73=$A142)*
        ('Fairway Log'!$B$2:$B$73=$B142)*
        ('Fairway Log'!$C$2:$C213=$C142),
      0),
      MATCH($G142,'Fairway Log'!$E$1:$V$1,0)
    ),
  "")
)</f>
        <v>1</v>
      </c>
      <c r="Q142" t="str" cm="1">
        <f t="array" ref="Q142">IFERROR(
  INDEX('GIR Log'!$E$2:$V$73,
    MATCH(1,
      ('GIR Log'!$A$2:$A$73=$A142)*
      ('GIR Log'!$B$2:$B$73=$B142)*
      ('GIR Log'!$C$2:$C$73=$C142),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Log'!$E$2:$V$73,
    MATCH(1,
      ('Golf Log'!$A$2:$A$73=$A143)*
      ('Golf Log'!$B$2:$B$73=$B143)*
      ('Golf Log'!$C$2:$C$73=$C143),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Log'!$E$2:$V$73,
    MATCH(1,
      ('Putt Log'!$A$2:$A$73=$A143)*
      ('Putt Log'!$B$2:$B$73=$B143)*
      ('Putt Log'!$C$2:$C$73=$C143),
    0),
    MATCH($G143,'Putt Log'!$E$1:$V$1,0)
  ),
"")</f>
        <v>2</v>
      </c>
      <c r="P143" cm="1">
        <f t="array" ref="P143">IF(K143=3,"",
  IFERROR(
    INDEX('Fairway Log'!$E$2:$V$73,
      MATCH(1,
        ('Fairway Log'!$A$2:$A$73=$A143)*
        ('Fairway Log'!$B$2:$B$73=$B143)*
        ('Fairway Log'!$C$2:$C214=$C143),
      0),
      MATCH($G143,'Fairway Log'!$E$1:$V$1,0)
    ),
  "")
)</f>
        <v>1</v>
      </c>
      <c r="Q143" cm="1">
        <f t="array" ref="Q143">IFERROR(
  INDEX('GIR Log'!$E$2:$V$73,
    MATCH(1,
      ('GIR Log'!$A$2:$A$73=$A143)*
      ('GIR Log'!$B$2:$B$73=$B143)*
      ('GIR Log'!$C$2:$C$73=$C143),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Log'!$E$2:$V$73,
    MATCH(1,
      ('Golf Log'!$A$2:$A$73=$A144)*
      ('Golf Log'!$B$2:$B$73=$B144)*
      ('Golf Log'!$C$2:$C$73=$C144),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Log'!$E$2:$V$73,
    MATCH(1,
      ('Putt Log'!$A$2:$A$73=$A144)*
      ('Putt Log'!$B$2:$B$73=$B144)*
      ('Putt Log'!$C$2:$C$73=$C144),
    0),
    MATCH($G144,'Putt Log'!$E$1:$V$1,0)
  ),
"")</f>
        <v>1</v>
      </c>
      <c r="P144" t="str" cm="1">
        <f t="array" ref="P144">IF(K144=3,"",
  IFERROR(
    INDEX('Fairway Log'!$E$2:$V$73,
      MATCH(1,
        ('Fairway Log'!$A$2:$A$73=$A144)*
        ('Fairway Log'!$B$2:$B$73=$B144)*
        ('Fairway Log'!$C$2:$C215=$C144),
      0),
      MATCH($G144,'Fairway Log'!$E$1:$V$1,0)
    ),
  "")
)</f>
        <v>→</v>
      </c>
      <c r="Q144" t="str" cm="1">
        <f t="array" ref="Q144">IFERROR(
  INDEX('GIR Log'!$E$2:$V$73,
    MATCH(1,
      ('GIR Log'!$A$2:$A$73=$A144)*
      ('GIR Log'!$B$2:$B$73=$B144)*
      ('GIR Log'!$C$2:$C$73=$C144),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Log'!$E$2:$V$73,
    MATCH(1,
      ('Golf Log'!$A$2:$A$73=$A145)*
      ('Golf Log'!$B$2:$B$73=$B145)*
      ('Golf Log'!$C$2:$C$73=$C145),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Log'!$E$2:$V$73,
    MATCH(1,
      ('Putt Log'!$A$2:$A$73=$A145)*
      ('Putt Log'!$B$2:$B$73=$B145)*
      ('Putt Log'!$C$2:$C$73=$C145),
    0),
    MATCH($G145,'Putt Log'!$E$1:$V$1,0)
  ),
"")</f>
        <v>1</v>
      </c>
      <c r="P145" cm="1">
        <f t="array" ref="P145">IF(K145=3,"",
  IFERROR(
    INDEX('Fairway Log'!$E$2:$V$73,
      MATCH(1,
        ('Fairway Log'!$A$2:$A$73=$A145)*
        ('Fairway Log'!$B$2:$B$73=$B145)*
        ('Fairway Log'!$C$2:$C216=$C145),
      0),
      MATCH($G145,'Fairway Log'!$E$1:$V$1,0)
    ),
  "")
)</f>
        <v>1</v>
      </c>
      <c r="Q145" t="str" cm="1">
        <f t="array" ref="Q145">IFERROR(
  INDEX('GIR Log'!$E$2:$V$73,
    MATCH(1,
      ('GIR Log'!$A$2:$A$73=$A145)*
      ('GIR Log'!$B$2:$B$73=$B145)*
      ('GIR Log'!$C$2:$C$73=$C145),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Log'!$E$2:$V$73,
    MATCH(1,
      ('Golf Log'!$A$2:$A$73=$A146)*
      ('Golf Log'!$B$2:$B$73=$B146)*
      ('Golf Log'!$C$2:$C$73=$C146),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Log'!$E$2:$V$73,
    MATCH(1,
      ('Putt Log'!$A$2:$A$73=$A146)*
      ('Putt Log'!$B$2:$B$73=$B146)*
      ('Putt Log'!$C$2:$C$73=$C146),
    0),
    MATCH($G146,'Putt Log'!$E$1:$V$1,0)
  ),
"")</f>
        <v>2</v>
      </c>
      <c r="P146" t="str" cm="1">
        <f t="array" ref="P146">IF(K146=3,"",
  IFERROR(
    INDEX('Fairway Log'!$E$2:$V$73,
      MATCH(1,
        ('Fairway Log'!$A$2:$A$73=$A146)*
        ('Fairway Log'!$B$2:$B$73=$B146)*
        ('Fairway Log'!$C$2:$C217=$C146),
      0),
      MATCH($G146,'Fairway Log'!$E$1:$V$1,0)
    ),
  "")
)</f>
        <v>←</v>
      </c>
      <c r="Q146" cm="1">
        <f t="array" ref="Q146">IFERROR(
  INDEX('GIR Log'!$E$2:$V$73,
    MATCH(1,
      ('GIR Log'!$A$2:$A$73=$A146)*
      ('GIR Log'!$B$2:$B$73=$B146)*
      ('GIR Log'!$C$2:$C$73=$C146),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Log'!$E$2:$V$73,
    MATCH(1,
      ('Golf Log'!$A$2:$A$73=$A147)*
      ('Golf Log'!$B$2:$B$73=$B147)*
      ('Golf Log'!$C$2:$C$73=$C147),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Log'!$E$2:$V$73,
    MATCH(1,
      ('Putt Log'!$A$2:$A$73=$A147)*
      ('Putt Log'!$B$2:$B$73=$B147)*
      ('Putt Log'!$C$2:$C$73=$C147),
    0),
    MATCH($G147,'Putt Log'!$E$1:$V$1,0)
  ),
"")</f>
        <v>2</v>
      </c>
      <c r="P147" t="str" cm="1">
        <f t="array" ref="P147">IF(K147=3,"",
  IFERROR(
    INDEX('Fairway Log'!$E$2:$V$73,
      MATCH(1,
        ('Fairway Log'!$A$2:$A$73=$A147)*
        ('Fairway Log'!$B$2:$B$73=$B147)*
        ('Fairway Log'!$C$2:$C218=$C147),
      0),
      MATCH($G147,'Fairway Log'!$E$1:$V$1,0)
    ),
  "")
)</f>
        <v>→</v>
      </c>
      <c r="Q147" cm="1">
        <f t="array" ref="Q147">IFERROR(
  INDEX('GIR Log'!$E$2:$V$73,
    MATCH(1,
      ('GIR Log'!$A$2:$A$73=$A147)*
      ('GIR Log'!$B$2:$B$73=$B147)*
      ('GIR Log'!$C$2:$C$73=$C147),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Log'!$E$2:$V$73,
    MATCH(1,
      ('Golf Log'!$A$2:$A$73=$A148)*
      ('Golf Log'!$B$2:$B$73=$B148)*
      ('Golf Log'!$C$2:$C$73=$C148),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Log'!$E$2:$V$73,
    MATCH(1,
      ('Putt Log'!$A$2:$A$73=$A148)*
      ('Putt Log'!$B$2:$B$73=$B148)*
      ('Putt Log'!$C$2:$C$73=$C148),
    0),
    MATCH($G148,'Putt Log'!$E$1:$V$1,0)
  ),
"")</f>
        <v>2</v>
      </c>
      <c r="P148" t="str" cm="1">
        <f t="array" ref="P148">IF(K148=3,"",
  IFERROR(
    INDEX('Fairway Log'!$E$2:$V$73,
      MATCH(1,
        ('Fairway Log'!$A$2:$A$73=$A148)*
        ('Fairway Log'!$B$2:$B$73=$B148)*
        ('Fairway Log'!$C$2:$C219=$C148),
      0),
      MATCH($G148,'Fairway Log'!$E$1:$V$1,0)
    ),
  "")
)</f>
        <v/>
      </c>
      <c r="Q148" t="str" cm="1">
        <f t="array" ref="Q148">IFERROR(
  INDEX('GIR Log'!$E$2:$V$73,
    MATCH(1,
      ('GIR Log'!$A$2:$A$73=$A148)*
      ('GIR Log'!$B$2:$B$73=$B148)*
      ('GIR Log'!$C$2:$C$73=$C148),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Log'!$E$2:$V$73,
    MATCH(1,
      ('Golf Log'!$A$2:$A$73=$A149)*
      ('Golf Log'!$B$2:$B$73=$B149)*
      ('Golf Log'!$C$2:$C$73=$C149),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Log'!$E$2:$V$73,
    MATCH(1,
      ('Putt Log'!$A$2:$A$73=$A149)*
      ('Putt Log'!$B$2:$B$73=$B149)*
      ('Putt Log'!$C$2:$C$73=$C149),
    0),
    MATCH($G149,'Putt Log'!$E$1:$V$1,0)
  ),
"")</f>
        <v>1</v>
      </c>
      <c r="P149" t="str" cm="1">
        <f t="array" ref="P149">IF(K149=3,"",
  IFERROR(
    INDEX('Fairway Log'!$E$2:$V$73,
      MATCH(1,
        ('Fairway Log'!$A$2:$A$73=$A149)*
        ('Fairway Log'!$B$2:$B$73=$B149)*
        ('Fairway Log'!$C$2:$C220=$C149),
      0),
      MATCH($G149,'Fairway Log'!$E$1:$V$1,0)
    ),
  "")
)</f>
        <v>→</v>
      </c>
      <c r="Q149" t="str" cm="1">
        <f t="array" ref="Q149">IFERROR(
  INDEX('GIR Log'!$E$2:$V$73,
    MATCH(1,
      ('GIR Log'!$A$2:$A$73=$A149)*
      ('GIR Log'!$B$2:$B$73=$B149)*
      ('GIR Log'!$C$2:$C$73=$C149),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Log'!$E$2:$V$73,
    MATCH(1,
      ('Golf Log'!$A$2:$A$73=$A150)*
      ('Golf Log'!$B$2:$B$73=$B150)*
      ('Golf Log'!$C$2:$C$73=$C150),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Log'!$E$2:$V$73,
    MATCH(1,
      ('Putt Log'!$A$2:$A$73=$A150)*
      ('Putt Log'!$B$2:$B$73=$B150)*
      ('Putt Log'!$C$2:$C$73=$C150),
    0),
    MATCH($G150,'Putt Log'!$E$1:$V$1,0)
  ),
"")</f>
        <v>1</v>
      </c>
      <c r="P150" t="str" cm="1">
        <f t="array" ref="P150">IF(K150=3,"",
  IFERROR(
    INDEX('Fairway Log'!$E$2:$V$73,
      MATCH(1,
        ('Fairway Log'!$A$2:$A$73=$A150)*
        ('Fairway Log'!$B$2:$B$73=$B150)*
        ('Fairway Log'!$C$2:$C221=$C150),
      0),
      MATCH($G150,'Fairway Log'!$E$1:$V$1,0)
    ),
  "")
)</f>
        <v>→</v>
      </c>
      <c r="Q150" t="str" cm="1">
        <f t="array" ref="Q150">IFERROR(
  INDEX('GIR Log'!$E$2:$V$73,
    MATCH(1,
      ('GIR Log'!$A$2:$A$73=$A150)*
      ('GIR Log'!$B$2:$B$73=$B150)*
      ('GIR Log'!$C$2:$C$73=$C150),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Log'!$E$2:$V$73,
    MATCH(1,
      ('Golf Log'!$A$2:$A$73=$A151)*
      ('Golf Log'!$B$2:$B$73=$B151)*
      ('Golf Log'!$C$2:$C$73=$C151),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Log'!$E$2:$V$73,
    MATCH(1,
      ('Putt Log'!$A$2:$A$73=$A151)*
      ('Putt Log'!$B$2:$B$73=$B151)*
      ('Putt Log'!$C$2:$C$73=$C151),
    0),
    MATCH($G151,'Putt Log'!$E$1:$V$1,0)
  ),
"")</f>
        <v>2</v>
      </c>
      <c r="P151" t="str" cm="1">
        <f t="array" ref="P151">IF(K151=3,"",
  IFERROR(
    INDEX('Fairway Log'!$E$2:$V$73,
      MATCH(1,
        ('Fairway Log'!$A$2:$A$73=$A151)*
        ('Fairway Log'!$B$2:$B$73=$B151)*
        ('Fairway Log'!$C$2:$C222=$C151),
      0),
      MATCH($G151,'Fairway Log'!$E$1:$V$1,0)
    ),
  "")
)</f>
        <v/>
      </c>
      <c r="Q151" t="str" cm="1">
        <f t="array" ref="Q151">IFERROR(
  INDEX('GIR Log'!$E$2:$V$73,
    MATCH(1,
      ('GIR Log'!$A$2:$A$73=$A151)*
      ('GIR Log'!$B$2:$B$73=$B151)*
      ('GIR Log'!$C$2:$C$73=$C151),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Log'!$E$2:$V$73,
    MATCH(1,
      ('Golf Log'!$A$2:$A$73=$A152)*
      ('Golf Log'!$B$2:$B$73=$B152)*
      ('Golf Log'!$C$2:$C$73=$C152),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Log'!$E$2:$V$73,
    MATCH(1,
      ('Putt Log'!$A$2:$A$73=$A152)*
      ('Putt Log'!$B$2:$B$73=$B152)*
      ('Putt Log'!$C$2:$C$73=$C152),
    0),
    MATCH($G152,'Putt Log'!$E$1:$V$1,0)
  ),
"")</f>
        <v>1</v>
      </c>
      <c r="P152" cm="1">
        <f t="array" ref="P152">IF(K152=3,"",
  IFERROR(
    INDEX('Fairway Log'!$E$2:$V$73,
      MATCH(1,
        ('Fairway Log'!$A$2:$A$73=$A152)*
        ('Fairway Log'!$B$2:$B$73=$B152)*
        ('Fairway Log'!$C$2:$C223=$C152),
      0),
      MATCH($G152,'Fairway Log'!$E$1:$V$1,0)
    ),
  "")
)</f>
        <v>1</v>
      </c>
      <c r="Q152" t="str" cm="1">
        <f t="array" ref="Q152">IFERROR(
  INDEX('GIR Log'!$E$2:$V$73,
    MATCH(1,
      ('GIR Log'!$A$2:$A$73=$A152)*
      ('GIR Log'!$B$2:$B$73=$B152)*
      ('GIR Log'!$C$2:$C$73=$C152),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Log'!$E$2:$V$73,
    MATCH(1,
      ('Golf Log'!$A$2:$A$73=$A153)*
      ('Golf Log'!$B$2:$B$73=$B153)*
      ('Golf Log'!$C$2:$C$73=$C153),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Log'!$E$2:$V$73,
    MATCH(1,
      ('Putt Log'!$A$2:$A$73=$A153)*
      ('Putt Log'!$B$2:$B$73=$B153)*
      ('Putt Log'!$C$2:$C$73=$C153),
    0),
    MATCH($G153,'Putt Log'!$E$1:$V$1,0)
  ),
"")</f>
        <v>2</v>
      </c>
      <c r="P153" cm="1">
        <f t="array" ref="P153">IF(K153=3,"",
  IFERROR(
    INDEX('Fairway Log'!$E$2:$V$73,
      MATCH(1,
        ('Fairway Log'!$A$2:$A$73=$A153)*
        ('Fairway Log'!$B$2:$B$73=$B153)*
        ('Fairway Log'!$C$2:$C224=$C153),
      0),
      MATCH($G153,'Fairway Log'!$E$1:$V$1,0)
    ),
  "")
)</f>
        <v>1</v>
      </c>
      <c r="Q153" t="str" cm="1">
        <f t="array" ref="Q153">IFERROR(
  INDEX('GIR Log'!$E$2:$V$73,
    MATCH(1,
      ('GIR Log'!$A$2:$A$73=$A153)*
      ('GIR Log'!$B$2:$B$73=$B153)*
      ('GIR Log'!$C$2:$C$73=$C153),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Log'!$E$2:$V$73,
    MATCH(1,
      ('Golf Log'!$A$2:$A$73=$A154)*
      ('Golf Log'!$B$2:$B$73=$B154)*
      ('Golf Log'!$C$2:$C$73=$C154),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Log'!$E$2:$V$73,
    MATCH(1,
      ('Putt Log'!$A$2:$A$73=$A154)*
      ('Putt Log'!$B$2:$B$73=$B154)*
      ('Putt Log'!$C$2:$C$73=$C154),
    0),
    MATCH($G154,'Putt Log'!$E$1:$V$1,0)
  ),
"")</f>
        <v>1</v>
      </c>
      <c r="P154" t="str" cm="1">
        <f t="array" ref="P154">IF(K154=3,"",
  IFERROR(
    INDEX('Fairway Log'!$E$2:$V$73,
      MATCH(1,
        ('Fairway Log'!$A$2:$A$73=$A154)*
        ('Fairway Log'!$B$2:$B$73=$B154)*
        ('Fairway Log'!$C$2:$C225=$C154),
      0),
      MATCH($G154,'Fairway Log'!$E$1:$V$1,0)
    ),
  "")
)</f>
        <v>→</v>
      </c>
      <c r="Q154" t="str" cm="1">
        <f t="array" ref="Q154">IFERROR(
  INDEX('GIR Log'!$E$2:$V$73,
    MATCH(1,
      ('GIR Log'!$A$2:$A$73=$A154)*
      ('GIR Log'!$B$2:$B$73=$B154)*
      ('GIR Log'!$C$2:$C$73=$C154),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Log'!$E$2:$V$73,
    MATCH(1,
      ('Golf Log'!$A$2:$A$73=$A155)*
      ('Golf Log'!$B$2:$B$73=$B155)*
      ('Golf Log'!$C$2:$C$73=$C155),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Log'!$E$2:$V$73,
    MATCH(1,
      ('Putt Log'!$A$2:$A$73=$A155)*
      ('Putt Log'!$B$2:$B$73=$B155)*
      ('Putt Log'!$C$2:$C$73=$C155),
    0),
    MATCH($G155,'Putt Log'!$E$1:$V$1,0)
  ),
"")</f>
        <v>1</v>
      </c>
      <c r="P155" cm="1">
        <f t="array" ref="P155">IF(K155=3,"",
  IFERROR(
    INDEX('Fairway Log'!$E$2:$V$73,
      MATCH(1,
        ('Fairway Log'!$A$2:$A$73=$A155)*
        ('Fairway Log'!$B$2:$B$73=$B155)*
        ('Fairway Log'!$C$2:$C226=$C155),
      0),
      MATCH($G155,'Fairway Log'!$E$1:$V$1,0)
    ),
  "")
)</f>
        <v>1</v>
      </c>
      <c r="Q155" t="str" cm="1">
        <f t="array" ref="Q155">IFERROR(
  INDEX('GIR Log'!$E$2:$V$73,
    MATCH(1,
      ('GIR Log'!$A$2:$A$73=$A155)*
      ('GIR Log'!$B$2:$B$73=$B155)*
      ('GIR Log'!$C$2:$C$73=$C155),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Log'!$E$2:$V$73,
    MATCH(1,
      ('Golf Log'!$A$2:$A$73=$A156)*
      ('Golf Log'!$B$2:$B$73=$B156)*
      ('Golf Log'!$C$2:$C$73=$C156),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Log'!$E$2:$V$73,
    MATCH(1,
      ('Putt Log'!$A$2:$A$73=$A156)*
      ('Putt Log'!$B$2:$B$73=$B156)*
      ('Putt Log'!$C$2:$C$73=$C156),
    0),
    MATCH($G156,'Putt Log'!$E$1:$V$1,0)
  ),
"")</f>
        <v>1</v>
      </c>
      <c r="P156" t="str" cm="1">
        <f t="array" ref="P156">IF(K156=3,"",
  IFERROR(
    INDEX('Fairway Log'!$E$2:$V$73,
      MATCH(1,
        ('Fairway Log'!$A$2:$A$73=$A156)*
        ('Fairway Log'!$B$2:$B$73=$B156)*
        ('Fairway Log'!$C$2:$C227=$C156),
      0),
      MATCH($G156,'Fairway Log'!$E$1:$V$1,0)
    ),
  "")
)</f>
        <v/>
      </c>
      <c r="Q156" cm="1">
        <f t="array" ref="Q156">IFERROR(
  INDEX('GIR Log'!$E$2:$V$73,
    MATCH(1,
      ('GIR Log'!$A$2:$A$73=$A156)*
      ('GIR Log'!$B$2:$B$73=$B156)*
      ('GIR Log'!$C$2:$C$73=$C156),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Log'!$E$2:$V$73,
    MATCH(1,
      ('Golf Log'!$A$2:$A$73=$A157)*
      ('Golf Log'!$B$2:$B$73=$B157)*
      ('Golf Log'!$C$2:$C$73=$C157),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Log'!$E$2:$V$73,
    MATCH(1,
      ('Putt Log'!$A$2:$A$73=$A157)*
      ('Putt Log'!$B$2:$B$73=$B157)*
      ('Putt Log'!$C$2:$C$73=$C157),
    0),
    MATCH($G157,'Putt Log'!$E$1:$V$1,0)
  ),
"")</f>
        <v>2</v>
      </c>
      <c r="P157" cm="1">
        <f t="array" ref="P157">IF(K157=3,"",
  IFERROR(
    INDEX('Fairway Log'!$E$2:$V$73,
      MATCH(1,
        ('Fairway Log'!$A$2:$A$73=$A157)*
        ('Fairway Log'!$B$2:$B$73=$B157)*
        ('Fairway Log'!$C$2:$C228=$C157),
      0),
      MATCH($G157,'Fairway Log'!$E$1:$V$1,0)
    ),
  "")
)</f>
        <v>1</v>
      </c>
      <c r="Q157" cm="1">
        <f t="array" ref="Q157">IFERROR(
  INDEX('GIR Log'!$E$2:$V$73,
    MATCH(1,
      ('GIR Log'!$A$2:$A$73=$A157)*
      ('GIR Log'!$B$2:$B$73=$B157)*
      ('GIR Log'!$C$2:$C$73=$C157),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Log'!$E$2:$V$73,
    MATCH(1,
      ('Golf Log'!$A$2:$A$73=$A158)*
      ('Golf Log'!$B$2:$B$73=$B158)*
      ('Golf Log'!$C$2:$C$73=$C158),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Log'!$E$2:$V$73,
    MATCH(1,
      ('Putt Log'!$A$2:$A$73=$A158)*
      ('Putt Log'!$B$2:$B$73=$B158)*
      ('Putt Log'!$C$2:$C$73=$C158),
    0),
    MATCH($G158,'Putt Log'!$E$1:$V$1,0)
  ),
"")</f>
        <v>2</v>
      </c>
      <c r="P158" t="str" cm="1">
        <f t="array" ref="P158">IF(K158=3,"",
  IFERROR(
    INDEX('Fairway Log'!$E$2:$V$73,
      MATCH(1,
        ('Fairway Log'!$A$2:$A$73=$A158)*
        ('Fairway Log'!$B$2:$B$73=$B158)*
        ('Fairway Log'!$C$2:$C229=$C158),
      0),
      MATCH($G158,'Fairway Log'!$E$1:$V$1,0)
    ),
  "")
)</f>
        <v>→</v>
      </c>
      <c r="Q158" cm="1">
        <f t="array" ref="Q158">IFERROR(
  INDEX('GIR Log'!$E$2:$V$73,
    MATCH(1,
      ('GIR Log'!$A$2:$A$73=$A158)*
      ('GIR Log'!$B$2:$B$73=$B158)*
      ('GIR Log'!$C$2:$C$73=$C158),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Log'!$E$2:$V$73,
    MATCH(1,
      ('Golf Log'!$A$2:$A$73=$A159)*
      ('Golf Log'!$B$2:$B$73=$B159)*
      ('Golf Log'!$C$2:$C$73=$C159),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Log'!$E$2:$V$73,
    MATCH(1,
      ('Putt Log'!$A$2:$A$73=$A159)*
      ('Putt Log'!$B$2:$B$73=$B159)*
      ('Putt Log'!$C$2:$C$73=$C159),
    0),
    MATCH($G159,'Putt Log'!$E$1:$V$1,0)
  ),
"")</f>
        <v>2</v>
      </c>
      <c r="P159" t="str" cm="1">
        <f t="array" ref="P159">IF(K159=3,"",
  IFERROR(
    INDEX('Fairway Log'!$E$2:$V$73,
      MATCH(1,
        ('Fairway Log'!$A$2:$A$73=$A159)*
        ('Fairway Log'!$B$2:$B$73=$B159)*
        ('Fairway Log'!$C$2:$C230=$C159),
      0),
      MATCH($G159,'Fairway Log'!$E$1:$V$1,0)
    ),
  "")
)</f>
        <v>→</v>
      </c>
      <c r="Q159" cm="1">
        <f t="array" ref="Q159">IFERROR(
  INDEX('GIR Log'!$E$2:$V$73,
    MATCH(1,
      ('GIR Log'!$A$2:$A$73=$A159)*
      ('GIR Log'!$B$2:$B$73=$B159)*
      ('GIR Log'!$C$2:$C$73=$C159),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Log'!$E$2:$V$73,
    MATCH(1,
      ('Golf Log'!$A$2:$A$73=$A160)*
      ('Golf Log'!$B$2:$B$73=$B160)*
      ('Golf Log'!$C$2:$C$73=$C160),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Log'!$E$2:$V$73,
    MATCH(1,
      ('Putt Log'!$A$2:$A$73=$A160)*
      ('Putt Log'!$B$2:$B$73=$B160)*
      ('Putt Log'!$C$2:$C$73=$C160),
    0),
    MATCH($G160,'Putt Log'!$E$1:$V$1,0)
  ),
"")</f>
        <v>2</v>
      </c>
      <c r="P160" t="str" cm="1">
        <f t="array" ref="P160">IF(K160=3,"",
  IFERROR(
    INDEX('Fairway Log'!$E$2:$V$73,
      MATCH(1,
        ('Fairway Log'!$A$2:$A$73=$A160)*
        ('Fairway Log'!$B$2:$B$73=$B160)*
        ('Fairway Log'!$C$2:$C231=$C160),
      0),
      MATCH($G160,'Fairway Log'!$E$1:$V$1,0)
    ),
  "")
)</f>
        <v/>
      </c>
      <c r="Q160" cm="1">
        <f t="array" ref="Q160">IFERROR(
  INDEX('GIR Log'!$E$2:$V$73,
    MATCH(1,
      ('GIR Log'!$A$2:$A$73=$A160)*
      ('GIR Log'!$B$2:$B$73=$B160)*
      ('GIR Log'!$C$2:$C$73=$C160),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Log'!$E$2:$V$73,
    MATCH(1,
      ('Golf Log'!$A$2:$A$73=$A161)*
      ('Golf Log'!$B$2:$B$73=$B161)*
      ('Golf Log'!$C$2:$C$73=$C161),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Log'!$E$2:$V$73,
    MATCH(1,
      ('Putt Log'!$A$2:$A$73=$A161)*
      ('Putt Log'!$B$2:$B$73=$B161)*
      ('Putt Log'!$C$2:$C$73=$C161),
    0),
    MATCH($G161,'Putt Log'!$E$1:$V$1,0)
  ),
"")</f>
        <v>1</v>
      </c>
      <c r="P161" cm="1">
        <f t="array" ref="P161">IF(K161=3,"",
  IFERROR(
    INDEX('Fairway Log'!$E$2:$V$73,
      MATCH(1,
        ('Fairway Log'!$A$2:$A$73=$A161)*
        ('Fairway Log'!$B$2:$B$73=$B161)*
        ('Fairway Log'!$C$2:$C232=$C161),
      0),
      MATCH($G161,'Fairway Log'!$E$1:$V$1,0)
    ),
  "")
)</f>
        <v>1</v>
      </c>
      <c r="Q161" cm="1">
        <f t="array" ref="Q161">IFERROR(
  INDEX('GIR Log'!$E$2:$V$73,
    MATCH(1,
      ('GIR Log'!$A$2:$A$73=$A161)*
      ('GIR Log'!$B$2:$B$73=$B161)*
      ('GIR Log'!$C$2:$C$73=$C161),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Log'!$E$2:$V$73,
    MATCH(1,
      ('Golf Log'!$A$2:$A$73=$A162)*
      ('Golf Log'!$B$2:$B$73=$B162)*
      ('Golf Log'!$C$2:$C$73=$C162),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Log'!$E$2:$V$73,
    MATCH(1,
      ('Putt Log'!$A$2:$A$73=$A162)*
      ('Putt Log'!$B$2:$B$73=$B162)*
      ('Putt Log'!$C$2:$C$73=$C162),
    0),
    MATCH($G162,'Putt Log'!$E$1:$V$1,0)
  ),
"")</f>
        <v>2</v>
      </c>
      <c r="P162" cm="1">
        <f t="array" ref="P162">IF(K162=3,"",
  IFERROR(
    INDEX('Fairway Log'!$E$2:$V$73,
      MATCH(1,
        ('Fairway Log'!$A$2:$A$73=$A162)*
        ('Fairway Log'!$B$2:$B$73=$B162)*
        ('Fairway Log'!$C$2:$C233=$C162),
      0),
      MATCH($G162,'Fairway Log'!$E$1:$V$1,0)
    ),
  "")
)</f>
        <v>1</v>
      </c>
      <c r="Q162" cm="1">
        <f t="array" ref="Q162">IFERROR(
  INDEX('GIR Log'!$E$2:$V$73,
    MATCH(1,
      ('GIR Log'!$A$2:$A$73=$A162)*
      ('GIR Log'!$B$2:$B$73=$B162)*
      ('GIR Log'!$C$2:$C$73=$C162),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Log'!$E$2:$V$73,
    MATCH(1,
      ('Golf Log'!$A$2:$A$73=$A163)*
      ('Golf Log'!$B$2:$B$73=$B163)*
      ('Golf Log'!$C$2:$C$73=$C163),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Log'!$E$2:$V$73,
    MATCH(1,
      ('Putt Log'!$A$2:$A$73=$A163)*
      ('Putt Log'!$B$2:$B$73=$B163)*
      ('Putt Log'!$C$2:$C$73=$C163),
    0),
    MATCH($G163,'Putt Log'!$E$1:$V$1,0)
  ),
"")</f>
        <v>2</v>
      </c>
      <c r="P163" t="str" cm="1">
        <f t="array" ref="P163">IF(K163=3,"",
  IFERROR(
    INDEX('Fairway Log'!$E$2:$V$73,
      MATCH(1,
        ('Fairway Log'!$A$2:$A$73=$A163)*
        ('Fairway Log'!$B$2:$B$73=$B163)*
        ('Fairway Log'!$C$2:$C234=$C163),
      0),
      MATCH($G163,'Fairway Log'!$E$1:$V$1,0)
    ),
  "")
)</f>
        <v>→</v>
      </c>
      <c r="Q163" cm="1">
        <f t="array" ref="Q163">IFERROR(
  INDEX('GIR Log'!$E$2:$V$73,
    MATCH(1,
      ('GIR Log'!$A$2:$A$73=$A163)*
      ('GIR Log'!$B$2:$B$73=$B163)*
      ('GIR Log'!$C$2:$C$73=$C163),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Log'!$E$2:$V$73,
    MATCH(1,
      ('Golf Log'!$A$2:$A$73=$A164)*
      ('Golf Log'!$B$2:$B$73=$B164)*
      ('Golf Log'!$C$2:$C$73=$C164),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Log'!$E$2:$V$73,
    MATCH(1,
      ('Putt Log'!$A$2:$A$73=$A164)*
      ('Putt Log'!$B$2:$B$73=$B164)*
      ('Putt Log'!$C$2:$C$73=$C164),
    0),
    MATCH($G164,'Putt Log'!$E$1:$V$1,0)
  ),
"")</f>
        <v>1</v>
      </c>
      <c r="P164" cm="1">
        <f t="array" ref="P164">IF(K164=3,"",
  IFERROR(
    INDEX('Fairway Log'!$E$2:$V$73,
      MATCH(1,
        ('Fairway Log'!$A$2:$A$73=$A164)*
        ('Fairway Log'!$B$2:$B$73=$B164)*
        ('Fairway Log'!$C$2:$C235=$C164),
      0),
      MATCH($G164,'Fairway Log'!$E$1:$V$1,0)
    ),
  "")
)</f>
        <v>1</v>
      </c>
      <c r="Q164" cm="1">
        <f t="array" ref="Q164">IFERROR(
  INDEX('GIR Log'!$E$2:$V$73,
    MATCH(1,
      ('GIR Log'!$A$2:$A$73=$A164)*
      ('GIR Log'!$B$2:$B$73=$B164)*
      ('GIR Log'!$C$2:$C$73=$C164),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Log'!$E$2:$V$73,
    MATCH(1,
      ('Golf Log'!$A$2:$A$73=$A165)*
      ('Golf Log'!$B$2:$B$73=$B165)*
      ('Golf Log'!$C$2:$C$73=$C165),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Log'!$E$2:$V$73,
    MATCH(1,
      ('Putt Log'!$A$2:$A$73=$A165)*
      ('Putt Log'!$B$2:$B$73=$B165)*
      ('Putt Log'!$C$2:$C$73=$C165),
    0),
    MATCH($G165,'Putt Log'!$E$1:$V$1,0)
  ),
"")</f>
        <v>1</v>
      </c>
      <c r="P165" cm="1">
        <f t="array" ref="P165">IF(K165=3,"",
  IFERROR(
    INDEX('Fairway Log'!$E$2:$V$73,
      MATCH(1,
        ('Fairway Log'!$A$2:$A$73=$A165)*
        ('Fairway Log'!$B$2:$B$73=$B165)*
        ('Fairway Log'!$C$2:$C236=$C165),
      0),
      MATCH($G165,'Fairway Log'!$E$1:$V$1,0)
    ),
  "")
)</f>
        <v>1</v>
      </c>
      <c r="Q165" cm="1">
        <f t="array" ref="Q165">IFERROR(
  INDEX('GIR Log'!$E$2:$V$73,
    MATCH(1,
      ('GIR Log'!$A$2:$A$73=$A165)*
      ('GIR Log'!$B$2:$B$73=$B165)*
      ('GIR Log'!$C$2:$C$73=$C165),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Log'!$E$2:$V$73,
    MATCH(1,
      ('Golf Log'!$A$2:$A$73=$A166)*
      ('Golf Log'!$B$2:$B$73=$B166)*
      ('Golf Log'!$C$2:$C$73=$C166),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Log'!$E$2:$V$73,
    MATCH(1,
      ('Putt Log'!$A$2:$A$73=$A166)*
      ('Putt Log'!$B$2:$B$73=$B166)*
      ('Putt Log'!$C$2:$C$73=$C166),
    0),
    MATCH($G166,'Putt Log'!$E$1:$V$1,0)
  ),
"")</f>
        <v>2</v>
      </c>
      <c r="P166" t="str" cm="1">
        <f t="array" ref="P166">IF(K166=3,"",
  IFERROR(
    INDEX('Fairway Log'!$E$2:$V$73,
      MATCH(1,
        ('Fairway Log'!$A$2:$A$73=$A166)*
        ('Fairway Log'!$B$2:$B$73=$B166)*
        ('Fairway Log'!$C$2:$C237=$C166),
      0),
      MATCH($G166,'Fairway Log'!$E$1:$V$1,0)
    ),
  "")
)</f>
        <v/>
      </c>
      <c r="Q166" cm="1">
        <f t="array" ref="Q166">IFERROR(
  INDEX('GIR Log'!$E$2:$V$73,
    MATCH(1,
      ('GIR Log'!$A$2:$A$73=$A166)*
      ('GIR Log'!$B$2:$B$73=$B166)*
      ('GIR Log'!$C$2:$C$73=$C166),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Log'!$E$2:$V$73,
    MATCH(1,
      ('Golf Log'!$A$2:$A$73=$A167)*
      ('Golf Log'!$B$2:$B$73=$B167)*
      ('Golf Log'!$C$2:$C$73=$C167),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Log'!$E$2:$V$73,
    MATCH(1,
      ('Putt Log'!$A$2:$A$73=$A167)*
      ('Putt Log'!$B$2:$B$73=$B167)*
      ('Putt Log'!$C$2:$C$73=$C167),
    0),
    MATCH($G167,'Putt Log'!$E$1:$V$1,0)
  ),
"")</f>
        <v>1</v>
      </c>
      <c r="P167" cm="1">
        <f t="array" ref="P167">IF(K167=3,"",
  IFERROR(
    INDEX('Fairway Log'!$E$2:$V$73,
      MATCH(1,
        ('Fairway Log'!$A$2:$A$73=$A167)*
        ('Fairway Log'!$B$2:$B$73=$B167)*
        ('Fairway Log'!$C$2:$C238=$C167),
      0),
      MATCH($G167,'Fairway Log'!$E$1:$V$1,0)
    ),
  "")
)</f>
        <v>1</v>
      </c>
      <c r="Q167" cm="1">
        <f t="array" ref="Q167">IFERROR(
  INDEX('GIR Log'!$E$2:$V$73,
    MATCH(1,
      ('GIR Log'!$A$2:$A$73=$A167)*
      ('GIR Log'!$B$2:$B$73=$B167)*
      ('GIR Log'!$C$2:$C$73=$C167),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Log'!$E$2:$V$73,
    MATCH(1,
      ('Golf Log'!$A$2:$A$73=$A168)*
      ('Golf Log'!$B$2:$B$73=$B168)*
      ('Golf Log'!$C$2:$C$73=$C168),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Log'!$E$2:$V$73,
    MATCH(1,
      ('Putt Log'!$A$2:$A$73=$A168)*
      ('Putt Log'!$B$2:$B$73=$B168)*
      ('Putt Log'!$C$2:$C$73=$C168),
    0),
    MATCH($G168,'Putt Log'!$E$1:$V$1,0)
  ),
"")</f>
        <v>2</v>
      </c>
      <c r="P168" t="str" cm="1">
        <f t="array" ref="P168">IF(K168=3,"",
  IFERROR(
    INDEX('Fairway Log'!$E$2:$V$73,
      MATCH(1,
        ('Fairway Log'!$A$2:$A$73=$A168)*
        ('Fairway Log'!$B$2:$B$73=$B168)*
        ('Fairway Log'!$C$2:$C239=$C168),
      0),
      MATCH($G168,'Fairway Log'!$E$1:$V$1,0)
    ),
  "")
)</f>
        <v/>
      </c>
      <c r="Q168" cm="1">
        <f t="array" ref="Q168">IFERROR(
  INDEX('GIR Log'!$E$2:$V$73,
    MATCH(1,
      ('GIR Log'!$A$2:$A$73=$A168)*
      ('GIR Log'!$B$2:$B$73=$B168)*
      ('GIR Log'!$C$2:$C$73=$C168),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Log'!$E$2:$V$73,
    MATCH(1,
      ('Golf Log'!$A$2:$A$73=$A169)*
      ('Golf Log'!$B$2:$B$73=$B169)*
      ('Golf Log'!$C$2:$C$73=$C169),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Log'!$E$2:$V$73,
    MATCH(1,
      ('Putt Log'!$A$2:$A$73=$A169)*
      ('Putt Log'!$B$2:$B$73=$B169)*
      ('Putt Log'!$C$2:$C$73=$C169),
    0),
    MATCH($G169,'Putt Log'!$E$1:$V$1,0)
  ),
"")</f>
        <v>2</v>
      </c>
      <c r="P169" t="str" cm="1">
        <f t="array" ref="P169">IF(K169=3,"",
  IFERROR(
    INDEX('Fairway Log'!$E$2:$V$73,
      MATCH(1,
        ('Fairway Log'!$A$2:$A$73=$A169)*
        ('Fairway Log'!$B$2:$B$73=$B169)*
        ('Fairway Log'!$C$2:$C240=$C169),
      0),
      MATCH($G169,'Fairway Log'!$E$1:$V$1,0)
    ),
  "")
)</f>
        <v>→</v>
      </c>
      <c r="Q169" cm="1">
        <f t="array" ref="Q169">IFERROR(
  INDEX('GIR Log'!$E$2:$V$73,
    MATCH(1,
      ('GIR Log'!$A$2:$A$73=$A169)*
      ('GIR Log'!$B$2:$B$73=$B169)*
      ('GIR Log'!$C$2:$C$73=$C169),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Log'!$E$2:$V$73,
    MATCH(1,
      ('Golf Log'!$A$2:$A$73=$A170)*
      ('Golf Log'!$B$2:$B$73=$B170)*
      ('Golf Log'!$C$2:$C$73=$C170),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Log'!$E$2:$V$73,
    MATCH(1,
      ('Putt Log'!$A$2:$A$73=$A170)*
      ('Putt Log'!$B$2:$B$73=$B170)*
      ('Putt Log'!$C$2:$C$73=$C170),
    0),
    MATCH($G170,'Putt Log'!$E$1:$V$1,0)
  ),
"")</f>
        <v>2</v>
      </c>
      <c r="P170" t="str" cm="1">
        <f t="array" ref="P170">IF(K170=3,"",
  IFERROR(
    INDEX('Fairway Log'!$E$2:$V$73,
      MATCH(1,
        ('Fairway Log'!$A$2:$A$73=$A170)*
        ('Fairway Log'!$B$2:$B$73=$B170)*
        ('Fairway Log'!$C$2:$C241=$C170),
      0),
      MATCH($G170,'Fairway Log'!$E$1:$V$1,0)
    ),
  "")
)</f>
        <v>→</v>
      </c>
      <c r="Q170" cm="1">
        <f t="array" ref="Q170">IFERROR(
  INDEX('GIR Log'!$E$2:$V$73,
    MATCH(1,
      ('GIR Log'!$A$2:$A$73=$A170)*
      ('GIR Log'!$B$2:$B$73=$B170)*
      ('GIR Log'!$C$2:$C$73=$C170),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Log'!$E$2:$V$73,
    MATCH(1,
      ('Golf Log'!$A$2:$A$73=$A171)*
      ('Golf Log'!$B$2:$B$73=$B171)*
      ('Golf Log'!$C$2:$C$73=$C171),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Log'!$E$2:$V$73,
    MATCH(1,
      ('Putt Log'!$A$2:$A$73=$A171)*
      ('Putt Log'!$B$2:$B$73=$B171)*
      ('Putt Log'!$C$2:$C$73=$C171),
    0),
    MATCH($G171,'Putt Log'!$E$1:$V$1,0)
  ),
"")</f>
        <v>2</v>
      </c>
      <c r="P171" t="str" cm="1">
        <f t="array" ref="P171">IF(K171=3,"",
  IFERROR(
    INDEX('Fairway Log'!$E$2:$V$73,
      MATCH(1,
        ('Fairway Log'!$A$2:$A$73=$A171)*
        ('Fairway Log'!$B$2:$B$73=$B171)*
        ('Fairway Log'!$C$2:$C242=$C171),
      0),
      MATCH($G171,'Fairway Log'!$E$1:$V$1,0)
    ),
  "")
)</f>
        <v>→</v>
      </c>
      <c r="Q171" cm="1">
        <f t="array" ref="Q171">IFERROR(
  INDEX('GIR Log'!$E$2:$V$73,
    MATCH(1,
      ('GIR Log'!$A$2:$A$73=$A171)*
      ('GIR Log'!$B$2:$B$73=$B171)*
      ('GIR Log'!$C$2:$C$73=$C171),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Log'!$E$2:$V$73,
    MATCH(1,
      ('Golf Log'!$A$2:$A$73=$A172)*
      ('Golf Log'!$B$2:$B$73=$B172)*
      ('Golf Log'!$C$2:$C$73=$C172),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Log'!$E$2:$V$73,
    MATCH(1,
      ('Putt Log'!$A$2:$A$73=$A172)*
      ('Putt Log'!$B$2:$B$73=$B172)*
      ('Putt Log'!$C$2:$C$73=$C172),
    0),
    MATCH($G172,'Putt Log'!$E$1:$V$1,0)
  ),
"")</f>
        <v>2</v>
      </c>
      <c r="P172" cm="1">
        <f t="array" ref="P172">IF(K172=3,"",
  IFERROR(
    INDEX('Fairway Log'!$E$2:$V$73,
      MATCH(1,
        ('Fairway Log'!$A$2:$A$73=$A172)*
        ('Fairway Log'!$B$2:$B$73=$B172)*
        ('Fairway Log'!$C$2:$C243=$C172),
      0),
      MATCH($G172,'Fairway Log'!$E$1:$V$1,0)
    ),
  "")
)</f>
        <v>1</v>
      </c>
      <c r="Q172" cm="1">
        <f t="array" ref="Q172">IFERROR(
  INDEX('GIR Log'!$E$2:$V$73,
    MATCH(1,
      ('GIR Log'!$A$2:$A$73=$A172)*
      ('GIR Log'!$B$2:$B$73=$B172)*
      ('GIR Log'!$C$2:$C$73=$C172),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Log'!$E$2:$V$73,
    MATCH(1,
      ('Golf Log'!$A$2:$A$73=$A173)*
      ('Golf Log'!$B$2:$B$73=$B173)*
      ('Golf Log'!$C$2:$C$73=$C173),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Log'!$E$2:$V$73,
    MATCH(1,
      ('Putt Log'!$A$2:$A$73=$A173)*
      ('Putt Log'!$B$2:$B$73=$B173)*
      ('Putt Log'!$C$2:$C$73=$C173),
    0),
    MATCH($G173,'Putt Log'!$E$1:$V$1,0)
  ),
"")</f>
        <v>2</v>
      </c>
      <c r="P173" t="str" cm="1">
        <f t="array" ref="P173">IF(K173=3,"",
  IFERROR(
    INDEX('Fairway Log'!$E$2:$V$73,
      MATCH(1,
        ('Fairway Log'!$A$2:$A$73=$A173)*
        ('Fairway Log'!$B$2:$B$73=$B173)*
        ('Fairway Log'!$C$2:$C244=$C173),
      0),
      MATCH($G173,'Fairway Log'!$E$1:$V$1,0)
    ),
  "")
)</f>
        <v>←</v>
      </c>
      <c r="Q173" cm="1">
        <f t="array" ref="Q173">IFERROR(
  INDEX('GIR Log'!$E$2:$V$73,
    MATCH(1,
      ('GIR Log'!$A$2:$A$73=$A173)*
      ('GIR Log'!$B$2:$B$73=$B173)*
      ('GIR Log'!$C$2:$C$73=$C173),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Log'!$E$2:$V$73,
    MATCH(1,
      ('Golf Log'!$A$2:$A$73=$A174)*
      ('Golf Log'!$B$2:$B$73=$B174)*
      ('Golf Log'!$C$2:$C$73=$C174),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Log'!$E$2:$V$73,
    MATCH(1,
      ('Putt Log'!$A$2:$A$73=$A174)*
      ('Putt Log'!$B$2:$B$73=$B174)*
      ('Putt Log'!$C$2:$C$73=$C174),
    0),
    MATCH($G174,'Putt Log'!$E$1:$V$1,0)
  ),
"")</f>
        <v>1</v>
      </c>
      <c r="P174" t="str" cm="1">
        <f t="array" ref="P174">IF(K174=3,"",
  IFERROR(
    INDEX('Fairway Log'!$E$2:$V$73,
      MATCH(1,
        ('Fairway Log'!$A$2:$A$73=$A174)*
        ('Fairway Log'!$B$2:$B$73=$B174)*
        ('Fairway Log'!$C$2:$C245=$C174),
      0),
      MATCH($G174,'Fairway Log'!$E$1:$V$1,0)
    ),
  "")
)</f>
        <v>←</v>
      </c>
      <c r="Q174" cm="1">
        <f t="array" ref="Q174">IFERROR(
  INDEX('GIR Log'!$E$2:$V$73,
    MATCH(1,
      ('GIR Log'!$A$2:$A$73=$A174)*
      ('GIR Log'!$B$2:$B$73=$B174)*
      ('GIR Log'!$C$2:$C$73=$C174),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Log'!$E$2:$V$73,
    MATCH(1,
      ('Golf Log'!$A$2:$A$73=$A175)*
      ('Golf Log'!$B$2:$B$73=$B175)*
      ('Golf Log'!$C$2:$C$73=$C175),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Log'!$E$2:$V$73,
    MATCH(1,
      ('Putt Log'!$A$2:$A$73=$A175)*
      ('Putt Log'!$B$2:$B$73=$B175)*
      ('Putt Log'!$C$2:$C$73=$C175),
    0),
    MATCH($G175,'Putt Log'!$E$1:$V$1,0)
  ),
"")</f>
        <v>2</v>
      </c>
      <c r="P175" cm="1">
        <f t="array" ref="P175">IF(K175=3,"",
  IFERROR(
    INDEX('Fairway Log'!$E$2:$V$73,
      MATCH(1,
        ('Fairway Log'!$A$2:$A$73=$A175)*
        ('Fairway Log'!$B$2:$B$73=$B175)*
        ('Fairway Log'!$C$2:$C246=$C175),
      0),
      MATCH($G175,'Fairway Log'!$E$1:$V$1,0)
    ),
  "")
)</f>
        <v>1</v>
      </c>
      <c r="Q175" cm="1">
        <f t="array" ref="Q175">IFERROR(
  INDEX('GIR Log'!$E$2:$V$73,
    MATCH(1,
      ('GIR Log'!$A$2:$A$73=$A175)*
      ('GIR Log'!$B$2:$B$73=$B175)*
      ('GIR Log'!$C$2:$C$73=$C175),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Log'!$E$2:$V$73,
    MATCH(1,
      ('Golf Log'!$A$2:$A$73=$A176)*
      ('Golf Log'!$B$2:$B$73=$B176)*
      ('Golf Log'!$C$2:$C$73=$C176),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Log'!$E$2:$V$73,
    MATCH(1,
      ('Putt Log'!$A$2:$A$73=$A176)*
      ('Putt Log'!$B$2:$B$73=$B176)*
      ('Putt Log'!$C$2:$C$73=$C176),
    0),
    MATCH($G176,'Putt Log'!$E$1:$V$1,0)
  ),
"")</f>
        <v>1</v>
      </c>
      <c r="P176" cm="1">
        <f t="array" ref="P176">IF(K176=3,"",
  IFERROR(
    INDEX('Fairway Log'!$E$2:$V$73,
      MATCH(1,
        ('Fairway Log'!$A$2:$A$73=$A176)*
        ('Fairway Log'!$B$2:$B$73=$B176)*
        ('Fairway Log'!$C$2:$C247=$C176),
      0),
      MATCH($G176,'Fairway Log'!$E$1:$V$1,0)
    ),
  "")
)</f>
        <v>1</v>
      </c>
      <c r="Q176" cm="1">
        <f t="array" ref="Q176">IFERROR(
  INDEX('GIR Log'!$E$2:$V$73,
    MATCH(1,
      ('GIR Log'!$A$2:$A$73=$A176)*
      ('GIR Log'!$B$2:$B$73=$B176)*
      ('GIR Log'!$C$2:$C$73=$C176),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Log'!$E$2:$V$73,
    MATCH(1,
      ('Golf Log'!$A$2:$A$73=$A177)*
      ('Golf Log'!$B$2:$B$73=$B177)*
      ('Golf Log'!$C$2:$C$73=$C177),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Log'!$E$2:$V$73,
    MATCH(1,
      ('Putt Log'!$A$2:$A$73=$A177)*
      ('Putt Log'!$B$2:$B$73=$B177)*
      ('Putt Log'!$C$2:$C$73=$C177),
    0),
    MATCH($G177,'Putt Log'!$E$1:$V$1,0)
  ),
"")</f>
        <v>1</v>
      </c>
      <c r="P177" t="str" cm="1">
        <f t="array" ref="P177">IF(K177=3,"",
  IFERROR(
    INDEX('Fairway Log'!$E$2:$V$73,
      MATCH(1,
        ('Fairway Log'!$A$2:$A$73=$A177)*
        ('Fairway Log'!$B$2:$B$73=$B177)*
        ('Fairway Log'!$C$2:$C248=$C177),
      0),
      MATCH($G177,'Fairway Log'!$E$1:$V$1,0)
    ),
  "")
)</f>
        <v/>
      </c>
      <c r="Q177" cm="1">
        <f t="array" ref="Q177">IFERROR(
  INDEX('GIR Log'!$E$2:$V$73,
    MATCH(1,
      ('GIR Log'!$A$2:$A$73=$A177)*
      ('GIR Log'!$B$2:$B$73=$B177)*
      ('GIR Log'!$C$2:$C$73=$C177),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Log'!$E$2:$V$73,
    MATCH(1,
      ('Golf Log'!$A$2:$A$73=$A178)*
      ('Golf Log'!$B$2:$B$73=$B178)*
      ('Golf Log'!$C$2:$C$73=$C178),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Log'!$E$2:$V$73,
    MATCH(1,
      ('Putt Log'!$A$2:$A$73=$A178)*
      ('Putt Log'!$B$2:$B$73=$B178)*
      ('Putt Log'!$C$2:$C$73=$C178),
    0),
    MATCH($G178,'Putt Log'!$E$1:$V$1,0)
  ),
"")</f>
        <v>1</v>
      </c>
      <c r="P178" t="str" cm="1">
        <f t="array" ref="P178">IF(K178=3,"",
  IFERROR(
    INDEX('Fairway Log'!$E$2:$V$73,
      MATCH(1,
        ('Fairway Log'!$A$2:$A$73=$A178)*
        ('Fairway Log'!$B$2:$B$73=$B178)*
        ('Fairway Log'!$C$2:$C249=$C178),
      0),
      MATCH($G178,'Fairway Log'!$E$1:$V$1,0)
    ),
  "")
)</f>
        <v>→</v>
      </c>
      <c r="Q178" cm="1">
        <f t="array" ref="Q178">IFERROR(
  INDEX('GIR Log'!$E$2:$V$73,
    MATCH(1,
      ('GIR Log'!$A$2:$A$73=$A178)*
      ('GIR Log'!$B$2:$B$73=$B178)*
      ('GIR Log'!$C$2:$C$73=$C178),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Log'!$E$2:$V$73,
    MATCH(1,
      ('Golf Log'!$A$2:$A$73=$A179)*
      ('Golf Log'!$B$2:$B$73=$B179)*
      ('Golf Log'!$C$2:$C$73=$C179),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Log'!$E$2:$V$73,
    MATCH(1,
      ('Putt Log'!$A$2:$A$73=$A179)*
      ('Putt Log'!$B$2:$B$73=$B179)*
      ('Putt Log'!$C$2:$C$73=$C179),
    0),
    MATCH($G179,'Putt Log'!$E$1:$V$1,0)
  ),
"")</f>
        <v>1</v>
      </c>
      <c r="P179" cm="1">
        <f t="array" ref="P179">IF(K179=3,"",
  IFERROR(
    INDEX('Fairway Log'!$E$2:$V$73,
      MATCH(1,
        ('Fairway Log'!$A$2:$A$73=$A179)*
        ('Fairway Log'!$B$2:$B$73=$B179)*
        ('Fairway Log'!$C$2:$C250=$C179),
      0),
      MATCH($G179,'Fairway Log'!$E$1:$V$1,0)
    ),
  "")
)</f>
        <v>1</v>
      </c>
      <c r="Q179" cm="1">
        <f t="array" ref="Q179">IFERROR(
  INDEX('GIR Log'!$E$2:$V$73,
    MATCH(1,
      ('GIR Log'!$A$2:$A$73=$A179)*
      ('GIR Log'!$B$2:$B$73=$B179)*
      ('GIR Log'!$C$2:$C$73=$C179),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Log'!$E$2:$V$73,
    MATCH(1,
      ('Golf Log'!$A$2:$A$73=$A180)*
      ('Golf Log'!$B$2:$B$73=$B180)*
      ('Golf Log'!$C$2:$C$73=$C180),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Log'!$E$2:$V$73,
    MATCH(1,
      ('Putt Log'!$A$2:$A$73=$A180)*
      ('Putt Log'!$B$2:$B$73=$B180)*
      ('Putt Log'!$C$2:$C$73=$C180),
    0),
    MATCH($G180,'Putt Log'!$E$1:$V$1,0)
  ),
"")</f>
        <v>1</v>
      </c>
      <c r="P180" cm="1">
        <f t="array" ref="P180">IF(K180=3,"",
  IFERROR(
    INDEX('Fairway Log'!$E$2:$V$73,
      MATCH(1,
        ('Fairway Log'!$A$2:$A$73=$A180)*
        ('Fairway Log'!$B$2:$B$73=$B180)*
        ('Fairway Log'!$C$2:$C251=$C180),
      0),
      MATCH($G180,'Fairway Log'!$E$1:$V$1,0)
    ),
  "")
)</f>
        <v>1</v>
      </c>
      <c r="Q180" cm="1">
        <f t="array" ref="Q180">IFERROR(
  INDEX('GIR Log'!$E$2:$V$73,
    MATCH(1,
      ('GIR Log'!$A$2:$A$73=$A180)*
      ('GIR Log'!$B$2:$B$73=$B180)*
      ('GIR Log'!$C$2:$C$73=$C180),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Log'!$E$2:$V$73,
    MATCH(1,
      ('Golf Log'!$A$2:$A$73=$A181)*
      ('Golf Log'!$B$2:$B$73=$B181)*
      ('Golf Log'!$C$2:$C$73=$C181),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Log'!$E$2:$V$73,
    MATCH(1,
      ('Putt Log'!$A$2:$A$73=$A181)*
      ('Putt Log'!$B$2:$B$73=$B181)*
      ('Putt Log'!$C$2:$C$73=$C181),
    0),
    MATCH($G181,'Putt Log'!$E$1:$V$1,0)
  ),
"")</f>
        <v>2</v>
      </c>
      <c r="P181" cm="1">
        <f t="array" ref="P181">IF(K181=3,"",
  IFERROR(
    INDEX('Fairway Log'!$E$2:$V$73,
      MATCH(1,
        ('Fairway Log'!$A$2:$A$73=$A181)*
        ('Fairway Log'!$B$2:$B$73=$B181)*
        ('Fairway Log'!$C$2:$C252=$C181),
      0),
      MATCH($G181,'Fairway Log'!$E$1:$V$1,0)
    ),
  "")
)</f>
        <v>1</v>
      </c>
      <c r="Q181" cm="1">
        <f t="array" ref="Q181">IFERROR(
  INDEX('GIR Log'!$E$2:$V$73,
    MATCH(1,
      ('GIR Log'!$A$2:$A$73=$A181)*
      ('GIR Log'!$B$2:$B$73=$B181)*
      ('GIR Log'!$C$2:$C$73=$C181),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Log'!$E$2:$V$73,
    MATCH(1,
      ('Golf Log'!$A$2:$A$73=$A182)*
      ('Golf Log'!$B$2:$B$73=$B182)*
      ('Golf Log'!$C$2:$C$73=$C182),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Log'!$E$2:$V$73,
    MATCH(1,
      ('Putt Log'!$A$2:$A$73=$A182)*
      ('Putt Log'!$B$2:$B$73=$B182)*
      ('Putt Log'!$C$2:$C$73=$C182),
    0),
    MATCH($G182,'Putt Log'!$E$1:$V$1,0)
  ),
"")</f>
        <v>2</v>
      </c>
      <c r="P182" cm="1">
        <f t="array" ref="P182">IF(K182=3,"",
  IFERROR(
    INDEX('Fairway Log'!$E$2:$V$73,
      MATCH(1,
        ('Fairway Log'!$A$2:$A$73=$A182)*
        ('Fairway Log'!$B$2:$B$73=$B182)*
        ('Fairway Log'!$C$2:$C253=$C182),
      0),
      MATCH($G182,'Fairway Log'!$E$1:$V$1,0)
    ),
  "")
)</f>
        <v>1</v>
      </c>
      <c r="Q182" t="str" cm="1">
        <f t="array" ref="Q182">IFERROR(
  INDEX('GIR Log'!$E$2:$V$73,
    MATCH(1,
      ('GIR Log'!$A$2:$A$73=$A182)*
      ('GIR Log'!$B$2:$B$73=$B182)*
      ('GIR Log'!$C$2:$C$73=$C182),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Log'!$E$2:$V$73,
    MATCH(1,
      ('Golf Log'!$A$2:$A$73=$A183)*
      ('Golf Log'!$B$2:$B$73=$B183)*
      ('Golf Log'!$C$2:$C$73=$C183),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Log'!$E$2:$V$73,
    MATCH(1,
      ('Putt Log'!$A$2:$A$73=$A183)*
      ('Putt Log'!$B$2:$B$73=$B183)*
      ('Putt Log'!$C$2:$C$73=$C183),
    0),
    MATCH($G183,'Putt Log'!$E$1:$V$1,0)
  ),
"")</f>
        <v>2</v>
      </c>
      <c r="P183" t="str" cm="1">
        <f t="array" ref="P183">IF(K183=3,"",
  IFERROR(
    INDEX('Fairway Log'!$E$2:$V$73,
      MATCH(1,
        ('Fairway Log'!$A$2:$A$73=$A183)*
        ('Fairway Log'!$B$2:$B$73=$B183)*
        ('Fairway Log'!$C$2:$C254=$C183),
      0),
      MATCH($G183,'Fairway Log'!$E$1:$V$1,0)
    ),
  "")
)</f>
        <v>→</v>
      </c>
      <c r="Q183" cm="1">
        <f t="array" ref="Q183">IFERROR(
  INDEX('GIR Log'!$E$2:$V$73,
    MATCH(1,
      ('GIR Log'!$A$2:$A$73=$A183)*
      ('GIR Log'!$B$2:$B$73=$B183)*
      ('GIR Log'!$C$2:$C$73=$C183),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Log'!$E$2:$V$73,
    MATCH(1,
      ('Golf Log'!$A$2:$A$73=$A184)*
      ('Golf Log'!$B$2:$B$73=$B184)*
      ('Golf Log'!$C$2:$C$73=$C184),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Log'!$E$2:$V$73,
    MATCH(1,
      ('Putt Log'!$A$2:$A$73=$A184)*
      ('Putt Log'!$B$2:$B$73=$B184)*
      ('Putt Log'!$C$2:$C$73=$C184),
    0),
    MATCH($G184,'Putt Log'!$E$1:$V$1,0)
  ),
"")</f>
        <v>2</v>
      </c>
      <c r="P184" t="str" cm="1">
        <f t="array" ref="P184">IF(K184=3,"",
  IFERROR(
    INDEX('Fairway Log'!$E$2:$V$73,
      MATCH(1,
        ('Fairway Log'!$A$2:$A$73=$A184)*
        ('Fairway Log'!$B$2:$B$73=$B184)*
        ('Fairway Log'!$C$2:$C255=$C184),
      0),
      MATCH($G184,'Fairway Log'!$E$1:$V$1,0)
    ),
  "")
)</f>
        <v/>
      </c>
      <c r="Q184" t="str" cm="1">
        <f t="array" ref="Q184">IFERROR(
  INDEX('GIR Log'!$E$2:$V$73,
    MATCH(1,
      ('GIR Log'!$A$2:$A$73=$A184)*
      ('GIR Log'!$B$2:$B$73=$B184)*
      ('GIR Log'!$C$2:$C$73=$C184),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Log'!$E$2:$V$73,
    MATCH(1,
      ('Golf Log'!$A$2:$A$73=$A185)*
      ('Golf Log'!$B$2:$B$73=$B185)*
      ('Golf Log'!$C$2:$C$73=$C185),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Log'!$E$2:$V$73,
    MATCH(1,
      ('Putt Log'!$A$2:$A$73=$A185)*
      ('Putt Log'!$B$2:$B$73=$B185)*
      ('Putt Log'!$C$2:$C$73=$C185),
    0),
    MATCH($G185,'Putt Log'!$E$1:$V$1,0)
  ),
"")</f>
        <v>2</v>
      </c>
      <c r="P185" cm="1">
        <f t="array" ref="P185">IF(K185=3,"",
  IFERROR(
    INDEX('Fairway Log'!$E$2:$V$73,
      MATCH(1,
        ('Fairway Log'!$A$2:$A$73=$A185)*
        ('Fairway Log'!$B$2:$B$73=$B185)*
        ('Fairway Log'!$C$2:$C256=$C185),
      0),
      MATCH($G185,'Fairway Log'!$E$1:$V$1,0)
    ),
  "")
)</f>
        <v>1</v>
      </c>
      <c r="Q185" cm="1">
        <f t="array" ref="Q185">IFERROR(
  INDEX('GIR Log'!$E$2:$V$73,
    MATCH(1,
      ('GIR Log'!$A$2:$A$73=$A185)*
      ('GIR Log'!$B$2:$B$73=$B185)*
      ('GIR Log'!$C$2:$C$73=$C185),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Log'!$E$2:$V$73,
    MATCH(1,
      ('Golf Log'!$A$2:$A$73=$A186)*
      ('Golf Log'!$B$2:$B$73=$B186)*
      ('Golf Log'!$C$2:$C$73=$C186),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Log'!$E$2:$V$73,
    MATCH(1,
      ('Putt Log'!$A$2:$A$73=$A186)*
      ('Putt Log'!$B$2:$B$73=$B186)*
      ('Putt Log'!$C$2:$C$73=$C186),
    0),
    MATCH($G186,'Putt Log'!$E$1:$V$1,0)
  ),
"")</f>
        <v>1</v>
      </c>
      <c r="P186" t="str" cm="1">
        <f t="array" ref="P186">IF(K186=3,"",
  IFERROR(
    INDEX('Fairway Log'!$E$2:$V$73,
      MATCH(1,
        ('Fairway Log'!$A$2:$A$73=$A186)*
        ('Fairway Log'!$B$2:$B$73=$B186)*
        ('Fairway Log'!$C$2:$C257=$C186),
      0),
      MATCH($G186,'Fairway Log'!$E$1:$V$1,0)
    ),
  "")
)</f>
        <v/>
      </c>
      <c r="Q186" t="str" cm="1">
        <f t="array" ref="Q186">IFERROR(
  INDEX('GIR Log'!$E$2:$V$73,
    MATCH(1,
      ('GIR Log'!$A$2:$A$73=$A186)*
      ('GIR Log'!$B$2:$B$73=$B186)*
      ('GIR Log'!$C$2:$C$73=$C186),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Log'!$E$2:$V$73,
    MATCH(1,
      ('Golf Log'!$A$2:$A$73=$A187)*
      ('Golf Log'!$B$2:$B$73=$B187)*
      ('Golf Log'!$C$2:$C$73=$C187),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Log'!$E$2:$V$73,
    MATCH(1,
      ('Putt Log'!$A$2:$A$73=$A187)*
      ('Putt Log'!$B$2:$B$73=$B187)*
      ('Putt Log'!$C$2:$C$73=$C187),
    0),
    MATCH($G187,'Putt Log'!$E$1:$V$1,0)
  ),
"")</f>
        <v>1</v>
      </c>
      <c r="P187" t="str" cm="1">
        <f t="array" ref="P187">IF(K187=3,"",
  IFERROR(
    INDEX('Fairway Log'!$E$2:$V$73,
      MATCH(1,
        ('Fairway Log'!$A$2:$A$73=$A187)*
        ('Fairway Log'!$B$2:$B$73=$B187)*
        ('Fairway Log'!$C$2:$C258=$C187),
      0),
      MATCH($G187,'Fairway Log'!$E$1:$V$1,0)
    ),
  "")
)</f>
        <v>←</v>
      </c>
      <c r="Q187" t="str" cm="1">
        <f t="array" ref="Q187">IFERROR(
  INDEX('GIR Log'!$E$2:$V$73,
    MATCH(1,
      ('GIR Log'!$A$2:$A$73=$A187)*
      ('GIR Log'!$B$2:$B$73=$B187)*
      ('GIR Log'!$C$2:$C$73=$C187),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Log'!$E$2:$V$73,
    MATCH(1,
      ('Golf Log'!$A$2:$A$73=$A188)*
      ('Golf Log'!$B$2:$B$73=$B188)*
      ('Golf Log'!$C$2:$C$73=$C188),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Log'!$E$2:$V$73,
    MATCH(1,
      ('Putt Log'!$A$2:$A$73=$A188)*
      ('Putt Log'!$B$2:$B$73=$B188)*
      ('Putt Log'!$C$2:$C$73=$C188),
    0),
    MATCH($G188,'Putt Log'!$E$1:$V$1,0)
  ),
"")</f>
        <v>1</v>
      </c>
      <c r="P188" t="str" cm="1">
        <f t="array" ref="P188">IF(K188=3,"",
  IFERROR(
    INDEX('Fairway Log'!$E$2:$V$73,
      MATCH(1,
        ('Fairway Log'!$A$2:$A$73=$A188)*
        ('Fairway Log'!$B$2:$B$73=$B188)*
        ('Fairway Log'!$C$2:$C259=$C188),
      0),
      MATCH($G188,'Fairway Log'!$E$1:$V$1,0)
    ),
  "")
)</f>
        <v>→</v>
      </c>
      <c r="Q188" t="str" cm="1">
        <f t="array" ref="Q188">IFERROR(
  INDEX('GIR Log'!$E$2:$V$73,
    MATCH(1,
      ('GIR Log'!$A$2:$A$73=$A188)*
      ('GIR Log'!$B$2:$B$73=$B188)*
      ('GIR Log'!$C$2:$C$73=$C188),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Log'!$E$2:$V$73,
    MATCH(1,
      ('Golf Log'!$A$2:$A$73=$A189)*
      ('Golf Log'!$B$2:$B$73=$B189)*
      ('Golf Log'!$C$2:$C$73=$C189),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Log'!$E$2:$V$73,
    MATCH(1,
      ('Putt Log'!$A$2:$A$73=$A189)*
      ('Putt Log'!$B$2:$B$73=$B189)*
      ('Putt Log'!$C$2:$C$73=$C189),
    0),
    MATCH($G189,'Putt Log'!$E$1:$V$1,0)
  ),
"")</f>
        <v>1</v>
      </c>
      <c r="P189" t="str" cm="1">
        <f t="array" ref="P189">IF(K189=3,"",
  IFERROR(
    INDEX('Fairway Log'!$E$2:$V$73,
      MATCH(1,
        ('Fairway Log'!$A$2:$A$73=$A189)*
        ('Fairway Log'!$B$2:$B$73=$B189)*
        ('Fairway Log'!$C$2:$C260=$C189),
      0),
      MATCH($G189,'Fairway Log'!$E$1:$V$1,0)
    ),
  "")
)</f>
        <v>→</v>
      </c>
      <c r="Q189" t="str" cm="1">
        <f t="array" ref="Q189">IFERROR(
  INDEX('GIR Log'!$E$2:$V$73,
    MATCH(1,
      ('GIR Log'!$A$2:$A$73=$A189)*
      ('GIR Log'!$B$2:$B$73=$B189)*
      ('GIR Log'!$C$2:$C$73=$C189),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Log'!$E$2:$V$73,
    MATCH(1,
      ('Golf Log'!$A$2:$A$73=$A190)*
      ('Golf Log'!$B$2:$B$73=$B190)*
      ('Golf Log'!$C$2:$C$73=$C190),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Log'!$E$2:$V$73,
    MATCH(1,
      ('Putt Log'!$A$2:$A$73=$A190)*
      ('Putt Log'!$B$2:$B$73=$B190)*
      ('Putt Log'!$C$2:$C$73=$C190),
    0),
    MATCH($G190,'Putt Log'!$E$1:$V$1,0)
  ),
"")</f>
        <v>2</v>
      </c>
      <c r="P190" cm="1">
        <f t="array" ref="P190">IF(K190=3,"",
  IFERROR(
    INDEX('Fairway Log'!$E$2:$V$73,
      MATCH(1,
        ('Fairway Log'!$A$2:$A$73=$A190)*
        ('Fairway Log'!$B$2:$B$73=$B190)*
        ('Fairway Log'!$C$2:$C261=$C190),
      0),
      MATCH($G190,'Fairway Log'!$E$1:$V$1,0)
    ),
  "")
)</f>
        <v>1</v>
      </c>
      <c r="Q190" t="str" cm="1">
        <f t="array" ref="Q190">IFERROR(
  INDEX('GIR Log'!$E$2:$V$73,
    MATCH(1,
      ('GIR Log'!$A$2:$A$73=$A190)*
      ('GIR Log'!$B$2:$B$73=$B190)*
      ('GIR Log'!$C$2:$C$73=$C190),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Log'!$E$2:$V$73,
    MATCH(1,
      ('Golf Log'!$A$2:$A$73=$A191)*
      ('Golf Log'!$B$2:$B$73=$B191)*
      ('Golf Log'!$C$2:$C$73=$C191),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Log'!$E$2:$V$73,
    MATCH(1,
      ('Putt Log'!$A$2:$A$73=$A191)*
      ('Putt Log'!$B$2:$B$73=$B191)*
      ('Putt Log'!$C$2:$C$73=$C191),
    0),
    MATCH($G191,'Putt Log'!$E$1:$V$1,0)
  ),
"")</f>
        <v>2</v>
      </c>
      <c r="P191" cm="1">
        <f t="array" ref="P191">IF(K191=3,"",
  IFERROR(
    INDEX('Fairway Log'!$E$2:$V$73,
      MATCH(1,
        ('Fairway Log'!$A$2:$A$73=$A191)*
        ('Fairway Log'!$B$2:$B$73=$B191)*
        ('Fairway Log'!$C$2:$C262=$C191),
      0),
      MATCH($G191,'Fairway Log'!$E$1:$V$1,0)
    ),
  "")
)</f>
        <v>1</v>
      </c>
      <c r="Q191" cm="1">
        <f t="array" ref="Q191">IFERROR(
  INDEX('GIR Log'!$E$2:$V$73,
    MATCH(1,
      ('GIR Log'!$A$2:$A$73=$A191)*
      ('GIR Log'!$B$2:$B$73=$B191)*
      ('GIR Log'!$C$2:$C$73=$C191),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Log'!$E$2:$V$73,
    MATCH(1,
      ('Golf Log'!$A$2:$A$73=$A192)*
      ('Golf Log'!$B$2:$B$73=$B192)*
      ('Golf Log'!$C$2:$C$73=$C192),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Log'!$E$2:$V$73,
    MATCH(1,
      ('Putt Log'!$A$2:$A$73=$A192)*
      ('Putt Log'!$B$2:$B$73=$B192)*
      ('Putt Log'!$C$2:$C$73=$C192),
    0),
    MATCH($G192,'Putt Log'!$E$1:$V$1,0)
  ),
"")</f>
        <v>2</v>
      </c>
      <c r="P192" cm="1">
        <f t="array" ref="P192">IF(K192=3,"",
  IFERROR(
    INDEX('Fairway Log'!$E$2:$V$73,
      MATCH(1,
        ('Fairway Log'!$A$2:$A$73=$A192)*
        ('Fairway Log'!$B$2:$B$73=$B192)*
        ('Fairway Log'!$C$2:$C263=$C192),
      0),
      MATCH($G192,'Fairway Log'!$E$1:$V$1,0)
    ),
  "")
)</f>
        <v>1</v>
      </c>
      <c r="Q192" t="str" cm="1">
        <f t="array" ref="Q192">IFERROR(
  INDEX('GIR Log'!$E$2:$V$73,
    MATCH(1,
      ('GIR Log'!$A$2:$A$73=$A192)*
      ('GIR Log'!$B$2:$B$73=$B192)*
      ('GIR Log'!$C$2:$C$73=$C192),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Log'!$E$2:$V$73,
    MATCH(1,
      ('Golf Log'!$A$2:$A$73=$A193)*
      ('Golf Log'!$B$2:$B$73=$B193)*
      ('Golf Log'!$C$2:$C$73=$C193),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Log'!$E$2:$V$73,
    MATCH(1,
      ('Putt Log'!$A$2:$A$73=$A193)*
      ('Putt Log'!$B$2:$B$73=$B193)*
      ('Putt Log'!$C$2:$C$73=$C193),
    0),
    MATCH($G193,'Putt Log'!$E$1:$V$1,0)
  ),
"")</f>
        <v>2</v>
      </c>
      <c r="P193" cm="1">
        <f t="array" ref="P193">IF(K193=3,"",
  IFERROR(
    INDEX('Fairway Log'!$E$2:$V$73,
      MATCH(1,
        ('Fairway Log'!$A$2:$A$73=$A193)*
        ('Fairway Log'!$B$2:$B$73=$B193)*
        ('Fairway Log'!$C$2:$C264=$C193),
      0),
      MATCH($G193,'Fairway Log'!$E$1:$V$1,0)
    ),
  "")
)</f>
        <v>1</v>
      </c>
      <c r="Q193" t="str" cm="1">
        <f t="array" ref="Q193">IFERROR(
  INDEX('GIR Log'!$E$2:$V$73,
    MATCH(1,
      ('GIR Log'!$A$2:$A$73=$A193)*
      ('GIR Log'!$B$2:$B$73=$B193)*
      ('GIR Log'!$C$2:$C$73=$C193),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Log'!$E$2:$V$73,
    MATCH(1,
      ('Golf Log'!$A$2:$A$73=$A194)*
      ('Golf Log'!$B$2:$B$73=$B194)*
      ('Golf Log'!$C$2:$C$73=$C194),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Log'!$E$2:$V$73,
    MATCH(1,
      ('Putt Log'!$A$2:$A$73=$A194)*
      ('Putt Log'!$B$2:$B$73=$B194)*
      ('Putt Log'!$C$2:$C$73=$C194),
    0),
    MATCH($G194,'Putt Log'!$E$1:$V$1,0)
  ),
"")</f>
        <v>2</v>
      </c>
      <c r="P194" cm="1">
        <f t="array" ref="P194">IF(K194=3,"",
  IFERROR(
    INDEX('Fairway Log'!$E$2:$V$73,
      MATCH(1,
        ('Fairway Log'!$A$2:$A$73=$A194)*
        ('Fairway Log'!$B$2:$B$73=$B194)*
        ('Fairway Log'!$C$2:$C265=$C194),
      0),
      MATCH($G194,'Fairway Log'!$E$1:$V$1,0)
    ),
  "")
)</f>
        <v>1</v>
      </c>
      <c r="Q194" cm="1">
        <f t="array" ref="Q194">IFERROR(
  INDEX('GIR Log'!$E$2:$V$73,
    MATCH(1,
      ('GIR Log'!$A$2:$A$73=$A194)*
      ('GIR Log'!$B$2:$B$73=$B194)*
      ('GIR Log'!$C$2:$C$73=$C194),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Log'!$E$2:$V$73,
    MATCH(1,
      ('Golf Log'!$A$2:$A$73=$A195)*
      ('Golf Log'!$B$2:$B$73=$B195)*
      ('Golf Log'!$C$2:$C$73=$C195),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Log'!$E$2:$V$73,
    MATCH(1,
      ('Putt Log'!$A$2:$A$73=$A195)*
      ('Putt Log'!$B$2:$B$73=$B195)*
      ('Putt Log'!$C$2:$C$73=$C195),
    0),
    MATCH($G195,'Putt Log'!$E$1:$V$1,0)
  ),
"")</f>
        <v>1</v>
      </c>
      <c r="P195" t="str" cm="1">
        <f t="array" ref="P195">IF(K195=3,"",
  IFERROR(
    INDEX('Fairway Log'!$E$2:$V$73,
      MATCH(1,
        ('Fairway Log'!$A$2:$A$73=$A195)*
        ('Fairway Log'!$B$2:$B$73=$B195)*
        ('Fairway Log'!$C$2:$C266=$C195),
      0),
      MATCH($G195,'Fairway Log'!$E$1:$V$1,0)
    ),
  "")
)</f>
        <v/>
      </c>
      <c r="Q195" t="str" cm="1">
        <f t="array" ref="Q195">IFERROR(
  INDEX('GIR Log'!$E$2:$V$73,
    MATCH(1,
      ('GIR Log'!$A$2:$A$73=$A195)*
      ('GIR Log'!$B$2:$B$73=$B195)*
      ('GIR Log'!$C$2:$C$73=$C195),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Log'!$E$2:$V$73,
    MATCH(1,
      ('Golf Log'!$A$2:$A$73=$A196)*
      ('Golf Log'!$B$2:$B$73=$B196)*
      ('Golf Log'!$C$2:$C$73=$C196),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Log'!$E$2:$V$73,
    MATCH(1,
      ('Putt Log'!$A$2:$A$73=$A196)*
      ('Putt Log'!$B$2:$B$73=$B196)*
      ('Putt Log'!$C$2:$C$73=$C196),
    0),
    MATCH($G196,'Putt Log'!$E$1:$V$1,0)
  ),
"")</f>
        <v>2</v>
      </c>
      <c r="P196" t="str" cm="1">
        <f t="array" ref="P196">IF(K196=3,"",
  IFERROR(
    INDEX('Fairway Log'!$E$2:$V$73,
      MATCH(1,
        ('Fairway Log'!$A$2:$A$73=$A196)*
        ('Fairway Log'!$B$2:$B$73=$B196)*
        ('Fairway Log'!$C$2:$C267=$C196),
      0),
      MATCH($G196,'Fairway Log'!$E$1:$V$1,0)
    ),
  "")
)</f>
        <v>→</v>
      </c>
      <c r="Q196" t="str" cm="1">
        <f t="array" ref="Q196">IFERROR(
  INDEX('GIR Log'!$E$2:$V$73,
    MATCH(1,
      ('GIR Log'!$A$2:$A$73=$A196)*
      ('GIR Log'!$B$2:$B$73=$B196)*
      ('GIR Log'!$C$2:$C$73=$C196),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Log'!$E$2:$V$73,
    MATCH(1,
      ('Golf Log'!$A$2:$A$73=$A197)*
      ('Golf Log'!$B$2:$B$73=$B197)*
      ('Golf Log'!$C$2:$C$73=$C197),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Log'!$E$2:$V$73,
    MATCH(1,
      ('Putt Log'!$A$2:$A$73=$A197)*
      ('Putt Log'!$B$2:$B$73=$B197)*
      ('Putt Log'!$C$2:$C$73=$C197),
    0),
    MATCH($G197,'Putt Log'!$E$1:$V$1,0)
  ),
"")</f>
        <v>1</v>
      </c>
      <c r="P197" cm="1">
        <f t="array" ref="P197">IF(K197=3,"",
  IFERROR(
    INDEX('Fairway Log'!$E$2:$V$73,
      MATCH(1,
        ('Fairway Log'!$A$2:$A$73=$A197)*
        ('Fairway Log'!$B$2:$B$73=$B197)*
        ('Fairway Log'!$C$2:$C268=$C197),
      0),
      MATCH($G197,'Fairway Log'!$E$1:$V$1,0)
    ),
  "")
)</f>
        <v>1</v>
      </c>
      <c r="Q197" t="str" cm="1">
        <f t="array" ref="Q197">IFERROR(
  INDEX('GIR Log'!$E$2:$V$73,
    MATCH(1,
      ('GIR Log'!$A$2:$A$73=$A197)*
      ('GIR Log'!$B$2:$B$73=$B197)*
      ('GIR Log'!$C$2:$C$73=$C197),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Log'!$E$2:$V$73,
    MATCH(1,
      ('Golf Log'!$A$2:$A$73=$A198)*
      ('Golf Log'!$B$2:$B$73=$B198)*
      ('Golf Log'!$C$2:$C$73=$C198),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Log'!$E$2:$V$73,
    MATCH(1,
      ('Putt Log'!$A$2:$A$73=$A198)*
      ('Putt Log'!$B$2:$B$73=$B198)*
      ('Putt Log'!$C$2:$C$73=$C198),
    0),
    MATCH($G198,'Putt Log'!$E$1:$V$1,0)
  ),
"")</f>
        <v>1</v>
      </c>
      <c r="P198" t="str" cm="1">
        <f t="array" ref="P198">IF(K198=3,"",
  IFERROR(
    INDEX('Fairway Log'!$E$2:$V$73,
      MATCH(1,
        ('Fairway Log'!$A$2:$A$73=$A198)*
        ('Fairway Log'!$B$2:$B$73=$B198)*
        ('Fairway Log'!$C$2:$C269=$C198),
      0),
      MATCH($G198,'Fairway Log'!$E$1:$V$1,0)
    ),
  "")
)</f>
        <v>→</v>
      </c>
      <c r="Q198" cm="1">
        <f t="array" ref="Q198">IFERROR(
  INDEX('GIR Log'!$E$2:$V$73,
    MATCH(1,
      ('GIR Log'!$A$2:$A$73=$A198)*
      ('GIR Log'!$B$2:$B$73=$B198)*
      ('GIR Log'!$C$2:$C$73=$C198),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Log'!$E$2:$V$73,
    MATCH(1,
      ('Golf Log'!$A$2:$A$73=$A199)*
      ('Golf Log'!$B$2:$B$73=$B199)*
      ('Golf Log'!$C$2:$C$73=$C199),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Log'!$E$2:$V$73,
    MATCH(1,
      ('Putt Log'!$A$2:$A$73=$A199)*
      ('Putt Log'!$B$2:$B$73=$B199)*
      ('Putt Log'!$C$2:$C$73=$C199),
    0),
    MATCH($G199,'Putt Log'!$E$1:$V$1,0)
  ),
"")</f>
        <v>2</v>
      </c>
      <c r="P199" t="str" cm="1">
        <f t="array" ref="P199">IF(K199=3,"",
  IFERROR(
    INDEX('Fairway Log'!$E$2:$V$73,
      MATCH(1,
        ('Fairway Log'!$A$2:$A$73=$A199)*
        ('Fairway Log'!$B$2:$B$73=$B199)*
        ('Fairway Log'!$C$2:$C270=$C199),
      0),
      MATCH($G199,'Fairway Log'!$E$1:$V$1,0)
    ),
  "")
)</f>
        <v>→</v>
      </c>
      <c r="Q199" t="str" cm="1">
        <f t="array" ref="Q199">IFERROR(
  INDEX('GIR Log'!$E$2:$V$73,
    MATCH(1,
      ('GIR Log'!$A$2:$A$73=$A199)*
      ('GIR Log'!$B$2:$B$73=$B199)*
      ('GIR Log'!$C$2:$C$73=$C199),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Log'!$E$2:$V$73,
    MATCH(1,
      ('Golf Log'!$A$2:$A$73=$A200)*
      ('Golf Log'!$B$2:$B$73=$B200)*
      ('Golf Log'!$C$2:$C$73=$C200),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Log'!$E$2:$V$73,
    MATCH(1,
      ('Putt Log'!$A$2:$A$73=$A200)*
      ('Putt Log'!$B$2:$B$73=$B200)*
      ('Putt Log'!$C$2:$C$73=$C200),
    0),
    MATCH($G200,'Putt Log'!$E$1:$V$1,0)
  ),
"")</f>
        <v>1</v>
      </c>
      <c r="P200" cm="1">
        <f t="array" ref="P200">IF(K200=3,"",
  IFERROR(
    INDEX('Fairway Log'!$E$2:$V$73,
      MATCH(1,
        ('Fairway Log'!$A$2:$A$73=$A200)*
        ('Fairway Log'!$B$2:$B$73=$B200)*
        ('Fairway Log'!$C$2:$C271=$C200),
      0),
      MATCH($G200,'Fairway Log'!$E$1:$V$1,0)
    ),
  "")
)</f>
        <v>1</v>
      </c>
      <c r="Q200" t="str" cm="1">
        <f t="array" ref="Q200">IFERROR(
  INDEX('GIR Log'!$E$2:$V$73,
    MATCH(1,
      ('GIR Log'!$A$2:$A$73=$A200)*
      ('GIR Log'!$B$2:$B$73=$B200)*
      ('GIR Log'!$C$2:$C$73=$C200),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Log'!$E$2:$V$73,
    MATCH(1,
      ('Golf Log'!$A$2:$A$73=$A201)*
      ('Golf Log'!$B$2:$B$73=$B201)*
      ('Golf Log'!$C$2:$C$73=$C201),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Log'!$E$2:$V$73,
    MATCH(1,
      ('Putt Log'!$A$2:$A$73=$A201)*
      ('Putt Log'!$B$2:$B$73=$B201)*
      ('Putt Log'!$C$2:$C$73=$C201),
    0),
    MATCH($G201,'Putt Log'!$E$1:$V$1,0)
  ),
"")</f>
        <v>2</v>
      </c>
      <c r="P201" t="str" cm="1">
        <f t="array" ref="P201">IF(K201=3,"",
  IFERROR(
    INDEX('Fairway Log'!$E$2:$V$73,
      MATCH(1,
        ('Fairway Log'!$A$2:$A$73=$A201)*
        ('Fairway Log'!$B$2:$B$73=$B201)*
        ('Fairway Log'!$C$2:$C272=$C201),
      0),
      MATCH($G201,'Fairway Log'!$E$1:$V$1,0)
    ),
  "")
)</f>
        <v>→</v>
      </c>
      <c r="Q201" t="str" cm="1">
        <f t="array" ref="Q201">IFERROR(
  INDEX('GIR Log'!$E$2:$V$73,
    MATCH(1,
      ('GIR Log'!$A$2:$A$73=$A201)*
      ('GIR Log'!$B$2:$B$73=$B201)*
      ('GIR Log'!$C$2:$C$73=$C201),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Log'!$E$2:$V$73,
    MATCH(1,
      ('Golf Log'!$A$2:$A$73=$A202)*
      ('Golf Log'!$B$2:$B$73=$B202)*
      ('Golf Log'!$C$2:$C$73=$C202),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Log'!$E$2:$V$73,
    MATCH(1,
      ('Putt Log'!$A$2:$A$73=$A202)*
      ('Putt Log'!$B$2:$B$73=$B202)*
      ('Putt Log'!$C$2:$C$73=$C202),
    0),
    MATCH($G202,'Putt Log'!$E$1:$V$1,0)
  ),
"")</f>
        <v>1</v>
      </c>
      <c r="P202" t="str" cm="1">
        <f t="array" ref="P202">IF(K202=3,"",
  IFERROR(
    INDEX('Fairway Log'!$E$2:$V$73,
      MATCH(1,
        ('Fairway Log'!$A$2:$A$73=$A202)*
        ('Fairway Log'!$B$2:$B$73=$B202)*
        ('Fairway Log'!$C$2:$C273=$C202),
      0),
      MATCH($G202,'Fairway Log'!$E$1:$V$1,0)
    ),
  "")
)</f>
        <v/>
      </c>
      <c r="Q202" t="str" cm="1">
        <f t="array" ref="Q202">IFERROR(
  INDEX('GIR Log'!$E$2:$V$73,
    MATCH(1,
      ('GIR Log'!$A$2:$A$73=$A202)*
      ('GIR Log'!$B$2:$B$73=$B202)*
      ('GIR Log'!$C$2:$C$73=$C202),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Log'!$E$2:$V$73,
    MATCH(1,
      ('Golf Log'!$A$2:$A$73=$A203)*
      ('Golf Log'!$B$2:$B$73=$B203)*
      ('Golf Log'!$C$2:$C$73=$C203),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Log'!$E$2:$V$73,
    MATCH(1,
      ('Putt Log'!$A$2:$A$73=$A203)*
      ('Putt Log'!$B$2:$B$73=$B203)*
      ('Putt Log'!$C$2:$C$73=$C203),
    0),
    MATCH($G203,'Putt Log'!$E$1:$V$1,0)
  ),
"")</f>
        <v>2</v>
      </c>
      <c r="P203" t="str" cm="1">
        <f t="array" ref="P203">IF(K203=3,"",
  IFERROR(
    INDEX('Fairway Log'!$E$2:$V$73,
      MATCH(1,
        ('Fairway Log'!$A$2:$A$73=$A203)*
        ('Fairway Log'!$B$2:$B$73=$B203)*
        ('Fairway Log'!$C$2:$C274=$C203),
      0),
      MATCH($G203,'Fairway Log'!$E$1:$V$1,0)
    ),
  "")
)</f>
        <v>←</v>
      </c>
      <c r="Q203" cm="1">
        <f t="array" ref="Q203">IFERROR(
  INDEX('GIR Log'!$E$2:$V$73,
    MATCH(1,
      ('GIR Log'!$A$2:$A$73=$A203)*
      ('GIR Log'!$B$2:$B$73=$B203)*
      ('GIR Log'!$C$2:$C$73=$C203),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Log'!$E$2:$V$73,
    MATCH(1,
      ('Golf Log'!$A$2:$A$73=$A204)*
      ('Golf Log'!$B$2:$B$73=$B204)*
      ('Golf Log'!$C$2:$C$73=$C204),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Log'!$E$2:$V$73,
    MATCH(1,
      ('Putt Log'!$A$2:$A$73=$A204)*
      ('Putt Log'!$B$2:$B$73=$B204)*
      ('Putt Log'!$C$2:$C$73=$C204),
    0),
    MATCH($G204,'Putt Log'!$E$1:$V$1,0)
  ),
"")</f>
        <v>1</v>
      </c>
      <c r="P204" cm="1">
        <f t="array" ref="P204">IF(K204=3,"",
  IFERROR(
    INDEX('Fairway Log'!$E$2:$V$73,
      MATCH(1,
        ('Fairway Log'!$A$2:$A$73=$A204)*
        ('Fairway Log'!$B$2:$B$73=$B204)*
        ('Fairway Log'!$C$2:$C275=$C204),
      0),
      MATCH($G204,'Fairway Log'!$E$1:$V$1,0)
    ),
  "")
)</f>
        <v>1</v>
      </c>
      <c r="Q204" t="str" cm="1">
        <f t="array" ref="Q204">IFERROR(
  INDEX('GIR Log'!$E$2:$V$73,
    MATCH(1,
      ('GIR Log'!$A$2:$A$73=$A204)*
      ('GIR Log'!$B$2:$B$73=$B204)*
      ('GIR Log'!$C$2:$C$73=$C204),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Log'!$E$2:$V$73,
    MATCH(1,
      ('Golf Log'!$A$2:$A$73=$A205)*
      ('Golf Log'!$B$2:$B$73=$B205)*
      ('Golf Log'!$C$2:$C$73=$C205),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Log'!$E$2:$V$73,
    MATCH(1,
      ('Putt Log'!$A$2:$A$73=$A205)*
      ('Putt Log'!$B$2:$B$73=$B205)*
      ('Putt Log'!$C$2:$C$73=$C205),
    0),
    MATCH($G205,'Putt Log'!$E$1:$V$1,0)
  ),
"")</f>
        <v>2</v>
      </c>
      <c r="P205" t="str" cm="1">
        <f t="array" ref="P205">IF(K205=3,"",
  IFERROR(
    INDEX('Fairway Log'!$E$2:$V$73,
      MATCH(1,
        ('Fairway Log'!$A$2:$A$73=$A205)*
        ('Fairway Log'!$B$2:$B$73=$B205)*
        ('Fairway Log'!$C$2:$C276=$C205),
      0),
      MATCH($G205,'Fairway Log'!$E$1:$V$1,0)
    ),
  "")
)</f>
        <v/>
      </c>
      <c r="Q205" t="str" cm="1">
        <f t="array" ref="Q205">IFERROR(
  INDEX('GIR Log'!$E$2:$V$73,
    MATCH(1,
      ('GIR Log'!$A$2:$A$73=$A205)*
      ('GIR Log'!$B$2:$B$73=$B205)*
      ('GIR Log'!$C$2:$C$73=$C205),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Log'!$E$2:$V$73,
    MATCH(1,
      ('Golf Log'!$A$2:$A$73=$A206)*
      ('Golf Log'!$B$2:$B$73=$B206)*
      ('Golf Log'!$C$2:$C$73=$C206),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Log'!$E$2:$V$73,
    MATCH(1,
      ('Putt Log'!$A$2:$A$73=$A206)*
      ('Putt Log'!$B$2:$B$73=$B206)*
      ('Putt Log'!$C$2:$C$73=$C206),
    0),
    MATCH($G206,'Putt Log'!$E$1:$V$1,0)
  ),
"")</f>
        <v>2</v>
      </c>
      <c r="P206" cm="1">
        <f t="array" ref="P206">IF(K206=3,"",
  IFERROR(
    INDEX('Fairway Log'!$E$2:$V$73,
      MATCH(1,
        ('Fairway Log'!$A$2:$A$73=$A206)*
        ('Fairway Log'!$B$2:$B$73=$B206)*
        ('Fairway Log'!$C$2:$C277=$C206),
      0),
      MATCH($G206,'Fairway Log'!$E$1:$V$1,0)
    ),
  "")
)</f>
        <v>1</v>
      </c>
      <c r="Q206" cm="1">
        <f t="array" ref="Q206">IFERROR(
  INDEX('GIR Log'!$E$2:$V$73,
    MATCH(1,
      ('GIR Log'!$A$2:$A$73=$A206)*
      ('GIR Log'!$B$2:$B$73=$B206)*
      ('GIR Log'!$C$2:$C$73=$C206),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Log'!$E$2:$V$73,
    MATCH(1,
      ('Golf Log'!$A$2:$A$73=$A207)*
      ('Golf Log'!$B$2:$B$73=$B207)*
      ('Golf Log'!$C$2:$C$73=$C207),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Log'!$E$2:$V$73,
    MATCH(1,
      ('Putt Log'!$A$2:$A$73=$A207)*
      ('Putt Log'!$B$2:$B$73=$B207)*
      ('Putt Log'!$C$2:$C$73=$C207),
    0),
    MATCH($G207,'Putt Log'!$E$1:$V$1,0)
  ),
"")</f>
        <v>2</v>
      </c>
      <c r="P207" t="str" cm="1">
        <f t="array" ref="P207">IF(K207=3,"",
  IFERROR(
    INDEX('Fairway Log'!$E$2:$V$73,
      MATCH(1,
        ('Fairway Log'!$A$2:$A$73=$A207)*
        ('Fairway Log'!$B$2:$B$73=$B207)*
        ('Fairway Log'!$C$2:$C278=$C207),
      0),
      MATCH($G207,'Fairway Log'!$E$1:$V$1,0)
    ),
  "")
)</f>
        <v>←</v>
      </c>
      <c r="Q207" t="str" cm="1">
        <f t="array" ref="Q207">IFERROR(
  INDEX('GIR Log'!$E$2:$V$73,
    MATCH(1,
      ('GIR Log'!$A$2:$A$73=$A207)*
      ('GIR Log'!$B$2:$B$73=$B207)*
      ('GIR Log'!$C$2:$C$73=$C207),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Log'!$E$2:$V$73,
    MATCH(1,
      ('Golf Log'!$A$2:$A$73=$A208)*
      ('Golf Log'!$B$2:$B$73=$B208)*
      ('Golf Log'!$C$2:$C$73=$C208),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Log'!$E$2:$V$73,
    MATCH(1,
      ('Putt Log'!$A$2:$A$73=$A208)*
      ('Putt Log'!$B$2:$B$73=$B208)*
      ('Putt Log'!$C$2:$C$73=$C208),
    0),
    MATCH($G208,'Putt Log'!$E$1:$V$1,0)
  ),
"")</f>
        <v>2</v>
      </c>
      <c r="P208" t="str" cm="1">
        <f t="array" ref="P208">IF(K208=3,"",
  IFERROR(
    INDEX('Fairway Log'!$E$2:$V$73,
      MATCH(1,
        ('Fairway Log'!$A$2:$A$73=$A208)*
        ('Fairway Log'!$B$2:$B$73=$B208)*
        ('Fairway Log'!$C$2:$C279=$C208),
      0),
      MATCH($G208,'Fairway Log'!$E$1:$V$1,0)
    ),
  "")
)</f>
        <v>←</v>
      </c>
      <c r="Q208" cm="1">
        <f t="array" ref="Q208">IFERROR(
  INDEX('GIR Log'!$E$2:$V$73,
    MATCH(1,
      ('GIR Log'!$A$2:$A$73=$A208)*
      ('GIR Log'!$B$2:$B$73=$B208)*
      ('GIR Log'!$C$2:$C$73=$C208),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Log'!$E$2:$V$73,
    MATCH(1,
      ('Golf Log'!$A$2:$A$73=$A209)*
      ('Golf Log'!$B$2:$B$73=$B209)*
      ('Golf Log'!$C$2:$C$73=$C209),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Log'!$E$2:$V$73,
    MATCH(1,
      ('Putt Log'!$A$2:$A$73=$A209)*
      ('Putt Log'!$B$2:$B$73=$B209)*
      ('Putt Log'!$C$2:$C$73=$C209),
    0),
    MATCH($G209,'Putt Log'!$E$1:$V$1,0)
  ),
"")</f>
        <v>1</v>
      </c>
      <c r="P209" t="str" cm="1">
        <f t="array" ref="P209">IF(K209=3,"",
  IFERROR(
    INDEX('Fairway Log'!$E$2:$V$73,
      MATCH(1,
        ('Fairway Log'!$A$2:$A$73=$A209)*
        ('Fairway Log'!$B$2:$B$73=$B209)*
        ('Fairway Log'!$C$2:$C280=$C209),
      0),
      MATCH($G209,'Fairway Log'!$E$1:$V$1,0)
    ),
  "")
)</f>
        <v>←</v>
      </c>
      <c r="Q209" t="str" cm="1">
        <f t="array" ref="Q209">IFERROR(
  INDEX('GIR Log'!$E$2:$V$73,
    MATCH(1,
      ('GIR Log'!$A$2:$A$73=$A209)*
      ('GIR Log'!$B$2:$B$73=$B209)*
      ('GIR Log'!$C$2:$C$73=$C209),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Log'!$E$2:$V$73,
    MATCH(1,
      ('Golf Log'!$A$2:$A$73=$A210)*
      ('Golf Log'!$B$2:$B$73=$B210)*
      ('Golf Log'!$C$2:$C$73=$C210),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Log'!$E$2:$V$73,
    MATCH(1,
      ('Putt Log'!$A$2:$A$73=$A210)*
      ('Putt Log'!$B$2:$B$73=$B210)*
      ('Putt Log'!$C$2:$C$73=$C210),
    0),
    MATCH($G210,'Putt Log'!$E$1:$V$1,0)
  ),
"")</f>
        <v>2</v>
      </c>
      <c r="P210" t="str" cm="1">
        <f t="array" ref="P210">IF(K210=3,"",
  IFERROR(
    INDEX('Fairway Log'!$E$2:$V$73,
      MATCH(1,
        ('Fairway Log'!$A$2:$A$73=$A210)*
        ('Fairway Log'!$B$2:$B$73=$B210)*
        ('Fairway Log'!$C$2:$C281=$C210),
      0),
      MATCH($G210,'Fairway Log'!$E$1:$V$1,0)
    ),
  "")
)</f>
        <v/>
      </c>
      <c r="Q210" t="str" cm="1">
        <f t="array" ref="Q210">IFERROR(
  INDEX('GIR Log'!$E$2:$V$73,
    MATCH(1,
      ('GIR Log'!$A$2:$A$73=$A210)*
      ('GIR Log'!$B$2:$B$73=$B210)*
      ('GIR Log'!$C$2:$C$73=$C210),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Log'!$E$2:$V$73,
    MATCH(1,
      ('Golf Log'!$A$2:$A$73=$A211)*
      ('Golf Log'!$B$2:$B$73=$B211)*
      ('Golf Log'!$C$2:$C$73=$C211),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Log'!$E$2:$V$73,
    MATCH(1,
      ('Putt Log'!$A$2:$A$73=$A211)*
      ('Putt Log'!$B$2:$B$73=$B211)*
      ('Putt Log'!$C$2:$C$73=$C211),
    0),
    MATCH($G211,'Putt Log'!$E$1:$V$1,0)
  ),
"")</f>
        <v>1</v>
      </c>
      <c r="P211" t="str" cm="1">
        <f t="array" ref="P211">IF(K211=3,"",
  IFERROR(
    INDEX('Fairway Log'!$E$2:$V$73,
      MATCH(1,
        ('Fairway Log'!$A$2:$A$73=$A211)*
        ('Fairway Log'!$B$2:$B$73=$B211)*
        ('Fairway Log'!$C$2:$C282=$C211),
      0),
      MATCH($G211,'Fairway Log'!$E$1:$V$1,0)
    ),
  "")
)</f>
        <v>↑</v>
      </c>
      <c r="Q211" t="str" cm="1">
        <f t="array" ref="Q211">IFERROR(
  INDEX('GIR Log'!$E$2:$V$73,
    MATCH(1,
      ('GIR Log'!$A$2:$A$73=$A211)*
      ('GIR Log'!$B$2:$B$73=$B211)*
      ('GIR Log'!$C$2:$C$73=$C211),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Log'!$E$2:$V$73,
    MATCH(1,
      ('Golf Log'!$A$2:$A$73=$A212)*
      ('Golf Log'!$B$2:$B$73=$B212)*
      ('Golf Log'!$C$2:$C$73=$C212),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Log'!$E$2:$V$73,
    MATCH(1,
      ('Putt Log'!$A$2:$A$73=$A212)*
      ('Putt Log'!$B$2:$B$73=$B212)*
      ('Putt Log'!$C$2:$C$73=$C212),
    0),
    MATCH($G212,'Putt Log'!$E$1:$V$1,0)
  ),
"")</f>
        <v>2</v>
      </c>
      <c r="P212" t="str" cm="1">
        <f t="array" ref="P212">IF(K212=3,"",
  IFERROR(
    INDEX('Fairway Log'!$E$2:$V$73,
      MATCH(1,
        ('Fairway Log'!$A$2:$A$73=$A212)*
        ('Fairway Log'!$B$2:$B$73=$B212)*
        ('Fairway Log'!$C$2:$C283=$C212),
      0),
      MATCH($G212,'Fairway Log'!$E$1:$V$1,0)
    ),
  "")
)</f>
        <v>→</v>
      </c>
      <c r="Q212" cm="1">
        <f t="array" ref="Q212">IFERROR(
  INDEX('GIR Log'!$E$2:$V$73,
    MATCH(1,
      ('GIR Log'!$A$2:$A$73=$A212)*
      ('GIR Log'!$B$2:$B$73=$B212)*
      ('GIR Log'!$C$2:$C$73=$C212),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Log'!$E$2:$V$73,
    MATCH(1,
      ('Golf Log'!$A$2:$A$73=$A213)*
      ('Golf Log'!$B$2:$B$73=$B213)*
      ('Golf Log'!$C$2:$C$73=$C213),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Log'!$E$2:$V$73,
    MATCH(1,
      ('Putt Log'!$A$2:$A$73=$A213)*
      ('Putt Log'!$B$2:$B$73=$B213)*
      ('Putt Log'!$C$2:$C$73=$C213),
    0),
    MATCH($G213,'Putt Log'!$E$1:$V$1,0)
  ),
"")</f>
        <v>2</v>
      </c>
      <c r="P213" t="str" cm="1">
        <f t="array" ref="P213">IF(K213=3,"",
  IFERROR(
    INDEX('Fairway Log'!$E$2:$V$73,
      MATCH(1,
        ('Fairway Log'!$A$2:$A$73=$A213)*
        ('Fairway Log'!$B$2:$B$73=$B213)*
        ('Fairway Log'!$C$2:$C284=$C213),
      0),
      MATCH($G213,'Fairway Log'!$E$1:$V$1,0)
    ),
  "")
)</f>
        <v>→</v>
      </c>
      <c r="Q213" cm="1">
        <f t="array" ref="Q213">IFERROR(
  INDEX('GIR Log'!$E$2:$V$73,
    MATCH(1,
      ('GIR Log'!$A$2:$A$73=$A213)*
      ('GIR Log'!$B$2:$B$73=$B213)*
      ('GIR Log'!$C$2:$C$73=$C213),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Log'!$E$2:$V$73,
    MATCH(1,
      ('Golf Log'!$A$2:$A$73=$A214)*
      ('Golf Log'!$B$2:$B$73=$B214)*
      ('Golf Log'!$C$2:$C$73=$C214),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Log'!$E$2:$V$73,
    MATCH(1,
      ('Putt Log'!$A$2:$A$73=$A214)*
      ('Putt Log'!$B$2:$B$73=$B214)*
      ('Putt Log'!$C$2:$C$73=$C214),
    0),
    MATCH($G214,'Putt Log'!$E$1:$V$1,0)
  ),
"")</f>
        <v>2</v>
      </c>
      <c r="P214" t="str" cm="1">
        <f t="array" ref="P214">IF(K214=3,"",
  IFERROR(
    INDEX('Fairway Log'!$E$2:$V$73,
      MATCH(1,
        ('Fairway Log'!$A$2:$A$73=$A214)*
        ('Fairway Log'!$B$2:$B$73=$B214)*
        ('Fairway Log'!$C$2:$C285=$C214),
      0),
      MATCH($G214,'Fairway Log'!$E$1:$V$1,0)
    ),
  "")
)</f>
        <v/>
      </c>
      <c r="Q214" t="str" cm="1">
        <f t="array" ref="Q214">IFERROR(
  INDEX('GIR Log'!$E$2:$V$73,
    MATCH(1,
      ('GIR Log'!$A$2:$A$73=$A214)*
      ('GIR Log'!$B$2:$B$73=$B214)*
      ('GIR Log'!$C$2:$C$73=$C214),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Log'!$E$2:$V$73,
    MATCH(1,
      ('Golf Log'!$A$2:$A$73=$A215)*
      ('Golf Log'!$B$2:$B$73=$B215)*
      ('Golf Log'!$C$2:$C$73=$C215),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Log'!$E$2:$V$73,
    MATCH(1,
      ('Putt Log'!$A$2:$A$73=$A215)*
      ('Putt Log'!$B$2:$B$73=$B215)*
      ('Putt Log'!$C$2:$C$73=$C215),
    0),
    MATCH($G215,'Putt Log'!$E$1:$V$1,0)
  ),
"")</f>
        <v>1</v>
      </c>
      <c r="P215" t="str" cm="1">
        <f t="array" ref="P215">IF(K215=3,"",
  IFERROR(
    INDEX('Fairway Log'!$E$2:$V$73,
      MATCH(1,
        ('Fairway Log'!$A$2:$A$73=$A215)*
        ('Fairway Log'!$B$2:$B$73=$B215)*
        ('Fairway Log'!$C$2:$C286=$C215),
      0),
      MATCH($G215,'Fairway Log'!$E$1:$V$1,0)
    ),
  "")
)</f>
        <v>→</v>
      </c>
      <c r="Q215" cm="1">
        <f t="array" ref="Q215">IFERROR(
  INDEX('GIR Log'!$E$2:$V$73,
    MATCH(1,
      ('GIR Log'!$A$2:$A$73=$A215)*
      ('GIR Log'!$B$2:$B$73=$B215)*
      ('GIR Log'!$C$2:$C$73=$C215),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Log'!$E$2:$V$73,
    MATCH(1,
      ('Golf Log'!$A$2:$A$73=$A216)*
      ('Golf Log'!$B$2:$B$73=$B216)*
      ('Golf Log'!$C$2:$C$73=$C216),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Log'!$E$2:$V$73,
    MATCH(1,
      ('Putt Log'!$A$2:$A$73=$A216)*
      ('Putt Log'!$B$2:$B$73=$B216)*
      ('Putt Log'!$C$2:$C$73=$C216),
    0),
    MATCH($G216,'Putt Log'!$E$1:$V$1,0)
  ),
"")</f>
        <v>1</v>
      </c>
      <c r="P216" t="str" cm="1">
        <f t="array" ref="P216">IF(K216=3,"",
  IFERROR(
    INDEX('Fairway Log'!$E$2:$V$73,
      MATCH(1,
        ('Fairway Log'!$A$2:$A$73=$A216)*
        ('Fairway Log'!$B$2:$B$73=$B216)*
        ('Fairway Log'!$C$2:$C287=$C216),
      0),
      MATCH($G216,'Fairway Log'!$E$1:$V$1,0)
    ),
  "")
)</f>
        <v>←</v>
      </c>
      <c r="Q216" t="str" cm="1">
        <f t="array" ref="Q216">IFERROR(
  INDEX('GIR Log'!$E$2:$V$73,
    MATCH(1,
      ('GIR Log'!$A$2:$A$73=$A216)*
      ('GIR Log'!$B$2:$B$73=$B216)*
      ('GIR Log'!$C$2:$C$73=$C216),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Log'!$E$2:$V$73,
    MATCH(1,
      ('Golf Log'!$A$2:$A$73=$A217)*
      ('Golf Log'!$B$2:$B$73=$B217)*
      ('Golf Log'!$C$2:$C$73=$C217),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Log'!$E$2:$V$73,
    MATCH(1,
      ('Putt Log'!$A$2:$A$73=$A217)*
      ('Putt Log'!$B$2:$B$73=$B217)*
      ('Putt Log'!$C$2:$C$73=$C217),
    0),
    MATCH($G217,'Putt Log'!$E$1:$V$1,0)
  ),
"")</f>
        <v>2</v>
      </c>
      <c r="P217" t="str" cm="1">
        <f t="array" ref="P217">IF(K217=3,"",
  IFERROR(
    INDEX('Fairway Log'!$E$2:$V$73,
      MATCH(1,
        ('Fairway Log'!$A$2:$A$73=$A217)*
        ('Fairway Log'!$B$2:$B$73=$B217)*
        ('Fairway Log'!$C$2:$C288=$C217),
      0),
      MATCH($G217,'Fairway Log'!$E$1:$V$1,0)
    ),
  "")
)</f>
        <v>→</v>
      </c>
      <c r="Q217" t="str" cm="1">
        <f t="array" ref="Q217">IFERROR(
  INDEX('GIR Log'!$E$2:$V$73,
    MATCH(1,
      ('GIR Log'!$A$2:$A$73=$A217)*
      ('GIR Log'!$B$2:$B$73=$B217)*
      ('GIR Log'!$C$2:$C$73=$C217),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Log'!$E$2:$V$73,
    MATCH(1,
      ('Golf Log'!$A$2:$A$73=$A218)*
      ('Golf Log'!$B$2:$B$73=$B218)*
      ('Golf Log'!$C$2:$C$73=$C218),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Log'!$E$2:$V$73,
    MATCH(1,
      ('Putt Log'!$A$2:$A$73=$A218)*
      ('Putt Log'!$B$2:$B$73=$B218)*
      ('Putt Log'!$C$2:$C$73=$C218),
    0),
    MATCH($G218,'Putt Log'!$E$1:$V$1,0)
  ),
"")</f>
        <v>2</v>
      </c>
      <c r="P218" t="str" cm="1">
        <f t="array" ref="P218">IF(K218=3,"",
  IFERROR(
    INDEX('Fairway Log'!$E$2:$V$73,
      MATCH(1,
        ('Fairway Log'!$A$2:$A$73=$A218)*
        ('Fairway Log'!$B$2:$B$73=$B218)*
        ('Fairway Log'!$C$2:$C289=$C218),
      0),
      MATCH($G218,'Fairway Log'!$E$1:$V$1,0)
    ),
  "")
)</f>
        <v>←</v>
      </c>
      <c r="Q218" t="str" cm="1">
        <f t="array" ref="Q218">IFERROR(
  INDEX('GIR Log'!$E$2:$V$73,
    MATCH(1,
      ('GIR Log'!$A$2:$A$73=$A218)*
      ('GIR Log'!$B$2:$B$73=$B218)*
      ('GIR Log'!$C$2:$C$73=$C218),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Log'!$E$2:$V$73,
    MATCH(1,
      ('Golf Log'!$A$2:$A$73=$A219)*
      ('Golf Log'!$B$2:$B$73=$B219)*
      ('Golf Log'!$C$2:$C$73=$C219),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Log'!$E$2:$V$73,
    MATCH(1,
      ('Putt Log'!$A$2:$A$73=$A219)*
      ('Putt Log'!$B$2:$B$73=$B219)*
      ('Putt Log'!$C$2:$C$73=$C219),
    0),
    MATCH($G219,'Putt Log'!$E$1:$V$1,0)
  ),
"")</f>
        <v>1</v>
      </c>
      <c r="P219" cm="1">
        <f t="array" ref="P219">IF(K219=3,"",
  IFERROR(
    INDEX('Fairway Log'!$E$2:$V$73,
      MATCH(1,
        ('Fairway Log'!$A$2:$A$73=$A219)*
        ('Fairway Log'!$B$2:$B$73=$B219)*
        ('Fairway Log'!$C$2:$C290=$C219),
      0),
      MATCH($G219,'Fairway Log'!$E$1:$V$1,0)
    ),
  "")
)</f>
        <v>1</v>
      </c>
      <c r="Q219" t="str" cm="1">
        <f t="array" ref="Q219">IFERROR(
  INDEX('GIR Log'!$E$2:$V$73,
    MATCH(1,
      ('GIR Log'!$A$2:$A$73=$A219)*
      ('GIR Log'!$B$2:$B$73=$B219)*
      ('GIR Log'!$C$2:$C$73=$C219),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Log'!$E$2:$V$73,
    MATCH(1,
      ('Golf Log'!$A$2:$A$73=$A220)*
      ('Golf Log'!$B$2:$B$73=$B220)*
      ('Golf Log'!$C$2:$C$73=$C220),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Log'!$E$2:$V$73,
    MATCH(1,
      ('Putt Log'!$A$2:$A$73=$A220)*
      ('Putt Log'!$B$2:$B$73=$B220)*
      ('Putt Log'!$C$2:$C$73=$C220),
    0),
    MATCH($G220,'Putt Log'!$E$1:$V$1,0)
  ),
"")</f>
        <v>2</v>
      </c>
      <c r="P220" cm="1">
        <f t="array" ref="P220">IF(K220=3,"",
  IFERROR(
    INDEX('Fairway Log'!$E$2:$V$73,
      MATCH(1,
        ('Fairway Log'!$A$2:$A$73=$A220)*
        ('Fairway Log'!$B$2:$B$73=$B220)*
        ('Fairway Log'!$C$2:$C291=$C220),
      0),
      MATCH($G220,'Fairway Log'!$E$1:$V$1,0)
    ),
  "")
)</f>
        <v>1</v>
      </c>
      <c r="Q220" t="str" cm="1">
        <f t="array" ref="Q220">IFERROR(
  INDEX('GIR Log'!$E$2:$V$73,
    MATCH(1,
      ('GIR Log'!$A$2:$A$73=$A220)*
      ('GIR Log'!$B$2:$B$73=$B220)*
      ('GIR Log'!$C$2:$C$73=$C220),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Log'!$E$2:$V$73,
    MATCH(1,
      ('Golf Log'!$A$2:$A$73=$A221)*
      ('Golf Log'!$B$2:$B$73=$B221)*
      ('Golf Log'!$C$2:$C$73=$C221),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Log'!$E$2:$V$73,
    MATCH(1,
      ('Putt Log'!$A$2:$A$73=$A221)*
      ('Putt Log'!$B$2:$B$73=$B221)*
      ('Putt Log'!$C$2:$C$73=$C221),
    0),
    MATCH($G221,'Putt Log'!$E$1:$V$1,0)
  ),
"")</f>
        <v>2</v>
      </c>
      <c r="P221" t="str" cm="1">
        <f t="array" ref="P221">IF(K221=3,"",
  IFERROR(
    INDEX('Fairway Log'!$E$2:$V$73,
      MATCH(1,
        ('Fairway Log'!$A$2:$A$73=$A221)*
        ('Fairway Log'!$B$2:$B$73=$B221)*
        ('Fairway Log'!$C$2:$C292=$C221),
      0),
      MATCH($G221,'Fairway Log'!$E$1:$V$1,0)
    ),
  "")
)</f>
        <v/>
      </c>
      <c r="Q221" t="str" cm="1">
        <f t="array" ref="Q221">IFERROR(
  INDEX('GIR Log'!$E$2:$V$73,
    MATCH(1,
      ('GIR Log'!$A$2:$A$73=$A221)*
      ('GIR Log'!$B$2:$B$73=$B221)*
      ('GIR Log'!$C$2:$C$73=$C221),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Log'!$E$2:$V$73,
    MATCH(1,
      ('Golf Log'!$A$2:$A$73=$A222)*
      ('Golf Log'!$B$2:$B$73=$B222)*
      ('Golf Log'!$C$2:$C$73=$C222),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Log'!$E$2:$V$73,
    MATCH(1,
      ('Putt Log'!$A$2:$A$73=$A222)*
      ('Putt Log'!$B$2:$B$73=$B222)*
      ('Putt Log'!$C$2:$C$73=$C222),
    0),
    MATCH($G222,'Putt Log'!$E$1:$V$1,0)
  ),
"")</f>
        <v>2</v>
      </c>
      <c r="P222" cm="1">
        <f t="array" ref="P222">IF(K222=3,"",
  IFERROR(
    INDEX('Fairway Log'!$E$2:$V$73,
      MATCH(1,
        ('Fairway Log'!$A$2:$A$73=$A222)*
        ('Fairway Log'!$B$2:$B$73=$B222)*
        ('Fairway Log'!$C$2:$C293=$C222),
      0),
      MATCH($G222,'Fairway Log'!$E$1:$V$1,0)
    ),
  "")
)</f>
        <v>1</v>
      </c>
      <c r="Q222" cm="1">
        <f t="array" ref="Q222">IFERROR(
  INDEX('GIR Log'!$E$2:$V$73,
    MATCH(1,
      ('GIR Log'!$A$2:$A$73=$A222)*
      ('GIR Log'!$B$2:$B$73=$B222)*
      ('GIR Log'!$C$2:$C$73=$C222),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Log'!$E$2:$V$73,
    MATCH(1,
      ('Golf Log'!$A$2:$A$73=$A223)*
      ('Golf Log'!$B$2:$B$73=$B223)*
      ('Golf Log'!$C$2:$C$73=$C223),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Log'!$E$2:$V$73,
    MATCH(1,
      ('Putt Log'!$A$2:$A$73=$A223)*
      ('Putt Log'!$B$2:$B$73=$B223)*
      ('Putt Log'!$C$2:$C$73=$C223),
    0),
    MATCH($G223,'Putt Log'!$E$1:$V$1,0)
  ),
"")</f>
        <v>2</v>
      </c>
      <c r="P223" cm="1">
        <f t="array" ref="P223">IF(K223=3,"",
  IFERROR(
    INDEX('Fairway Log'!$E$2:$V$73,
      MATCH(1,
        ('Fairway Log'!$A$2:$A$73=$A223)*
        ('Fairway Log'!$B$2:$B$73=$B223)*
        ('Fairway Log'!$C$2:$C294=$C223),
      0),
      MATCH($G223,'Fairway Log'!$E$1:$V$1,0)
    ),
  "")
)</f>
        <v>1</v>
      </c>
      <c r="Q223" t="str" cm="1">
        <f t="array" ref="Q223">IFERROR(
  INDEX('GIR Log'!$E$2:$V$73,
    MATCH(1,
      ('GIR Log'!$A$2:$A$73=$A223)*
      ('GIR Log'!$B$2:$B$73=$B223)*
      ('GIR Log'!$C$2:$C$73=$C223),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Log'!$E$2:$V$73,
    MATCH(1,
      ('Golf Log'!$A$2:$A$73=$A224)*
      ('Golf Log'!$B$2:$B$73=$B224)*
      ('Golf Log'!$C$2:$C$73=$C224),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Log'!$E$2:$V$73,
    MATCH(1,
      ('Putt Log'!$A$2:$A$73=$A224)*
      ('Putt Log'!$B$2:$B$73=$B224)*
      ('Putt Log'!$C$2:$C$73=$C224),
    0),
    MATCH($G224,'Putt Log'!$E$1:$V$1,0)
  ),
"")</f>
        <v>2</v>
      </c>
      <c r="P224" t="str" cm="1">
        <f t="array" ref="P224">IF(K224=3,"",
  IFERROR(
    INDEX('Fairway Log'!$E$2:$V$73,
      MATCH(1,
        ('Fairway Log'!$A$2:$A$73=$A224)*
        ('Fairway Log'!$B$2:$B$73=$B224)*
        ('Fairway Log'!$C$2:$C295=$C224),
      0),
      MATCH($G224,'Fairway Log'!$E$1:$V$1,0)
    ),
  "")
)</f>
        <v/>
      </c>
      <c r="Q224" t="str" cm="1">
        <f t="array" ref="Q224">IFERROR(
  INDEX('GIR Log'!$E$2:$V$73,
    MATCH(1,
      ('GIR Log'!$A$2:$A$73=$A224)*
      ('GIR Log'!$B$2:$B$73=$B224)*
      ('GIR Log'!$C$2:$C$73=$C224),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Log'!$E$2:$V$73,
    MATCH(1,
      ('Golf Log'!$A$2:$A$73=$A225)*
      ('Golf Log'!$B$2:$B$73=$B225)*
      ('Golf Log'!$C$2:$C$73=$C225),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Log'!$E$2:$V$73,
    MATCH(1,
      ('Putt Log'!$A$2:$A$73=$A225)*
      ('Putt Log'!$B$2:$B$73=$B225)*
      ('Putt Log'!$C$2:$C$73=$C225),
    0),
    MATCH($G225,'Putt Log'!$E$1:$V$1,0)
  ),
"")</f>
        <v>2</v>
      </c>
      <c r="P225" cm="1">
        <f t="array" ref="P225">IF(K225=3,"",
  IFERROR(
    INDEX('Fairway Log'!$E$2:$V$73,
      MATCH(1,
        ('Fairway Log'!$A$2:$A$73=$A225)*
        ('Fairway Log'!$B$2:$B$73=$B225)*
        ('Fairway Log'!$C$2:$C296=$C225),
      0),
      MATCH($G225,'Fairway Log'!$E$1:$V$1,0)
    ),
  "")
)</f>
        <v>1</v>
      </c>
      <c r="Q225" t="str" cm="1">
        <f t="array" ref="Q225">IFERROR(
  INDEX('GIR Log'!$E$2:$V$73,
    MATCH(1,
      ('GIR Log'!$A$2:$A$73=$A225)*
      ('GIR Log'!$B$2:$B$73=$B225)*
      ('GIR Log'!$C$2:$C$73=$C225),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Log'!$E$2:$V$73,
    MATCH(1,
      ('Golf Log'!$A$2:$A$73=$A226)*
      ('Golf Log'!$B$2:$B$73=$B226)*
      ('Golf Log'!$C$2:$C$73=$C226),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Log'!$E$2:$V$73,
    MATCH(1,
      ('Putt Log'!$A$2:$A$73=$A226)*
      ('Putt Log'!$B$2:$B$73=$B226)*
      ('Putt Log'!$C$2:$C$73=$C226),
    0),
    MATCH($G226,'Putt Log'!$E$1:$V$1,0)
  ),
"")</f>
        <v>2</v>
      </c>
      <c r="P226" t="str" cm="1">
        <f t="array" ref="P226">IF(K226=3,"",
  IFERROR(
    INDEX('Fairway Log'!$E$2:$V$73,
      MATCH(1,
        ('Fairway Log'!$A$2:$A$73=$A226)*
        ('Fairway Log'!$B$2:$B$73=$B226)*
        ('Fairway Log'!$C$2:$C297=$C226),
      0),
      MATCH($G226,'Fairway Log'!$E$1:$V$1,0)
    ),
  "")
)</f>
        <v>←</v>
      </c>
      <c r="Q226" t="str" cm="1">
        <f t="array" ref="Q226">IFERROR(
  INDEX('GIR Log'!$E$2:$V$73,
    MATCH(1,
      ('GIR Log'!$A$2:$A$73=$A226)*
      ('GIR Log'!$B$2:$B$73=$B226)*
      ('GIR Log'!$C$2:$C$73=$C226),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Log'!$E$2:$V$73,
    MATCH(1,
      ('Golf Log'!$A$2:$A$73=$A227)*
      ('Golf Log'!$B$2:$B$73=$B227)*
      ('Golf Log'!$C$2:$C$73=$C227),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Log'!$E$2:$V$73,
    MATCH(1,
      ('Putt Log'!$A$2:$A$73=$A227)*
      ('Putt Log'!$B$2:$B$73=$B227)*
      ('Putt Log'!$C$2:$C$73=$C227),
    0),
    MATCH($G227,'Putt Log'!$E$1:$V$1,0)
  ),
"")</f>
        <v>2</v>
      </c>
      <c r="P227" t="str" cm="1">
        <f t="array" ref="P227">IF(K227=3,"",
  IFERROR(
    INDEX('Fairway Log'!$E$2:$V$73,
      MATCH(1,
        ('Fairway Log'!$A$2:$A$73=$A227)*
        ('Fairway Log'!$B$2:$B$73=$B227)*
        ('Fairway Log'!$C$2:$C298=$C227),
      0),
      MATCH($G227,'Fairway Log'!$E$1:$V$1,0)
    ),
  "")
)</f>
        <v>→</v>
      </c>
      <c r="Q227" t="str" cm="1">
        <f t="array" ref="Q227">IFERROR(
  INDEX('GIR Log'!$E$2:$V$73,
    MATCH(1,
      ('GIR Log'!$A$2:$A$73=$A227)*
      ('GIR Log'!$B$2:$B$73=$B227)*
      ('GIR Log'!$C$2:$C$73=$C227),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Log'!$E$2:$V$73,
    MATCH(1,
      ('Golf Log'!$A$2:$A$73=$A228)*
      ('Golf Log'!$B$2:$B$73=$B228)*
      ('Golf Log'!$C$2:$C$73=$C228),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Log'!$E$2:$V$73,
    MATCH(1,
      ('Putt Log'!$A$2:$A$73=$A228)*
      ('Putt Log'!$B$2:$B$73=$B228)*
      ('Putt Log'!$C$2:$C$73=$C228),
    0),
    MATCH($G228,'Putt Log'!$E$1:$V$1,0)
  ),
"")</f>
        <v>1</v>
      </c>
      <c r="P228" cm="1">
        <f t="array" ref="P228">IF(K228=3,"",
  IFERROR(
    INDEX('Fairway Log'!$E$2:$V$73,
      MATCH(1,
        ('Fairway Log'!$A$2:$A$73=$A228)*
        ('Fairway Log'!$B$2:$B$73=$B228)*
        ('Fairway Log'!$C$2:$C299=$C228),
      0),
      MATCH($G228,'Fairway Log'!$E$1:$V$1,0)
    ),
  "")
)</f>
        <v>1</v>
      </c>
      <c r="Q228" t="str" cm="1">
        <f t="array" ref="Q228">IFERROR(
  INDEX('GIR Log'!$E$2:$V$73,
    MATCH(1,
      ('GIR Log'!$A$2:$A$73=$A228)*
      ('GIR Log'!$B$2:$B$73=$B228)*
      ('GIR Log'!$C$2:$C$73=$C228),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Log'!$E$2:$V$73,
    MATCH(1,
      ('Golf Log'!$A$2:$A$73=$A229)*
      ('Golf Log'!$B$2:$B$73=$B229)*
      ('Golf Log'!$C$2:$C$73=$C229),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Log'!$E$2:$V$73,
    MATCH(1,
      ('Putt Log'!$A$2:$A$73=$A229)*
      ('Putt Log'!$B$2:$B$73=$B229)*
      ('Putt Log'!$C$2:$C$73=$C229),
    0),
    MATCH($G229,'Putt Log'!$E$1:$V$1,0)
  ),
"")</f>
        <v>1</v>
      </c>
      <c r="P229" t="str" cm="1">
        <f t="array" ref="P229">IF(K229=3,"",
  IFERROR(
    INDEX('Fairway Log'!$E$2:$V$73,
      MATCH(1,
        ('Fairway Log'!$A$2:$A$73=$A229)*
        ('Fairway Log'!$B$2:$B$73=$B229)*
        ('Fairway Log'!$C$2:$C300=$C229),
      0),
      MATCH($G229,'Fairway Log'!$E$1:$V$1,0)
    ),
  "")
)</f>
        <v/>
      </c>
      <c r="Q229" t="str" cm="1">
        <f t="array" ref="Q229">IFERROR(
  INDEX('GIR Log'!$E$2:$V$73,
    MATCH(1,
      ('GIR Log'!$A$2:$A$73=$A229)*
      ('GIR Log'!$B$2:$B$73=$B229)*
      ('GIR Log'!$C$2:$C$73=$C229),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Log'!$E$2:$V$73,
    MATCH(1,
      ('Golf Log'!$A$2:$A$73=$A230)*
      ('Golf Log'!$B$2:$B$73=$B230)*
      ('Golf Log'!$C$2:$C$73=$C230),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Log'!$E$2:$V$73,
    MATCH(1,
      ('Putt Log'!$A$2:$A$73=$A230)*
      ('Putt Log'!$B$2:$B$73=$B230)*
      ('Putt Log'!$C$2:$C$73=$C230),
    0),
    MATCH($G230,'Putt Log'!$E$1:$V$1,0)
  ),
"")</f>
        <v>2</v>
      </c>
      <c r="P230" t="str" cm="1">
        <f t="array" ref="P230">IF(K230=3,"",
  IFERROR(
    INDEX('Fairway Log'!$E$2:$V$73,
      MATCH(1,
        ('Fairway Log'!$A$2:$A$73=$A230)*
        ('Fairway Log'!$B$2:$B$73=$B230)*
        ('Fairway Log'!$C$2:$C301=$C230),
      0),
      MATCH($G230,'Fairway Log'!$E$1:$V$1,0)
    ),
  "")
)</f>
        <v>←</v>
      </c>
      <c r="Q230" t="str" cm="1">
        <f t="array" ref="Q230">IFERROR(
  INDEX('GIR Log'!$E$2:$V$73,
    MATCH(1,
      ('GIR Log'!$A$2:$A$73=$A230)*
      ('GIR Log'!$B$2:$B$73=$B230)*
      ('GIR Log'!$C$2:$C$73=$C230),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Log'!$E$2:$V$73,
    MATCH(1,
      ('Golf Log'!$A$2:$A$73=$A231)*
      ('Golf Log'!$B$2:$B$73=$B231)*
      ('Golf Log'!$C$2:$C$73=$C231),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Log'!$E$2:$V$73,
    MATCH(1,
      ('Putt Log'!$A$2:$A$73=$A231)*
      ('Putt Log'!$B$2:$B$73=$B231)*
      ('Putt Log'!$C$2:$C$73=$C231),
    0),
    MATCH($G231,'Putt Log'!$E$1:$V$1,0)
  ),
"")</f>
        <v>1</v>
      </c>
      <c r="P231" cm="1">
        <f t="array" ref="P231">IF(K231=3,"",
  IFERROR(
    INDEX('Fairway Log'!$E$2:$V$73,
      MATCH(1,
        ('Fairway Log'!$A$2:$A$73=$A231)*
        ('Fairway Log'!$B$2:$B$73=$B231)*
        ('Fairway Log'!$C$2:$C302=$C231),
      0),
      MATCH($G231,'Fairway Log'!$E$1:$V$1,0)
    ),
  "")
)</f>
        <v>1</v>
      </c>
      <c r="Q231" t="str" cm="1">
        <f t="array" ref="Q231">IFERROR(
  INDEX('GIR Log'!$E$2:$V$73,
    MATCH(1,
      ('GIR Log'!$A$2:$A$73=$A231)*
      ('GIR Log'!$B$2:$B$73=$B231)*
      ('GIR Log'!$C$2:$C$73=$C231),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Log'!$E$2:$V$73,
    MATCH(1,
      ('Golf Log'!$A$2:$A$73=$A232)*
      ('Golf Log'!$B$2:$B$73=$B232)*
      ('Golf Log'!$C$2:$C$73=$C232),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Log'!$E$2:$V$73,
    MATCH(1,
      ('Putt Log'!$A$2:$A$73=$A232)*
      ('Putt Log'!$B$2:$B$73=$B232)*
      ('Putt Log'!$C$2:$C$73=$C232),
    0),
    MATCH($G232,'Putt Log'!$E$1:$V$1,0)
  ),
"")</f>
        <v>2</v>
      </c>
      <c r="P232" t="str" cm="1">
        <f t="array" ref="P232">IF(K232=3,"",
  IFERROR(
    INDEX('Fairway Log'!$E$2:$V$73,
      MATCH(1,
        ('Fairway Log'!$A$2:$A$73=$A232)*
        ('Fairway Log'!$B$2:$B$73=$B232)*
        ('Fairway Log'!$C$2:$C303=$C232),
      0),
      MATCH($G232,'Fairway Log'!$E$1:$V$1,0)
    ),
  "")
)</f>
        <v>→</v>
      </c>
      <c r="Q232" t="str" cm="1">
        <f t="array" ref="Q232">IFERROR(
  INDEX('GIR Log'!$E$2:$V$73,
    MATCH(1,
      ('GIR Log'!$A$2:$A$73=$A232)*
      ('GIR Log'!$B$2:$B$73=$B232)*
      ('GIR Log'!$C$2:$C$73=$C232),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Log'!$E$2:$V$73,
    MATCH(1,
      ('Golf Log'!$A$2:$A$73=$A233)*
      ('Golf Log'!$B$2:$B$73=$B233)*
      ('Golf Log'!$C$2:$C$73=$C233),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Log'!$E$2:$V$73,
    MATCH(1,
      ('Putt Log'!$A$2:$A$73=$A233)*
      ('Putt Log'!$B$2:$B$73=$B233)*
      ('Putt Log'!$C$2:$C$73=$C233),
    0),
    MATCH($G233,'Putt Log'!$E$1:$V$1,0)
  ),
"")</f>
        <v>2</v>
      </c>
      <c r="P233" cm="1">
        <f t="array" ref="P233">IF(K233=3,"",
  IFERROR(
    INDEX('Fairway Log'!$E$2:$V$73,
      MATCH(1,
        ('Fairway Log'!$A$2:$A$73=$A233)*
        ('Fairway Log'!$B$2:$B$73=$B233)*
        ('Fairway Log'!$C$2:$C304=$C233),
      0),
      MATCH($G233,'Fairway Log'!$E$1:$V$1,0)
    ),
  "")
)</f>
        <v>1</v>
      </c>
      <c r="Q233" cm="1">
        <f t="array" ref="Q233">IFERROR(
  INDEX('GIR Log'!$E$2:$V$73,
    MATCH(1,
      ('GIR Log'!$A$2:$A$73=$A233)*
      ('GIR Log'!$B$2:$B$73=$B233)*
      ('GIR Log'!$C$2:$C$73=$C233),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Log'!$E$2:$V$73,
    MATCH(1,
      ('Golf Log'!$A$2:$A$73=$A234)*
      ('Golf Log'!$B$2:$B$73=$B234)*
      ('Golf Log'!$C$2:$C$73=$C234),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Log'!$E$2:$V$73,
    MATCH(1,
      ('Putt Log'!$A$2:$A$73=$A234)*
      ('Putt Log'!$B$2:$B$73=$B234)*
      ('Putt Log'!$C$2:$C$73=$C234),
    0),
    MATCH($G234,'Putt Log'!$E$1:$V$1,0)
  ),
"")</f>
        <v>1</v>
      </c>
      <c r="P234" t="str" cm="1">
        <f t="array" ref="P234">IF(K234=3,"",
  IFERROR(
    INDEX('Fairway Log'!$E$2:$V$73,
      MATCH(1,
        ('Fairway Log'!$A$2:$A$73=$A234)*
        ('Fairway Log'!$B$2:$B$73=$B234)*
        ('Fairway Log'!$C$2:$C305=$C234),
      0),
      MATCH($G234,'Fairway Log'!$E$1:$V$1,0)
    ),
  "")
)</f>
        <v/>
      </c>
      <c r="Q234" t="str" cm="1">
        <f t="array" ref="Q234">IFERROR(
  INDEX('GIR Log'!$E$2:$V$73,
    MATCH(1,
      ('GIR Log'!$A$2:$A$73=$A234)*
      ('GIR Log'!$B$2:$B$73=$B234)*
      ('GIR Log'!$C$2:$C$73=$C234),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Log'!$E$2:$V$73,
    MATCH(1,
      ('Golf Log'!$A$2:$A$73=$A235)*
      ('Golf Log'!$B$2:$B$73=$B235)*
      ('Golf Log'!$C$2:$C$73=$C235),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Log'!$E$2:$V$73,
    MATCH(1,
      ('Putt Log'!$A$2:$A$73=$A235)*
      ('Putt Log'!$B$2:$B$73=$B235)*
      ('Putt Log'!$C$2:$C$73=$C235),
    0),
    MATCH($G235,'Putt Log'!$E$1:$V$1,0)
  ),
"")</f>
        <v>1</v>
      </c>
      <c r="P235" t="str" cm="1">
        <f t="array" ref="P235">IF(K235=3,"",
  IFERROR(
    INDEX('Fairway Log'!$E$2:$V$73,
      MATCH(1,
        ('Fairway Log'!$A$2:$A$73=$A235)*
        ('Fairway Log'!$B$2:$B$73=$B235)*
        ('Fairway Log'!$C$2:$C306=$C235),
      0),
      MATCH($G235,'Fairway Log'!$E$1:$V$1,0)
    ),
  "")
)</f>
        <v>→</v>
      </c>
      <c r="Q235" t="str" cm="1">
        <f t="array" ref="Q235">IFERROR(
  INDEX('GIR Log'!$E$2:$V$73,
    MATCH(1,
      ('GIR Log'!$A$2:$A$73=$A235)*
      ('GIR Log'!$B$2:$B$73=$B235)*
      ('GIR Log'!$C$2:$C$73=$C235),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Log'!$E$2:$V$73,
    MATCH(1,
      ('Golf Log'!$A$2:$A$73=$A236)*
      ('Golf Log'!$B$2:$B$73=$B236)*
      ('Golf Log'!$C$2:$C$73=$C236),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Log'!$E$2:$V$73,
    MATCH(1,
      ('Putt Log'!$A$2:$A$73=$A236)*
      ('Putt Log'!$B$2:$B$73=$B236)*
      ('Putt Log'!$C$2:$C$73=$C236),
    0),
    MATCH($G236,'Putt Log'!$E$1:$V$1,0)
  ),
"")</f>
        <v>2</v>
      </c>
      <c r="P236" t="str" cm="1">
        <f t="array" ref="P236">IF(K236=3,"",
  IFERROR(
    INDEX('Fairway Log'!$E$2:$V$73,
      MATCH(1,
        ('Fairway Log'!$A$2:$A$73=$A236)*
        ('Fairway Log'!$B$2:$B$73=$B236)*
        ('Fairway Log'!$C$2:$C307=$C236),
      0),
      MATCH($G236,'Fairway Log'!$E$1:$V$1,0)
    ),
  "")
)</f>
        <v>→</v>
      </c>
      <c r="Q236" t="str" cm="1">
        <f t="array" ref="Q236">IFERROR(
  INDEX('GIR Log'!$E$2:$V$73,
    MATCH(1,
      ('GIR Log'!$A$2:$A$73=$A236)*
      ('GIR Log'!$B$2:$B$73=$B236)*
      ('GIR Log'!$C$2:$C$73=$C236),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Log'!$E$2:$V$73,
    MATCH(1,
      ('Golf Log'!$A$2:$A$73=$A237)*
      ('Golf Log'!$B$2:$B$73=$B237)*
      ('Golf Log'!$C$2:$C$73=$C237),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Log'!$E$2:$V$73,
    MATCH(1,
      ('Putt Log'!$A$2:$A$73=$A237)*
      ('Putt Log'!$B$2:$B$73=$B237)*
      ('Putt Log'!$C$2:$C$73=$C237),
    0),
    MATCH($G237,'Putt Log'!$E$1:$V$1,0)
  ),
"")</f>
        <v>1</v>
      </c>
      <c r="P237" t="str" cm="1">
        <f t="array" ref="P237">IF(K237=3,"",
  IFERROR(
    INDEX('Fairway Log'!$E$2:$V$73,
      MATCH(1,
        ('Fairway Log'!$A$2:$A$73=$A237)*
        ('Fairway Log'!$B$2:$B$73=$B237)*
        ('Fairway Log'!$C$2:$C308=$C237),
      0),
      MATCH($G237,'Fairway Log'!$E$1:$V$1,0)
    ),
  "")
)</f>
        <v>→</v>
      </c>
      <c r="Q237" t="str" cm="1">
        <f t="array" ref="Q237">IFERROR(
  INDEX('GIR Log'!$E$2:$V$73,
    MATCH(1,
      ('GIR Log'!$A$2:$A$73=$A237)*
      ('GIR Log'!$B$2:$B$73=$B237)*
      ('GIR Log'!$C$2:$C$73=$C237),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Log'!$E$2:$V$73,
    MATCH(1,
      ('Golf Log'!$A$2:$A$73=$A238)*
      ('Golf Log'!$B$2:$B$73=$B238)*
      ('Golf Log'!$C$2:$C$73=$C238),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Log'!$E$2:$V$73,
    MATCH(1,
      ('Putt Log'!$A$2:$A$73=$A238)*
      ('Putt Log'!$B$2:$B$73=$B238)*
      ('Putt Log'!$C$2:$C$73=$C238),
    0),
    MATCH($G238,'Putt Log'!$E$1:$V$1,0)
  ),
"")</f>
        <v>2</v>
      </c>
      <c r="P238" t="str" cm="1">
        <f t="array" ref="P238">IF(K238=3,"",
  IFERROR(
    INDEX('Fairway Log'!$E$2:$V$73,
      MATCH(1,
        ('Fairway Log'!$A$2:$A$73=$A238)*
        ('Fairway Log'!$B$2:$B$73=$B238)*
        ('Fairway Log'!$C$2:$C309=$C238),
      0),
      MATCH($G238,'Fairway Log'!$E$1:$V$1,0)
    ),
  "")
)</f>
        <v/>
      </c>
      <c r="Q238" cm="1">
        <f t="array" ref="Q238">IFERROR(
  INDEX('GIR Log'!$E$2:$V$73,
    MATCH(1,
      ('GIR Log'!$A$2:$A$73=$A238)*
      ('GIR Log'!$B$2:$B$73=$B238)*
      ('GIR Log'!$C$2:$C$73=$C238),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Log'!$E$2:$V$73,
    MATCH(1,
      ('Golf Log'!$A$2:$A$73=$A239)*
      ('Golf Log'!$B$2:$B$73=$B239)*
      ('Golf Log'!$C$2:$C$73=$C239),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Log'!$E$2:$V$73,
    MATCH(1,
      ('Putt Log'!$A$2:$A$73=$A239)*
      ('Putt Log'!$B$2:$B$73=$B239)*
      ('Putt Log'!$C$2:$C$73=$C239),
    0),
    MATCH($G239,'Putt Log'!$E$1:$V$1,0)
  ),
"")</f>
        <v>2</v>
      </c>
      <c r="P239" cm="1">
        <f t="array" ref="P239">IF(K239=3,"",
  IFERROR(
    INDEX('Fairway Log'!$E$2:$V$73,
      MATCH(1,
        ('Fairway Log'!$A$2:$A$73=$A239)*
        ('Fairway Log'!$B$2:$B$73=$B239)*
        ('Fairway Log'!$C$2:$C310=$C239),
      0),
      MATCH($G239,'Fairway Log'!$E$1:$V$1,0)
    ),
  "")
)</f>
        <v>1</v>
      </c>
      <c r="Q239" cm="1">
        <f t="array" ref="Q239">IFERROR(
  INDEX('GIR Log'!$E$2:$V$73,
    MATCH(1,
      ('GIR Log'!$A$2:$A$73=$A239)*
      ('GIR Log'!$B$2:$B$73=$B239)*
      ('GIR Log'!$C$2:$C$73=$C239),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Log'!$E$2:$V$73,
    MATCH(1,
      ('Golf Log'!$A$2:$A$73=$A240)*
      ('Golf Log'!$B$2:$B$73=$B240)*
      ('Golf Log'!$C$2:$C$73=$C240),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Log'!$E$2:$V$73,
    MATCH(1,
      ('Putt Log'!$A$2:$A$73=$A240)*
      ('Putt Log'!$B$2:$B$73=$B240)*
      ('Putt Log'!$C$2:$C$73=$C240),
    0),
    MATCH($G240,'Putt Log'!$E$1:$V$1,0)
  ),
"")</f>
        <v>1</v>
      </c>
      <c r="P240" cm="1">
        <f t="array" ref="P240">IF(K240=3,"",
  IFERROR(
    INDEX('Fairway Log'!$E$2:$V$73,
      MATCH(1,
        ('Fairway Log'!$A$2:$A$73=$A240)*
        ('Fairway Log'!$B$2:$B$73=$B240)*
        ('Fairway Log'!$C$2:$C311=$C240),
      0),
      MATCH($G240,'Fairway Log'!$E$1:$V$1,0)
    ),
  "")
)</f>
        <v>1</v>
      </c>
      <c r="Q240" cm="1">
        <f t="array" ref="Q240">IFERROR(
  INDEX('GIR Log'!$E$2:$V$73,
    MATCH(1,
      ('GIR Log'!$A$2:$A$73=$A240)*
      ('GIR Log'!$B$2:$B$73=$B240)*
      ('GIR Log'!$C$2:$C$73=$C240),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Log'!$E$2:$V$73,
    MATCH(1,
      ('Golf Log'!$A$2:$A$73=$A241)*
      ('Golf Log'!$B$2:$B$73=$B241)*
      ('Golf Log'!$C$2:$C$73=$C241),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Log'!$E$2:$V$73,
    MATCH(1,
      ('Putt Log'!$A$2:$A$73=$A241)*
      ('Putt Log'!$B$2:$B$73=$B241)*
      ('Putt Log'!$C$2:$C$73=$C241),
    0),
    MATCH($G241,'Putt Log'!$E$1:$V$1,0)
  ),
"")</f>
        <v>1</v>
      </c>
      <c r="P241" t="str" cm="1">
        <f t="array" ref="P241">IF(K241=3,"",
  IFERROR(
    INDEX('Fairway Log'!$E$2:$V$73,
      MATCH(1,
        ('Fairway Log'!$A$2:$A$73=$A241)*
        ('Fairway Log'!$B$2:$B$73=$B241)*
        ('Fairway Log'!$C$2:$C312=$C241),
      0),
      MATCH($G241,'Fairway Log'!$E$1:$V$1,0)
    ),
  "")
)</f>
        <v>↑</v>
      </c>
      <c r="Q241" t="str" cm="1">
        <f t="array" ref="Q241">IFERROR(
  INDEX('GIR Log'!$E$2:$V$73,
    MATCH(1,
      ('GIR Log'!$A$2:$A$73=$A241)*
      ('GIR Log'!$B$2:$B$73=$B241)*
      ('GIR Log'!$C$2:$C$73=$C241),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Log'!$E$2:$V$73,
    MATCH(1,
      ('Golf Log'!$A$2:$A$73=$A242)*
      ('Golf Log'!$B$2:$B$73=$B242)*
      ('Golf Log'!$C$2:$C$73=$C242),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Log'!$E$2:$V$73,
    MATCH(1,
      ('Putt Log'!$A$2:$A$73=$A242)*
      ('Putt Log'!$B$2:$B$73=$B242)*
      ('Putt Log'!$C$2:$C$73=$C242),
    0),
    MATCH($G242,'Putt Log'!$E$1:$V$1,0)
  ),
"")</f>
        <v>1</v>
      </c>
      <c r="P242" t="str" cm="1">
        <f t="array" ref="P242">IF(K242=3,"",
  IFERROR(
    INDEX('Fairway Log'!$E$2:$V$73,
      MATCH(1,
        ('Fairway Log'!$A$2:$A$73=$A242)*
        ('Fairway Log'!$B$2:$B$73=$B242)*
        ('Fairway Log'!$C$2:$C313=$C242),
      0),
      MATCH($G242,'Fairway Log'!$E$1:$V$1,0)
    ),
  "")
)</f>
        <v/>
      </c>
      <c r="Q242" t="str" cm="1">
        <f t="array" ref="Q242">IFERROR(
  INDEX('GIR Log'!$E$2:$V$73,
    MATCH(1,
      ('GIR Log'!$A$2:$A$73=$A242)*
      ('GIR Log'!$B$2:$B$73=$B242)*
      ('GIR Log'!$C$2:$C$73=$C242),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Log'!$E$2:$V$73,
    MATCH(1,
      ('Golf Log'!$A$2:$A$73=$A243)*
      ('Golf Log'!$B$2:$B$73=$B243)*
      ('Golf Log'!$C$2:$C$73=$C243),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Log'!$E$2:$V$73,
    MATCH(1,
      ('Putt Log'!$A$2:$A$73=$A243)*
      ('Putt Log'!$B$2:$B$73=$B243)*
      ('Putt Log'!$C$2:$C$73=$C243),
    0),
    MATCH($G243,'Putt Log'!$E$1:$V$1,0)
  ),
"")</f>
        <v>2</v>
      </c>
      <c r="P243" cm="1">
        <f t="array" ref="P243">IF(K243=3,"",
  IFERROR(
    INDEX('Fairway Log'!$E$2:$V$73,
      MATCH(1,
        ('Fairway Log'!$A$2:$A$73=$A243)*
        ('Fairway Log'!$B$2:$B$73=$B243)*
        ('Fairway Log'!$C$2:$C314=$C243),
      0),
      MATCH($G243,'Fairway Log'!$E$1:$V$1,0)
    ),
  "")
)</f>
        <v>1</v>
      </c>
      <c r="Q243" cm="1">
        <f t="array" ref="Q243">IFERROR(
  INDEX('GIR Log'!$E$2:$V$73,
    MATCH(1,
      ('GIR Log'!$A$2:$A$73=$A243)*
      ('GIR Log'!$B$2:$B$73=$B243)*
      ('GIR Log'!$C$2:$C$73=$C243),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Log'!$E$2:$V$73,
    MATCH(1,
      ('Golf Log'!$A$2:$A$73=$A244)*
      ('Golf Log'!$B$2:$B$73=$B244)*
      ('Golf Log'!$C$2:$C$73=$C244),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Log'!$E$2:$V$73,
    MATCH(1,
      ('Putt Log'!$A$2:$A$73=$A244)*
      ('Putt Log'!$B$2:$B$73=$B244)*
      ('Putt Log'!$C$2:$C$73=$C244),
    0),
    MATCH($G244,'Putt Log'!$E$1:$V$1,0)
  ),
"")</f>
        <v>1</v>
      </c>
      <c r="P244" cm="1">
        <f t="array" ref="P244">IF(K244=3,"",
  IFERROR(
    INDEX('Fairway Log'!$E$2:$V$73,
      MATCH(1,
        ('Fairway Log'!$A$2:$A$73=$A244)*
        ('Fairway Log'!$B$2:$B$73=$B244)*
        ('Fairway Log'!$C$2:$C315=$C244),
      0),
      MATCH($G244,'Fairway Log'!$E$1:$V$1,0)
    ),
  "")
)</f>
        <v>1</v>
      </c>
      <c r="Q244" cm="1">
        <f t="array" ref="Q244">IFERROR(
  INDEX('GIR Log'!$E$2:$V$73,
    MATCH(1,
      ('GIR Log'!$A$2:$A$73=$A244)*
      ('GIR Log'!$B$2:$B$73=$B244)*
      ('GIR Log'!$C$2:$C$73=$C244),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Log'!$E$2:$V$73,
    MATCH(1,
      ('Golf Log'!$A$2:$A$73=$A245)*
      ('Golf Log'!$B$2:$B$73=$B245)*
      ('Golf Log'!$C$2:$C$73=$C245),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Log'!$E$2:$V$73,
    MATCH(1,
      ('Putt Log'!$A$2:$A$73=$A245)*
      ('Putt Log'!$B$2:$B$73=$B245)*
      ('Putt Log'!$C$2:$C$73=$C245),
    0),
    MATCH($G245,'Putt Log'!$E$1:$V$1,0)
  ),
"")</f>
        <v>2</v>
      </c>
      <c r="P245" cm="1">
        <f t="array" ref="P245">IF(K245=3,"",
  IFERROR(
    INDEX('Fairway Log'!$E$2:$V$73,
      MATCH(1,
        ('Fairway Log'!$A$2:$A$73=$A245)*
        ('Fairway Log'!$B$2:$B$73=$B245)*
        ('Fairway Log'!$C$2:$C316=$C245),
      0),
      MATCH($G245,'Fairway Log'!$E$1:$V$1,0)
    ),
  "")
)</f>
        <v>1</v>
      </c>
      <c r="Q245" cm="1">
        <f t="array" ref="Q245">IFERROR(
  INDEX('GIR Log'!$E$2:$V$73,
    MATCH(1,
      ('GIR Log'!$A$2:$A$73=$A245)*
      ('GIR Log'!$B$2:$B$73=$B245)*
      ('GIR Log'!$C$2:$C$73=$C245),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Log'!$E$2:$V$73,
    MATCH(1,
      ('Golf Log'!$A$2:$A$73=$A246)*
      ('Golf Log'!$B$2:$B$73=$B246)*
      ('Golf Log'!$C$2:$C$73=$C246),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Log'!$E$2:$V$73,
    MATCH(1,
      ('Putt Log'!$A$2:$A$73=$A246)*
      ('Putt Log'!$B$2:$B$73=$B246)*
      ('Putt Log'!$C$2:$C$73=$C246),
    0),
    MATCH($G246,'Putt Log'!$E$1:$V$1,0)
  ),
"")</f>
        <v>1</v>
      </c>
      <c r="P246" t="str" cm="1">
        <f t="array" ref="P246">IF(K246=3,"",
  IFERROR(
    INDEX('Fairway Log'!$E$2:$V$73,
      MATCH(1,
        ('Fairway Log'!$A$2:$A$73=$A246)*
        ('Fairway Log'!$B$2:$B$73=$B246)*
        ('Fairway Log'!$C$2:$C317=$C246),
      0),
      MATCH($G246,'Fairway Log'!$E$1:$V$1,0)
    ),
  "")
)</f>
        <v/>
      </c>
      <c r="Q246" t="str" cm="1">
        <f t="array" ref="Q246">IFERROR(
  INDEX('GIR Log'!$E$2:$V$73,
    MATCH(1,
      ('GIR Log'!$A$2:$A$73=$A246)*
      ('GIR Log'!$B$2:$B$73=$B246)*
      ('GIR Log'!$C$2:$C$73=$C246),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Log'!$E$2:$V$73,
    MATCH(1,
      ('Golf Log'!$A$2:$A$73=$A247)*
      ('Golf Log'!$B$2:$B$73=$B247)*
      ('Golf Log'!$C$2:$C$73=$C247),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Log'!$E$2:$V$73,
    MATCH(1,
      ('Putt Log'!$A$2:$A$73=$A247)*
      ('Putt Log'!$B$2:$B$73=$B247)*
      ('Putt Log'!$C$2:$C$73=$C247),
    0),
    MATCH($G247,'Putt Log'!$E$1:$V$1,0)
  ),
"")</f>
        <v>1</v>
      </c>
      <c r="P247" t="str" cm="1">
        <f t="array" ref="P247">IF(K247=3,"",
  IFERROR(
    INDEX('Fairway Log'!$E$2:$V$73,
      MATCH(1,
        ('Fairway Log'!$A$2:$A$73=$A247)*
        ('Fairway Log'!$B$2:$B$73=$B247)*
        ('Fairway Log'!$C$2:$C318=$C247),
      0),
      MATCH($G247,'Fairway Log'!$E$1:$V$1,0)
    ),
  "")
)</f>
        <v>→</v>
      </c>
      <c r="Q247" t="str" cm="1">
        <f t="array" ref="Q247">IFERROR(
  INDEX('GIR Log'!$E$2:$V$73,
    MATCH(1,
      ('GIR Log'!$A$2:$A$73=$A247)*
      ('GIR Log'!$B$2:$B$73=$B247)*
      ('GIR Log'!$C$2:$C$73=$C247),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Log'!$E$2:$V$73,
    MATCH(1,
      ('Golf Log'!$A$2:$A$73=$A248)*
      ('Golf Log'!$B$2:$B$73=$B248)*
      ('Golf Log'!$C$2:$C$73=$C248),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Log'!$E$2:$V$73,
    MATCH(1,
      ('Putt Log'!$A$2:$A$73=$A248)*
      ('Putt Log'!$B$2:$B$73=$B248)*
      ('Putt Log'!$C$2:$C$73=$C248),
    0),
    MATCH($G248,'Putt Log'!$E$1:$V$1,0)
  ),
"")</f>
        <v>2</v>
      </c>
      <c r="P248" cm="1">
        <f t="array" ref="P248">IF(K248=3,"",
  IFERROR(
    INDEX('Fairway Log'!$E$2:$V$73,
      MATCH(1,
        ('Fairway Log'!$A$2:$A$73=$A248)*
        ('Fairway Log'!$B$2:$B$73=$B248)*
        ('Fairway Log'!$C$2:$C319=$C248),
      0),
      MATCH($G248,'Fairway Log'!$E$1:$V$1,0)
    ),
  "")
)</f>
        <v>1</v>
      </c>
      <c r="Q248" cm="1">
        <f t="array" ref="Q248">IFERROR(
  INDEX('GIR Log'!$E$2:$V$73,
    MATCH(1,
      ('GIR Log'!$A$2:$A$73=$A248)*
      ('GIR Log'!$B$2:$B$73=$B248)*
      ('GIR Log'!$C$2:$C$73=$C248),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Log'!$E$2:$V$73,
    MATCH(1,
      ('Golf Log'!$A$2:$A$73=$A249)*
      ('Golf Log'!$B$2:$B$73=$B249)*
      ('Golf Log'!$C$2:$C$73=$C249),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Log'!$E$2:$V$73,
    MATCH(1,
      ('Putt Log'!$A$2:$A$73=$A249)*
      ('Putt Log'!$B$2:$B$73=$B249)*
      ('Putt Log'!$C$2:$C$73=$C249),
    0),
    MATCH($G249,'Putt Log'!$E$1:$V$1,0)
  ),
"")</f>
        <v>2</v>
      </c>
      <c r="P249" cm="1">
        <f t="array" ref="P249">IF(K249=3,"",
  IFERROR(
    INDEX('Fairway Log'!$E$2:$V$73,
      MATCH(1,
        ('Fairway Log'!$A$2:$A$73=$A249)*
        ('Fairway Log'!$B$2:$B$73=$B249)*
        ('Fairway Log'!$C$2:$C320=$C249),
      0),
      MATCH($G249,'Fairway Log'!$E$1:$V$1,0)
    ),
  "")
)</f>
        <v>1</v>
      </c>
      <c r="Q249" t="str" cm="1">
        <f t="array" ref="Q249">IFERROR(
  INDEX('GIR Log'!$E$2:$V$73,
    MATCH(1,
      ('GIR Log'!$A$2:$A$73=$A249)*
      ('GIR Log'!$B$2:$B$73=$B249)*
      ('GIR Log'!$C$2:$C$73=$C249),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Log'!$E$2:$V$73,
    MATCH(1,
      ('Golf Log'!$A$2:$A$73=$A250)*
      ('Golf Log'!$B$2:$B$73=$B250)*
      ('Golf Log'!$C$2:$C$73=$C250),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Log'!$E$2:$V$73,
    MATCH(1,
      ('Putt Log'!$A$2:$A$73=$A250)*
      ('Putt Log'!$B$2:$B$73=$B250)*
      ('Putt Log'!$C$2:$C$73=$C250),
    0),
    MATCH($G250,'Putt Log'!$E$1:$V$1,0)
  ),
"")</f>
        <v>2</v>
      </c>
      <c r="P250" t="str" cm="1">
        <f t="array" ref="P250">IF(K250=3,"",
  IFERROR(
    INDEX('Fairway Log'!$E$2:$V$73,
      MATCH(1,
        ('Fairway Log'!$A$2:$A$73=$A250)*
        ('Fairway Log'!$B$2:$B$73=$B250)*
        ('Fairway Log'!$C$2:$C321=$C250),
      0),
      MATCH($G250,'Fairway Log'!$E$1:$V$1,0)
    ),
  "")
)</f>
        <v>↓</v>
      </c>
      <c r="Q250" t="str" cm="1">
        <f t="array" ref="Q250">IFERROR(
  INDEX('GIR Log'!$E$2:$V$73,
    MATCH(1,
      ('GIR Log'!$A$2:$A$73=$A250)*
      ('GIR Log'!$B$2:$B$73=$B250)*
      ('GIR Log'!$C$2:$C$73=$C250),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Log'!$E$2:$V$73,
    MATCH(1,
      ('Golf Log'!$A$2:$A$73=$A251)*
      ('Golf Log'!$B$2:$B$73=$B251)*
      ('Golf Log'!$C$2:$C$73=$C251),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Log'!$E$2:$V$73,
    MATCH(1,
      ('Putt Log'!$A$2:$A$73=$A251)*
      ('Putt Log'!$B$2:$B$73=$B251)*
      ('Putt Log'!$C$2:$C$73=$C251),
    0),
    MATCH($G251,'Putt Log'!$E$1:$V$1,0)
  ),
"")</f>
        <v>2</v>
      </c>
      <c r="P251" t="str" cm="1">
        <f t="array" ref="P251">IF(K251=3,"",
  IFERROR(
    INDEX('Fairway Log'!$E$2:$V$73,
      MATCH(1,
        ('Fairway Log'!$A$2:$A$73=$A251)*
        ('Fairway Log'!$B$2:$B$73=$B251)*
        ('Fairway Log'!$C$2:$C322=$C251),
      0),
      MATCH($G251,'Fairway Log'!$E$1:$V$1,0)
    ),
  "")
)</f>
        <v>→</v>
      </c>
      <c r="Q251" cm="1">
        <f t="array" ref="Q251">IFERROR(
  INDEX('GIR Log'!$E$2:$V$73,
    MATCH(1,
      ('GIR Log'!$A$2:$A$73=$A251)*
      ('GIR Log'!$B$2:$B$73=$B251)*
      ('GIR Log'!$C$2:$C$73=$C251),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Log'!$E$2:$V$73,
    MATCH(1,
      ('Golf Log'!$A$2:$A$73=$A252)*
      ('Golf Log'!$B$2:$B$73=$B252)*
      ('Golf Log'!$C$2:$C$73=$C252),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Log'!$E$2:$V$73,
    MATCH(1,
      ('Putt Log'!$A$2:$A$73=$A252)*
      ('Putt Log'!$B$2:$B$73=$B252)*
      ('Putt Log'!$C$2:$C$73=$C252),
    0),
    MATCH($G252,'Putt Log'!$E$1:$V$1,0)
  ),
"")</f>
        <v>2</v>
      </c>
      <c r="P252" t="str" cm="1">
        <f t="array" ref="P252">IF(K252=3,"",
  IFERROR(
    INDEX('Fairway Log'!$E$2:$V$73,
      MATCH(1,
        ('Fairway Log'!$A$2:$A$73=$A252)*
        ('Fairway Log'!$B$2:$B$73=$B252)*
        ('Fairway Log'!$C$2:$C323=$C252),
      0),
      MATCH($G252,'Fairway Log'!$E$1:$V$1,0)
    ),
  "")
)</f>
        <v/>
      </c>
      <c r="Q252" t="str" cm="1">
        <f t="array" ref="Q252">IFERROR(
  INDEX('GIR Log'!$E$2:$V$73,
    MATCH(1,
      ('GIR Log'!$A$2:$A$73=$A252)*
      ('GIR Log'!$B$2:$B$73=$B252)*
      ('GIR Log'!$C$2:$C$73=$C252),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Log'!$E$2:$V$73,
    MATCH(1,
      ('Golf Log'!$A$2:$A$73=$A253)*
      ('Golf Log'!$B$2:$B$73=$B253)*
      ('Golf Log'!$C$2:$C$73=$C253),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Log'!$E$2:$V$73,
    MATCH(1,
      ('Putt Log'!$A$2:$A$73=$A253)*
      ('Putt Log'!$B$2:$B$73=$B253)*
      ('Putt Log'!$C$2:$C$73=$C253),
    0),
    MATCH($G253,'Putt Log'!$E$1:$V$1,0)
  ),
"")</f>
        <v>2</v>
      </c>
      <c r="P253" cm="1">
        <f t="array" ref="P253">IF(K253=3,"",
  IFERROR(
    INDEX('Fairway Log'!$E$2:$V$73,
      MATCH(1,
        ('Fairway Log'!$A$2:$A$73=$A253)*
        ('Fairway Log'!$B$2:$B$73=$B253)*
        ('Fairway Log'!$C$2:$C324=$C253),
      0),
      MATCH($G253,'Fairway Log'!$E$1:$V$1,0)
    ),
  "")
)</f>
        <v>1</v>
      </c>
      <c r="Q253" t="str" cm="1">
        <f t="array" ref="Q253">IFERROR(
  INDEX('GIR Log'!$E$2:$V$73,
    MATCH(1,
      ('GIR Log'!$A$2:$A$73=$A253)*
      ('GIR Log'!$B$2:$B$73=$B253)*
      ('GIR Log'!$C$2:$C$73=$C253),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Log'!$E$2:$V$73,
    MATCH(1,
      ('Golf Log'!$A$2:$A$73=$A254)*
      ('Golf Log'!$B$2:$B$73=$B254)*
      ('Golf Log'!$C$2:$C$73=$C254),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Log'!$E$2:$V$73,
    MATCH(1,
      ('Putt Log'!$A$2:$A$73=$A254)*
      ('Putt Log'!$B$2:$B$73=$B254)*
      ('Putt Log'!$C$2:$C$73=$C254),
    0),
    MATCH($G254,'Putt Log'!$E$1:$V$1,0)
  ),
"")</f>
        <v>2</v>
      </c>
      <c r="P254" t="str" cm="1">
        <f t="array" ref="P254">IF(K254=3,"",
  IFERROR(
    INDEX('Fairway Log'!$E$2:$V$73,
      MATCH(1,
        ('Fairway Log'!$A$2:$A$73=$A254)*
        ('Fairway Log'!$B$2:$B$73=$B254)*
        ('Fairway Log'!$C$2:$C325=$C254),
      0),
      MATCH($G254,'Fairway Log'!$E$1:$V$1,0)
    ),
  "")
)</f>
        <v>←</v>
      </c>
      <c r="Q254" t="str" cm="1">
        <f t="array" ref="Q254">IFERROR(
  INDEX('GIR Log'!$E$2:$V$73,
    MATCH(1,
      ('GIR Log'!$A$2:$A$73=$A254)*
      ('GIR Log'!$B$2:$B$73=$B254)*
      ('GIR Log'!$C$2:$C$73=$C254),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Log'!$E$2:$V$73,
    MATCH(1,
      ('Golf Log'!$A$2:$A$73=$A255)*
      ('Golf Log'!$B$2:$B$73=$B255)*
      ('Golf Log'!$C$2:$C$73=$C255),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Log'!$E$2:$V$73,
    MATCH(1,
      ('Putt Log'!$A$2:$A$73=$A255)*
      ('Putt Log'!$B$2:$B$73=$B255)*
      ('Putt Log'!$C$2:$C$73=$C255),
    0),
    MATCH($G255,'Putt Log'!$E$1:$V$1,0)
  ),
"")</f>
        <v>2</v>
      </c>
      <c r="P255" t="str" cm="1">
        <f t="array" ref="P255">IF(K255=3,"",
  IFERROR(
    INDEX('Fairway Log'!$E$2:$V$73,
      MATCH(1,
        ('Fairway Log'!$A$2:$A$73=$A255)*
        ('Fairway Log'!$B$2:$B$73=$B255)*
        ('Fairway Log'!$C$2:$C326=$C255),
      0),
      MATCH($G255,'Fairway Log'!$E$1:$V$1,0)
    ),
  "")
)</f>
        <v>←</v>
      </c>
      <c r="Q255" t="str" cm="1">
        <f t="array" ref="Q255">IFERROR(
  INDEX('GIR Log'!$E$2:$V$73,
    MATCH(1,
      ('GIR Log'!$A$2:$A$73=$A255)*
      ('GIR Log'!$B$2:$B$73=$B255)*
      ('GIR Log'!$C$2:$C$73=$C255),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Log'!$E$2:$V$73,
    MATCH(1,
      ('Golf Log'!$A$2:$A$73=$A256)*
      ('Golf Log'!$B$2:$B$73=$B256)*
      ('Golf Log'!$C$2:$C$73=$C256),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Log'!$E$2:$V$73,
    MATCH(1,
      ('Putt Log'!$A$2:$A$73=$A256)*
      ('Putt Log'!$B$2:$B$73=$B256)*
      ('Putt Log'!$C$2:$C$73=$C256),
    0),
    MATCH($G256,'Putt Log'!$E$1:$V$1,0)
  ),
"")</f>
        <v>1</v>
      </c>
      <c r="P256" t="str" cm="1">
        <f t="array" ref="P256">IF(K256=3,"",
  IFERROR(
    INDEX('Fairway Log'!$E$2:$V$73,
      MATCH(1,
        ('Fairway Log'!$A$2:$A$73=$A256)*
        ('Fairway Log'!$B$2:$B$73=$B256)*
        ('Fairway Log'!$C$2:$C327=$C256),
      0),
      MATCH($G256,'Fairway Log'!$E$1:$V$1,0)
    ),
  "")
)</f>
        <v/>
      </c>
      <c r="Q256" t="str" cm="1">
        <f t="array" ref="Q256">IFERROR(
  INDEX('GIR Log'!$E$2:$V$73,
    MATCH(1,
      ('GIR Log'!$A$2:$A$73=$A256)*
      ('GIR Log'!$B$2:$B$73=$B256)*
      ('GIR Log'!$C$2:$C$73=$C256),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Log'!$E$2:$V$73,
    MATCH(1,
      ('Golf Log'!$A$2:$A$73=$A257)*
      ('Golf Log'!$B$2:$B$73=$B257)*
      ('Golf Log'!$C$2:$C$73=$C257),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Log'!$E$2:$V$73,
    MATCH(1,
      ('Putt Log'!$A$2:$A$73=$A257)*
      ('Putt Log'!$B$2:$B$73=$B257)*
      ('Putt Log'!$C$2:$C$73=$C257),
    0),
    MATCH($G257,'Putt Log'!$E$1:$V$1,0)
  ),
"")</f>
        <v>2</v>
      </c>
      <c r="P257" t="str" cm="1">
        <f t="array" ref="P257">IF(K257=3,"",
  IFERROR(
    INDEX('Fairway Log'!$E$2:$V$73,
      MATCH(1,
        ('Fairway Log'!$A$2:$A$73=$A257)*
        ('Fairway Log'!$B$2:$B$73=$B257)*
        ('Fairway Log'!$C$2:$C328=$C257),
      0),
      MATCH($G257,'Fairway Log'!$E$1:$V$1,0)
    ),
  "")
)</f>
        <v>→</v>
      </c>
      <c r="Q257" cm="1">
        <f t="array" ref="Q257">IFERROR(
  INDEX('GIR Log'!$E$2:$V$73,
    MATCH(1,
      ('GIR Log'!$A$2:$A$73=$A257)*
      ('GIR Log'!$B$2:$B$73=$B257)*
      ('GIR Log'!$C$2:$C$73=$C257),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Log'!$E$2:$V$73,
    MATCH(1,
      ('Golf Log'!$A$2:$A$73=$A258)*
      ('Golf Log'!$B$2:$B$73=$B258)*
      ('Golf Log'!$C$2:$C$73=$C258),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Log'!$E$2:$V$73,
    MATCH(1,
      ('Putt Log'!$A$2:$A$73=$A258)*
      ('Putt Log'!$B$2:$B$73=$B258)*
      ('Putt Log'!$C$2:$C$73=$C258),
    0),
    MATCH($G258,'Putt Log'!$E$1:$V$1,0)
  ),
"")</f>
        <v>2</v>
      </c>
      <c r="P258" cm="1">
        <f t="array" ref="P258">IF(K258=3,"",
  IFERROR(
    INDEX('Fairway Log'!$E$2:$V$73,
      MATCH(1,
        ('Fairway Log'!$A$2:$A$73=$A258)*
        ('Fairway Log'!$B$2:$B$73=$B258)*
        ('Fairway Log'!$C$2:$C329=$C258),
      0),
      MATCH($G258,'Fairway Log'!$E$1:$V$1,0)
    ),
  "")
)</f>
        <v>1</v>
      </c>
      <c r="Q258" cm="1">
        <f t="array" ref="Q258">IFERROR(
  INDEX('GIR Log'!$E$2:$V$73,
    MATCH(1,
      ('GIR Log'!$A$2:$A$73=$A258)*
      ('GIR Log'!$B$2:$B$73=$B258)*
      ('GIR Log'!$C$2:$C$73=$C258),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Log'!$E$2:$V$73,
    MATCH(1,
      ('Golf Log'!$A$2:$A$73=$A259)*
      ('Golf Log'!$B$2:$B$73=$B259)*
      ('Golf Log'!$C$2:$C$73=$C259),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Log'!$E$2:$V$73,
    MATCH(1,
      ('Putt Log'!$A$2:$A$73=$A259)*
      ('Putt Log'!$B$2:$B$73=$B259)*
      ('Putt Log'!$C$2:$C$73=$C259),
    0),
    MATCH($G259,'Putt Log'!$E$1:$V$1,0)
  ),
"")</f>
        <v>2</v>
      </c>
      <c r="P259" cm="1">
        <f t="array" ref="P259">IF(K259=3,"",
  IFERROR(
    INDEX('Fairway Log'!$E$2:$V$73,
      MATCH(1,
        ('Fairway Log'!$A$2:$A$73=$A259)*
        ('Fairway Log'!$B$2:$B$73=$B259)*
        ('Fairway Log'!$C$2:$C330=$C259),
      0),
      MATCH($G259,'Fairway Log'!$E$1:$V$1,0)
    ),
  "")
)</f>
        <v>1</v>
      </c>
      <c r="Q259" t="str" cm="1">
        <f t="array" ref="Q259">IFERROR(
  INDEX('GIR Log'!$E$2:$V$73,
    MATCH(1,
      ('GIR Log'!$A$2:$A$73=$A259)*
      ('GIR Log'!$B$2:$B$73=$B259)*
      ('GIR Log'!$C$2:$C$73=$C259),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Log'!$E$2:$V$73,
    MATCH(1,
      ('Golf Log'!$A$2:$A$73=$A260)*
      ('Golf Log'!$B$2:$B$73=$B260)*
      ('Golf Log'!$C$2:$C$73=$C260),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Log'!$E$2:$V$73,
    MATCH(1,
      ('Putt Log'!$A$2:$A$73=$A260)*
      ('Putt Log'!$B$2:$B$73=$B260)*
      ('Putt Log'!$C$2:$C$73=$C260),
    0),
    MATCH($G260,'Putt Log'!$E$1:$V$1,0)
  ),
"")</f>
        <v>2</v>
      </c>
      <c r="P260" t="str" cm="1">
        <f t="array" ref="P260">IF(K260=3,"",
  IFERROR(
    INDEX('Fairway Log'!$E$2:$V$73,
      MATCH(1,
        ('Fairway Log'!$A$2:$A$73=$A260)*
        ('Fairway Log'!$B$2:$B$73=$B260)*
        ('Fairway Log'!$C$2:$C331=$C260),
      0),
      MATCH($G260,'Fairway Log'!$E$1:$V$1,0)
    ),
  "")
)</f>
        <v/>
      </c>
      <c r="Q260" t="str" cm="1">
        <f t="array" ref="Q260">IFERROR(
  INDEX('GIR Log'!$E$2:$V$73,
    MATCH(1,
      ('GIR Log'!$A$2:$A$73=$A260)*
      ('GIR Log'!$B$2:$B$73=$B260)*
      ('GIR Log'!$C$2:$C$73=$C260),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Log'!$E$2:$V$73,
    MATCH(1,
      ('Golf Log'!$A$2:$A$73=$A261)*
      ('Golf Log'!$B$2:$B$73=$B261)*
      ('Golf Log'!$C$2:$C$73=$C261),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Log'!$E$2:$V$73,
    MATCH(1,
      ('Putt Log'!$A$2:$A$73=$A261)*
      ('Putt Log'!$B$2:$B$73=$B261)*
      ('Putt Log'!$C$2:$C$73=$C261),
    0),
    MATCH($G261,'Putt Log'!$E$1:$V$1,0)
  ),
"")</f>
        <v>1</v>
      </c>
      <c r="P261" t="str" cm="1">
        <f t="array" ref="P261">IF(K261=3,"",
  IFERROR(
    INDEX('Fairway Log'!$E$2:$V$73,
      MATCH(1,
        ('Fairway Log'!$A$2:$A$73=$A261)*
        ('Fairway Log'!$B$2:$B$73=$B261)*
        ('Fairway Log'!$C$2:$C332=$C261),
      0),
      MATCH($G261,'Fairway Log'!$E$1:$V$1,0)
    ),
  "")
)</f>
        <v>←</v>
      </c>
      <c r="Q261" t="str" cm="1">
        <f t="array" ref="Q261">IFERROR(
  INDEX('GIR Log'!$E$2:$V$73,
    MATCH(1,
      ('GIR Log'!$A$2:$A$73=$A261)*
      ('GIR Log'!$B$2:$B$73=$B261)*
      ('GIR Log'!$C$2:$C$73=$C261),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Log'!$E$2:$V$73,
    MATCH(1,
      ('Golf Log'!$A$2:$A$73=$A262)*
      ('Golf Log'!$B$2:$B$73=$B262)*
      ('Golf Log'!$C$2:$C$73=$C262),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Log'!$E$2:$V$73,
    MATCH(1,
      ('Putt Log'!$A$2:$A$73=$A262)*
      ('Putt Log'!$B$2:$B$73=$B262)*
      ('Putt Log'!$C$2:$C$73=$C262),
    0),
    MATCH($G262,'Putt Log'!$E$1:$V$1,0)
  ),
"")</f>
        <v>1</v>
      </c>
      <c r="P262" cm="1">
        <f t="array" ref="P262">IF(K262=3,"",
  IFERROR(
    INDEX('Fairway Log'!$E$2:$V$73,
      MATCH(1,
        ('Fairway Log'!$A$2:$A$73=$A262)*
        ('Fairway Log'!$B$2:$B$73=$B262)*
        ('Fairway Log'!$C$2:$C333=$C262),
      0),
      MATCH($G262,'Fairway Log'!$E$1:$V$1,0)
    ),
  "")
)</f>
        <v>1</v>
      </c>
      <c r="Q262" t="str" cm="1">
        <f t="array" ref="Q262">IFERROR(
  INDEX('GIR Log'!$E$2:$V$73,
    MATCH(1,
      ('GIR Log'!$A$2:$A$73=$A262)*
      ('GIR Log'!$B$2:$B$73=$B262)*
      ('GIR Log'!$C$2:$C$73=$C262),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Log'!$E$2:$V$73,
    MATCH(1,
      ('Golf Log'!$A$2:$A$73=$A263)*
      ('Golf Log'!$B$2:$B$73=$B263)*
      ('Golf Log'!$C$2:$C$73=$C263),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Log'!$E$2:$V$73,
    MATCH(1,
      ('Putt Log'!$A$2:$A$73=$A263)*
      ('Putt Log'!$B$2:$B$73=$B263)*
      ('Putt Log'!$C$2:$C$73=$C263),
    0),
    MATCH($G263,'Putt Log'!$E$1:$V$1,0)
  ),
"")</f>
        <v>2</v>
      </c>
      <c r="P263" t="str" cm="1">
        <f t="array" ref="P263">IF(K263=3,"",
  IFERROR(
    INDEX('Fairway Log'!$E$2:$V$73,
      MATCH(1,
        ('Fairway Log'!$A$2:$A$73=$A263)*
        ('Fairway Log'!$B$2:$B$73=$B263)*
        ('Fairway Log'!$C$2:$C334=$C263),
      0),
      MATCH($G263,'Fairway Log'!$E$1:$V$1,0)
    ),
  "")
)</f>
        <v>↓</v>
      </c>
      <c r="Q263" t="str" cm="1">
        <f t="array" ref="Q263">IFERROR(
  INDEX('GIR Log'!$E$2:$V$73,
    MATCH(1,
      ('GIR Log'!$A$2:$A$73=$A263)*
      ('GIR Log'!$B$2:$B$73=$B263)*
      ('GIR Log'!$C$2:$C$73=$C263),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Log'!$E$2:$V$73,
    MATCH(1,
      ('Golf Log'!$A$2:$A$73=$A264)*
      ('Golf Log'!$B$2:$B$73=$B264)*
      ('Golf Log'!$C$2:$C$73=$C264),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Log'!$E$2:$V$73,
    MATCH(1,
      ('Putt Log'!$A$2:$A$73=$A264)*
      ('Putt Log'!$B$2:$B$73=$B264)*
      ('Putt Log'!$C$2:$C$73=$C264),
    0),
    MATCH($G264,'Putt Log'!$E$1:$V$1,0)
  ),
"")</f>
        <v>2</v>
      </c>
      <c r="P264" t="str" cm="1">
        <f t="array" ref="P264">IF(K264=3,"",
  IFERROR(
    INDEX('Fairway Log'!$E$2:$V$73,
      MATCH(1,
        ('Fairway Log'!$A$2:$A$73=$A264)*
        ('Fairway Log'!$B$2:$B$73=$B264)*
        ('Fairway Log'!$C$2:$C335=$C264),
      0),
      MATCH($G264,'Fairway Log'!$E$1:$V$1,0)
    ),
  "")
)</f>
        <v/>
      </c>
      <c r="Q264" t="str" cm="1">
        <f t="array" ref="Q264">IFERROR(
  INDEX('GIR Log'!$E$2:$V$73,
    MATCH(1,
      ('GIR Log'!$A$2:$A$73=$A264)*
      ('GIR Log'!$B$2:$B$73=$B264)*
      ('GIR Log'!$C$2:$C$73=$C264),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Log'!$E$2:$V$73,
    MATCH(1,
      ('Golf Log'!$A$2:$A$73=$A265)*
      ('Golf Log'!$B$2:$B$73=$B265)*
      ('Golf Log'!$C$2:$C$73=$C265),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Log'!$E$2:$V$73,
    MATCH(1,
      ('Putt Log'!$A$2:$A$73=$A265)*
      ('Putt Log'!$B$2:$B$73=$B265)*
      ('Putt Log'!$C$2:$C$73=$C265),
    0),
    MATCH($G265,'Putt Log'!$E$1:$V$1,0)
  ),
"")</f>
        <v>2</v>
      </c>
      <c r="P265" t="str" cm="1">
        <f t="array" ref="P265">IF(K265=3,"",
  IFERROR(
    INDEX('Fairway Log'!$E$2:$V$73,
      MATCH(1,
        ('Fairway Log'!$A$2:$A$73=$A265)*
        ('Fairway Log'!$B$2:$B$73=$B265)*
        ('Fairway Log'!$C$2:$C336=$C265),
      0),
      MATCH($G265,'Fairway Log'!$E$1:$V$1,0)
    ),
  "")
)</f>
        <v>→</v>
      </c>
      <c r="Q265" cm="1">
        <f t="array" ref="Q265">IFERROR(
  INDEX('GIR Log'!$E$2:$V$73,
    MATCH(1,
      ('GIR Log'!$A$2:$A$73=$A265)*
      ('GIR Log'!$B$2:$B$73=$B265)*
      ('GIR Log'!$C$2:$C$73=$C265),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Log'!$E$2:$V$73,
    MATCH(1,
      ('Golf Log'!$A$2:$A$73=$A266)*
      ('Golf Log'!$B$2:$B$73=$B266)*
      ('Golf Log'!$C$2:$C$73=$C266),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Log'!$E$2:$V$73,
    MATCH(1,
      ('Putt Log'!$A$2:$A$73=$A266)*
      ('Putt Log'!$B$2:$B$73=$B266)*
      ('Putt Log'!$C$2:$C$73=$C266),
    0),
    MATCH($G266,'Putt Log'!$E$1:$V$1,0)
  ),
"")</f>
        <v>2</v>
      </c>
      <c r="P266" cm="1">
        <f t="array" ref="P266">IF(K266=3,"",
  IFERROR(
    INDEX('Fairway Log'!$E$2:$V$73,
      MATCH(1,
        ('Fairway Log'!$A$2:$A$73=$A266)*
        ('Fairway Log'!$B$2:$B$73=$B266)*
        ('Fairway Log'!$C$2:$C337=$C266),
      0),
      MATCH($G266,'Fairway Log'!$E$1:$V$1,0)
    ),
  "")
)</f>
        <v>1</v>
      </c>
      <c r="Q266" cm="1">
        <f t="array" ref="Q266">IFERROR(
  INDEX('GIR Log'!$E$2:$V$73,
    MATCH(1,
      ('GIR Log'!$A$2:$A$73=$A266)*
      ('GIR Log'!$B$2:$B$73=$B266)*
      ('GIR Log'!$C$2:$C$73=$C266),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Log'!$E$2:$V$73,
    MATCH(1,
      ('Golf Log'!$A$2:$A$73=$A267)*
      ('Golf Log'!$B$2:$B$73=$B267)*
      ('Golf Log'!$C$2:$C$73=$C267),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Log'!$E$2:$V$73,
    MATCH(1,
      ('Putt Log'!$A$2:$A$73=$A267)*
      ('Putt Log'!$B$2:$B$73=$B267)*
      ('Putt Log'!$C$2:$C$73=$C267),
    0),
    MATCH($G267,'Putt Log'!$E$1:$V$1,0)
  ),
"")</f>
        <v>2</v>
      </c>
      <c r="P267" cm="1">
        <f t="array" ref="P267">IF(K267=3,"",
  IFERROR(
    INDEX('Fairway Log'!$E$2:$V$73,
      MATCH(1,
        ('Fairway Log'!$A$2:$A$73=$A267)*
        ('Fairway Log'!$B$2:$B$73=$B267)*
        ('Fairway Log'!$C$2:$C338=$C267),
      0),
      MATCH($G267,'Fairway Log'!$E$1:$V$1,0)
    ),
  "")
)</f>
        <v>1</v>
      </c>
      <c r="Q267" cm="1">
        <f t="array" ref="Q267">IFERROR(
  INDEX('GIR Log'!$E$2:$V$73,
    MATCH(1,
      ('GIR Log'!$A$2:$A$73=$A267)*
      ('GIR Log'!$B$2:$B$73=$B267)*
      ('GIR Log'!$C$2:$C$73=$C267),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Log'!$E$2:$V$73,
    MATCH(1,
      ('Golf Log'!$A$2:$A$73=$A268)*
      ('Golf Log'!$B$2:$B$73=$B268)*
      ('Golf Log'!$C$2:$C$73=$C268),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Log'!$E$2:$V$73,
    MATCH(1,
      ('Putt Log'!$A$2:$A$73=$A268)*
      ('Putt Log'!$B$2:$B$73=$B268)*
      ('Putt Log'!$C$2:$C$73=$C268),
    0),
    MATCH($G268,'Putt Log'!$E$1:$V$1,0)
  ),
"")</f>
        <v>2</v>
      </c>
      <c r="P268" t="str" cm="1">
        <f t="array" ref="P268">IF(K268=3,"",
  IFERROR(
    INDEX('Fairway Log'!$E$2:$V$73,
      MATCH(1,
        ('Fairway Log'!$A$2:$A$73=$A268)*
        ('Fairway Log'!$B$2:$B$73=$B268)*
        ('Fairway Log'!$C$2:$C339=$C268),
      0),
      MATCH($G268,'Fairway Log'!$E$1:$V$1,0)
    ),
  "")
)</f>
        <v>→</v>
      </c>
      <c r="Q268" cm="1">
        <f t="array" ref="Q268">IFERROR(
  INDEX('GIR Log'!$E$2:$V$73,
    MATCH(1,
      ('GIR Log'!$A$2:$A$73=$A268)*
      ('GIR Log'!$B$2:$B$73=$B268)*
      ('GIR Log'!$C$2:$C$73=$C268),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Log'!$E$2:$V$73,
    MATCH(1,
      ('Golf Log'!$A$2:$A$73=$A269)*
      ('Golf Log'!$B$2:$B$73=$B269)*
      ('Golf Log'!$C$2:$C$73=$C269),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Log'!$E$2:$V$73,
    MATCH(1,
      ('Putt Log'!$A$2:$A$73=$A269)*
      ('Putt Log'!$B$2:$B$73=$B269)*
      ('Putt Log'!$C$2:$C$73=$C269),
    0),
    MATCH($G269,'Putt Log'!$E$1:$V$1,0)
  ),
"")</f>
        <v>2</v>
      </c>
      <c r="P269" t="str" cm="1">
        <f t="array" ref="P269">IF(K269=3,"",
  IFERROR(
    INDEX('Fairway Log'!$E$2:$V$73,
      MATCH(1,
        ('Fairway Log'!$A$2:$A$73=$A269)*
        ('Fairway Log'!$B$2:$B$73=$B269)*
        ('Fairway Log'!$C$2:$C340=$C269),
      0),
      MATCH($G269,'Fairway Log'!$E$1:$V$1,0)
    ),
  "")
)</f>
        <v>←</v>
      </c>
      <c r="Q269" cm="1">
        <f t="array" ref="Q269">IFERROR(
  INDEX('GIR Log'!$E$2:$V$73,
    MATCH(1,
      ('GIR Log'!$A$2:$A$73=$A269)*
      ('GIR Log'!$B$2:$B$73=$B269)*
      ('GIR Log'!$C$2:$C$73=$C269),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Log'!$E$2:$V$73,
    MATCH(1,
      ('Golf Log'!$A$2:$A$73=$A270)*
      ('Golf Log'!$B$2:$B$73=$B270)*
      ('Golf Log'!$C$2:$C$73=$C270),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Log'!$E$2:$V$73,
    MATCH(1,
      ('Putt Log'!$A$2:$A$73=$A270)*
      ('Putt Log'!$B$2:$B$73=$B270)*
      ('Putt Log'!$C$2:$C$73=$C270),
    0),
    MATCH($G270,'Putt Log'!$E$1:$V$1,0)
  ),
"")</f>
        <v>2</v>
      </c>
      <c r="P270" t="str" cm="1">
        <f t="array" ref="P270">IF(K270=3,"",
  IFERROR(
    INDEX('Fairway Log'!$E$2:$V$73,
      MATCH(1,
        ('Fairway Log'!$A$2:$A$73=$A270)*
        ('Fairway Log'!$B$2:$B$73=$B270)*
        ('Fairway Log'!$C$2:$C341=$C270),
      0),
      MATCH($G270,'Fairway Log'!$E$1:$V$1,0)
    ),
  "")
)</f>
        <v/>
      </c>
      <c r="Q270" cm="1">
        <f t="array" ref="Q270">IFERROR(
  INDEX('GIR Log'!$E$2:$V$73,
    MATCH(1,
      ('GIR Log'!$A$2:$A$73=$A270)*
      ('GIR Log'!$B$2:$B$73=$B270)*
      ('GIR Log'!$C$2:$C$73=$C270),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Log'!$E$2:$V$73,
    MATCH(1,
      ('Golf Log'!$A$2:$A$73=$A271)*
      ('Golf Log'!$B$2:$B$73=$B271)*
      ('Golf Log'!$C$2:$C$73=$C271),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Log'!$E$2:$V$73,
    MATCH(1,
      ('Putt Log'!$A$2:$A$73=$A271)*
      ('Putt Log'!$B$2:$B$73=$B271)*
      ('Putt Log'!$C$2:$C$73=$C271),
    0),
    MATCH($G271,'Putt Log'!$E$1:$V$1,0)
  ),
"")</f>
        <v>2</v>
      </c>
      <c r="P271" cm="1">
        <f t="array" ref="P271">IF(K271=3,"",
  IFERROR(
    INDEX('Fairway Log'!$E$2:$V$73,
      MATCH(1,
        ('Fairway Log'!$A$2:$A$73=$A271)*
        ('Fairway Log'!$B$2:$B$73=$B271)*
        ('Fairway Log'!$C$2:$C342=$C271),
      0),
      MATCH($G271,'Fairway Log'!$E$1:$V$1,0)
    ),
  "")
)</f>
        <v>1</v>
      </c>
      <c r="Q271" cm="1">
        <f t="array" ref="Q271">IFERROR(
  INDEX('GIR Log'!$E$2:$V$73,
    MATCH(1,
      ('GIR Log'!$A$2:$A$73=$A271)*
      ('GIR Log'!$B$2:$B$73=$B271)*
      ('GIR Log'!$C$2:$C$73=$C271),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Log'!$E$2:$V$73,
    MATCH(1,
      ('Golf Log'!$A$2:$A$73=$A272)*
      ('Golf Log'!$B$2:$B$73=$B272)*
      ('Golf Log'!$C$2:$C$73=$C272),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Log'!$E$2:$V$73,
    MATCH(1,
      ('Putt Log'!$A$2:$A$73=$A272)*
      ('Putt Log'!$B$2:$B$73=$B272)*
      ('Putt Log'!$C$2:$C$73=$C272),
    0),
    MATCH($G272,'Putt Log'!$E$1:$V$1,0)
  ),
"")</f>
        <v>1</v>
      </c>
      <c r="P272" cm="1">
        <f t="array" ref="P272">IF(K272=3,"",
  IFERROR(
    INDEX('Fairway Log'!$E$2:$V$73,
      MATCH(1,
        ('Fairway Log'!$A$2:$A$73=$A272)*
        ('Fairway Log'!$B$2:$B$73=$B272)*
        ('Fairway Log'!$C$2:$C343=$C272),
      0),
      MATCH($G272,'Fairway Log'!$E$1:$V$1,0)
    ),
  "")
)</f>
        <v>1</v>
      </c>
      <c r="Q272" t="str" cm="1">
        <f t="array" ref="Q272">IFERROR(
  INDEX('GIR Log'!$E$2:$V$73,
    MATCH(1,
      ('GIR Log'!$A$2:$A$73=$A272)*
      ('GIR Log'!$B$2:$B$73=$B272)*
      ('GIR Log'!$C$2:$C$73=$C272),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Log'!$E$2:$V$73,
    MATCH(1,
      ('Golf Log'!$A$2:$A$73=$A273)*
      ('Golf Log'!$B$2:$B$73=$B273)*
      ('Golf Log'!$C$2:$C$73=$C273),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Log'!$E$2:$V$73,
    MATCH(1,
      ('Putt Log'!$A$2:$A$73=$A273)*
      ('Putt Log'!$B$2:$B$73=$B273)*
      ('Putt Log'!$C$2:$C$73=$C273),
    0),
    MATCH($G273,'Putt Log'!$E$1:$V$1,0)
  ),
"")</f>
        <v>2</v>
      </c>
      <c r="P273" t="str" cm="1">
        <f t="array" ref="P273">IF(K273=3,"",
  IFERROR(
    INDEX('Fairway Log'!$E$2:$V$73,
      MATCH(1,
        ('Fairway Log'!$A$2:$A$73=$A273)*
        ('Fairway Log'!$B$2:$B$73=$B273)*
        ('Fairway Log'!$C$2:$C344=$C273),
      0),
      MATCH($G273,'Fairway Log'!$E$1:$V$1,0)
    ),
  "")
)</f>
        <v>←</v>
      </c>
      <c r="Q273" t="str" cm="1">
        <f t="array" ref="Q273">IFERROR(
  INDEX('GIR Log'!$E$2:$V$73,
    MATCH(1,
      ('GIR Log'!$A$2:$A$73=$A273)*
      ('GIR Log'!$B$2:$B$73=$B273)*
      ('GIR Log'!$C$2:$C$73=$C273),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Log'!$E$2:$V$73,
    MATCH(1,
      ('Golf Log'!$A$2:$A$73=$A274)*
      ('Golf Log'!$B$2:$B$73=$B274)*
      ('Golf Log'!$C$2:$C$73=$C274),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Log'!$E$2:$V$73,
    MATCH(1,
      ('Putt Log'!$A$2:$A$73=$A274)*
      ('Putt Log'!$B$2:$B$73=$B274)*
      ('Putt Log'!$C$2:$C$73=$C274),
    0),
    MATCH($G274,'Putt Log'!$E$1:$V$1,0)
  ),
"")</f>
        <v>2</v>
      </c>
      <c r="P274" cm="1">
        <f t="array" ref="P274">IF(K274=3,"",
  IFERROR(
    INDEX('Fairway Log'!$E$2:$V$73,
      MATCH(1,
        ('Fairway Log'!$A$2:$A$73=$A274)*
        ('Fairway Log'!$B$2:$B$73=$B274)*
        ('Fairway Log'!$C$2:$C345=$C274),
      0),
      MATCH($G274,'Fairway Log'!$E$1:$V$1,0)
    ),
  "")
)</f>
        <v>1</v>
      </c>
      <c r="Q274" cm="1">
        <f t="array" ref="Q274">IFERROR(
  INDEX('GIR Log'!$E$2:$V$73,
    MATCH(1,
      ('GIR Log'!$A$2:$A$73=$A274)*
      ('GIR Log'!$B$2:$B$73=$B274)*
      ('GIR Log'!$C$2:$C$73=$C274),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Log'!$E$2:$V$73,
    MATCH(1,
      ('Golf Log'!$A$2:$A$73=$A275)*
      ('Golf Log'!$B$2:$B$73=$B275)*
      ('Golf Log'!$C$2:$C$73=$C275),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Log'!$E$2:$V$73,
    MATCH(1,
      ('Putt Log'!$A$2:$A$73=$A275)*
      ('Putt Log'!$B$2:$B$73=$B275)*
      ('Putt Log'!$C$2:$C$73=$C275),
    0),
    MATCH($G275,'Putt Log'!$E$1:$V$1,0)
  ),
"")</f>
        <v>1</v>
      </c>
      <c r="P275" t="str" cm="1">
        <f t="array" ref="P275">IF(K275=3,"",
  IFERROR(
    INDEX('Fairway Log'!$E$2:$V$73,
      MATCH(1,
        ('Fairway Log'!$A$2:$A$73=$A275)*
        ('Fairway Log'!$B$2:$B$73=$B275)*
        ('Fairway Log'!$C$2:$C346=$C275),
      0),
      MATCH($G275,'Fairway Log'!$E$1:$V$1,0)
    ),
  "")
)</f>
        <v/>
      </c>
      <c r="Q275" t="str" cm="1">
        <f t="array" ref="Q275">IFERROR(
  INDEX('GIR Log'!$E$2:$V$73,
    MATCH(1,
      ('GIR Log'!$A$2:$A$73=$A275)*
      ('GIR Log'!$B$2:$B$73=$B275)*
      ('GIR Log'!$C$2:$C$73=$C275),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Log'!$E$2:$V$73,
    MATCH(1,
      ('Golf Log'!$A$2:$A$73=$A276)*
      ('Golf Log'!$B$2:$B$73=$B276)*
      ('Golf Log'!$C$2:$C$73=$C276),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Log'!$E$2:$V$73,
    MATCH(1,
      ('Putt Log'!$A$2:$A$73=$A276)*
      ('Putt Log'!$B$2:$B$73=$B276)*
      ('Putt Log'!$C$2:$C$73=$C276),
    0),
    MATCH($G276,'Putt Log'!$E$1:$V$1,0)
  ),
"")</f>
        <v>1</v>
      </c>
      <c r="P276" t="str" cm="1">
        <f t="array" ref="P276">IF(K276=3,"",
  IFERROR(
    INDEX('Fairway Log'!$E$2:$V$73,
      MATCH(1,
        ('Fairway Log'!$A$2:$A$73=$A276)*
        ('Fairway Log'!$B$2:$B$73=$B276)*
        ('Fairway Log'!$C$2:$C347=$C276),
      0),
      MATCH($G276,'Fairway Log'!$E$1:$V$1,0)
    ),
  "")
)</f>
        <v>←</v>
      </c>
      <c r="Q276" t="str" cm="1">
        <f t="array" ref="Q276">IFERROR(
  INDEX('GIR Log'!$E$2:$V$73,
    MATCH(1,
      ('GIR Log'!$A$2:$A$73=$A276)*
      ('GIR Log'!$B$2:$B$73=$B276)*
      ('GIR Log'!$C$2:$C$73=$C276),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Log'!$E$2:$V$73,
    MATCH(1,
      ('Golf Log'!$A$2:$A$73=$A277)*
      ('Golf Log'!$B$2:$B$73=$B277)*
      ('Golf Log'!$C$2:$C$73=$C277),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Log'!$E$2:$V$73,
    MATCH(1,
      ('Putt Log'!$A$2:$A$73=$A277)*
      ('Putt Log'!$B$2:$B$73=$B277)*
      ('Putt Log'!$C$2:$C$73=$C277),
    0),
    MATCH($G277,'Putt Log'!$E$1:$V$1,0)
  ),
"")</f>
        <v>2</v>
      </c>
      <c r="P277" cm="1">
        <f t="array" ref="P277">IF(K277=3,"",
  IFERROR(
    INDEX('Fairway Log'!$E$2:$V$73,
      MATCH(1,
        ('Fairway Log'!$A$2:$A$73=$A277)*
        ('Fairway Log'!$B$2:$B$73=$B277)*
        ('Fairway Log'!$C$2:$C348=$C277),
      0),
      MATCH($G277,'Fairway Log'!$E$1:$V$1,0)
    ),
  "")
)</f>
        <v>1</v>
      </c>
      <c r="Q277" t="str" cm="1">
        <f t="array" ref="Q277">IFERROR(
  INDEX('GIR Log'!$E$2:$V$73,
    MATCH(1,
      ('GIR Log'!$A$2:$A$73=$A277)*
      ('GIR Log'!$B$2:$B$73=$B277)*
      ('GIR Log'!$C$2:$C$73=$C277),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Log'!$E$2:$V$73,
    MATCH(1,
      ('Golf Log'!$A$2:$A$73=$A278)*
      ('Golf Log'!$B$2:$B$73=$B278)*
      ('Golf Log'!$C$2:$C$73=$C278),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Log'!$E$2:$V$73,
    MATCH(1,
      ('Putt Log'!$A$2:$A$73=$A278)*
      ('Putt Log'!$B$2:$B$73=$B278)*
      ('Putt Log'!$C$2:$C$73=$C278),
    0),
    MATCH($G278,'Putt Log'!$E$1:$V$1,0)
  ),
"")</f>
        <v>2</v>
      </c>
      <c r="P278" t="str" cm="1">
        <f t="array" ref="P278">IF(K278=3,"",
  IFERROR(
    INDEX('Fairway Log'!$E$2:$V$73,
      MATCH(1,
        ('Fairway Log'!$A$2:$A$73=$A278)*
        ('Fairway Log'!$B$2:$B$73=$B278)*
        ('Fairway Log'!$C$2:$C349=$C278),
      0),
      MATCH($G278,'Fairway Log'!$E$1:$V$1,0)
    ),
  "")
)</f>
        <v/>
      </c>
      <c r="Q278" t="str" cm="1">
        <f t="array" ref="Q278">IFERROR(
  INDEX('GIR Log'!$E$2:$V$73,
    MATCH(1,
      ('GIR Log'!$A$2:$A$73=$A278)*
      ('GIR Log'!$B$2:$B$73=$B278)*
      ('GIR Log'!$C$2:$C$73=$C278),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Log'!$E$2:$V$73,
    MATCH(1,
      ('Golf Log'!$A$2:$A$73=$A279)*
      ('Golf Log'!$B$2:$B$73=$B279)*
      ('Golf Log'!$C$2:$C$73=$C279),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Log'!$E$2:$V$73,
    MATCH(1,
      ('Putt Log'!$A$2:$A$73=$A279)*
      ('Putt Log'!$B$2:$B$73=$B279)*
      ('Putt Log'!$C$2:$C$73=$C279),
    0),
    MATCH($G279,'Putt Log'!$E$1:$V$1,0)
  ),
"")</f>
        <v>2</v>
      </c>
      <c r="P279" cm="1">
        <f t="array" ref="P279">IF(K279=3,"",
  IFERROR(
    INDEX('Fairway Log'!$E$2:$V$73,
      MATCH(1,
        ('Fairway Log'!$A$2:$A$73=$A279)*
        ('Fairway Log'!$B$2:$B$73=$B279)*
        ('Fairway Log'!$C$2:$C350=$C279),
      0),
      MATCH($G279,'Fairway Log'!$E$1:$V$1,0)
    ),
  "")
)</f>
        <v>1</v>
      </c>
      <c r="Q279" t="str" cm="1">
        <f t="array" ref="Q279">IFERROR(
  INDEX('GIR Log'!$E$2:$V$73,
    MATCH(1,
      ('GIR Log'!$A$2:$A$73=$A279)*
      ('GIR Log'!$B$2:$B$73=$B279)*
      ('GIR Log'!$C$2:$C$73=$C279),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Log'!$E$2:$V$73,
    MATCH(1,
      ('Golf Log'!$A$2:$A$73=$A280)*
      ('Golf Log'!$B$2:$B$73=$B280)*
      ('Golf Log'!$C$2:$C$73=$C280),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Log'!$E$2:$V$73,
    MATCH(1,
      ('Putt Log'!$A$2:$A$73=$A280)*
      ('Putt Log'!$B$2:$B$73=$B280)*
      ('Putt Log'!$C$2:$C$73=$C280),
    0),
    MATCH($G280,'Putt Log'!$E$1:$V$1,0)
  ),
"")</f>
        <v>2</v>
      </c>
      <c r="P280" cm="1">
        <f t="array" ref="P280">IF(K280=3,"",
  IFERROR(
    INDEX('Fairway Log'!$E$2:$V$73,
      MATCH(1,
        ('Fairway Log'!$A$2:$A$73=$A280)*
        ('Fairway Log'!$B$2:$B$73=$B280)*
        ('Fairway Log'!$C$2:$C351=$C280),
      0),
      MATCH($G280,'Fairway Log'!$E$1:$V$1,0)
    ),
  "")
)</f>
        <v>1</v>
      </c>
      <c r="Q280" t="str" cm="1">
        <f t="array" ref="Q280">IFERROR(
  INDEX('GIR Log'!$E$2:$V$73,
    MATCH(1,
      ('GIR Log'!$A$2:$A$73=$A280)*
      ('GIR Log'!$B$2:$B$73=$B280)*
      ('GIR Log'!$C$2:$C$73=$C280),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Log'!$E$2:$V$73,
    MATCH(1,
      ('Golf Log'!$A$2:$A$73=$A281)*
      ('Golf Log'!$B$2:$B$73=$B281)*
      ('Golf Log'!$C$2:$C$73=$C281),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Log'!$E$2:$V$73,
    MATCH(1,
      ('Putt Log'!$A$2:$A$73=$A281)*
      ('Putt Log'!$B$2:$B$73=$B281)*
      ('Putt Log'!$C$2:$C$73=$C281),
    0),
    MATCH($G281,'Putt Log'!$E$1:$V$1,0)
  ),
"")</f>
        <v>1</v>
      </c>
      <c r="P281" cm="1">
        <f t="array" ref="P281">IF(K281=3,"",
  IFERROR(
    INDEX('Fairway Log'!$E$2:$V$73,
      MATCH(1,
        ('Fairway Log'!$A$2:$A$73=$A281)*
        ('Fairway Log'!$B$2:$B$73=$B281)*
        ('Fairway Log'!$C$2:$C352=$C281),
      0),
      MATCH($G281,'Fairway Log'!$E$1:$V$1,0)
    ),
  "")
)</f>
        <v>1</v>
      </c>
      <c r="Q281" t="str" cm="1">
        <f t="array" ref="Q281">IFERROR(
  INDEX('GIR Log'!$E$2:$V$73,
    MATCH(1,
      ('GIR Log'!$A$2:$A$73=$A281)*
      ('GIR Log'!$B$2:$B$73=$B281)*
      ('GIR Log'!$C$2:$C$73=$C281),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Log'!$E$2:$V$73,
    MATCH(1,
      ('Golf Log'!$A$2:$A$73=$A282)*
      ('Golf Log'!$B$2:$B$73=$B282)*
      ('Golf Log'!$C$2:$C$73=$C282),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Log'!$E$2:$V$73,
    MATCH(1,
      ('Putt Log'!$A$2:$A$73=$A282)*
      ('Putt Log'!$B$2:$B$73=$B282)*
      ('Putt Log'!$C$2:$C$73=$C282),
    0),
    MATCH($G282,'Putt Log'!$E$1:$V$1,0)
  ),
"")</f>
        <v>2</v>
      </c>
      <c r="P282" t="str" cm="1">
        <f t="array" ref="P282">IF(K282=3,"",
  IFERROR(
    INDEX('Fairway Log'!$E$2:$V$73,
      MATCH(1,
        ('Fairway Log'!$A$2:$A$73=$A282)*
        ('Fairway Log'!$B$2:$B$73=$B282)*
        ('Fairway Log'!$C$2:$C353=$C282),
      0),
      MATCH($G282,'Fairway Log'!$E$1:$V$1,0)
    ),
  "")
)</f>
        <v>→</v>
      </c>
      <c r="Q282" cm="1">
        <f t="array" ref="Q282">IFERROR(
  INDEX('GIR Log'!$E$2:$V$73,
    MATCH(1,
      ('GIR Log'!$A$2:$A$73=$A282)*
      ('GIR Log'!$B$2:$B$73=$B282)*
      ('GIR Log'!$C$2:$C$73=$C282),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Log'!$E$2:$V$73,
    MATCH(1,
      ('Golf Log'!$A$2:$A$73=$A283)*
      ('Golf Log'!$B$2:$B$73=$B283)*
      ('Golf Log'!$C$2:$C$73=$C283),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Log'!$E$2:$V$73,
    MATCH(1,
      ('Putt Log'!$A$2:$A$73=$A283)*
      ('Putt Log'!$B$2:$B$73=$B283)*
      ('Putt Log'!$C$2:$C$73=$C283),
    0),
    MATCH($G283,'Putt Log'!$E$1:$V$1,0)
  ),
"")</f>
        <v>2</v>
      </c>
      <c r="P283" t="str" cm="1">
        <f t="array" ref="P283">IF(K283=3,"",
  IFERROR(
    INDEX('Fairway Log'!$E$2:$V$73,
      MATCH(1,
        ('Fairway Log'!$A$2:$A$73=$A283)*
        ('Fairway Log'!$B$2:$B$73=$B283)*
        ('Fairway Log'!$C$2:$C354=$C283),
      0),
      MATCH($G283,'Fairway Log'!$E$1:$V$1,0)
    ),
  "")
)</f>
        <v/>
      </c>
      <c r="Q283" cm="1">
        <f t="array" ref="Q283">IFERROR(
  INDEX('GIR Log'!$E$2:$V$73,
    MATCH(1,
      ('GIR Log'!$A$2:$A$73=$A283)*
      ('GIR Log'!$B$2:$B$73=$B283)*
      ('GIR Log'!$C$2:$C$73=$C283),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Log'!$E$2:$V$73,
    MATCH(1,
      ('Golf Log'!$A$2:$A$73=$A284)*
      ('Golf Log'!$B$2:$B$73=$B284)*
      ('Golf Log'!$C$2:$C$73=$C284),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Log'!$E$2:$V$73,
    MATCH(1,
      ('Putt Log'!$A$2:$A$73=$A284)*
      ('Putt Log'!$B$2:$B$73=$B284)*
      ('Putt Log'!$C$2:$C$73=$C284),
    0),
    MATCH($G284,'Putt Log'!$E$1:$V$1,0)
  ),
"")</f>
        <v>2</v>
      </c>
      <c r="P284" t="str" cm="1">
        <f t="array" ref="P284">IF(K284=3,"",
  IFERROR(
    INDEX('Fairway Log'!$E$2:$V$73,
      MATCH(1,
        ('Fairway Log'!$A$2:$A$73=$A284)*
        ('Fairway Log'!$B$2:$B$73=$B284)*
        ('Fairway Log'!$C$2:$C355=$C284),
      0),
      MATCH($G284,'Fairway Log'!$E$1:$V$1,0)
    ),
  "")
)</f>
        <v>←</v>
      </c>
      <c r="Q284" t="str" cm="1">
        <f t="array" ref="Q284">IFERROR(
  INDEX('GIR Log'!$E$2:$V$73,
    MATCH(1,
      ('GIR Log'!$A$2:$A$73=$A284)*
      ('GIR Log'!$B$2:$B$73=$B284)*
      ('GIR Log'!$C$2:$C$73=$C284),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Log'!$E$2:$V$73,
    MATCH(1,
      ('Golf Log'!$A$2:$A$73=$A285)*
      ('Golf Log'!$B$2:$B$73=$B285)*
      ('Golf Log'!$C$2:$C$73=$C285),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Log'!$E$2:$V$73,
    MATCH(1,
      ('Putt Log'!$A$2:$A$73=$A285)*
      ('Putt Log'!$B$2:$B$73=$B285)*
      ('Putt Log'!$C$2:$C$73=$C285),
    0),
    MATCH($G285,'Putt Log'!$E$1:$V$1,0)
  ),
"")</f>
        <v>2</v>
      </c>
      <c r="P285" t="str" cm="1">
        <f t="array" ref="P285">IF(K285=3,"",
  IFERROR(
    INDEX('Fairway Log'!$E$2:$V$73,
      MATCH(1,
        ('Fairway Log'!$A$2:$A$73=$A285)*
        ('Fairway Log'!$B$2:$B$73=$B285)*
        ('Fairway Log'!$C$2:$C356=$C285),
      0),
      MATCH($G285,'Fairway Log'!$E$1:$V$1,0)
    ),
  "")
)</f>
        <v>←</v>
      </c>
      <c r="Q285" t="str" cm="1">
        <f t="array" ref="Q285">IFERROR(
  INDEX('GIR Log'!$E$2:$V$73,
    MATCH(1,
      ('GIR Log'!$A$2:$A$73=$A285)*
      ('GIR Log'!$B$2:$B$73=$B285)*
      ('GIR Log'!$C$2:$C$73=$C285),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Log'!$E$2:$V$73,
    MATCH(1,
      ('Golf Log'!$A$2:$A$73=$A286)*
      ('Golf Log'!$B$2:$B$73=$B286)*
      ('Golf Log'!$C$2:$C$73=$C286),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Log'!$E$2:$V$73,
    MATCH(1,
      ('Putt Log'!$A$2:$A$73=$A286)*
      ('Putt Log'!$B$2:$B$73=$B286)*
      ('Putt Log'!$C$2:$C$73=$C286),
    0),
    MATCH($G286,'Putt Log'!$E$1:$V$1,0)
  ),
"")</f>
        <v>1</v>
      </c>
      <c r="P286" t="str" cm="1">
        <f t="array" ref="P286">IF(K286=3,"",
  IFERROR(
    INDEX('Fairway Log'!$E$2:$V$73,
      MATCH(1,
        ('Fairway Log'!$A$2:$A$73=$A286)*
        ('Fairway Log'!$B$2:$B$73=$B286)*
        ('Fairway Log'!$C$2:$C357=$C286),
      0),
      MATCH($G286,'Fairway Log'!$E$1:$V$1,0)
    ),
  "")
)</f>
        <v>→</v>
      </c>
      <c r="Q286" t="str" cm="1">
        <f t="array" ref="Q286">IFERROR(
  INDEX('GIR Log'!$E$2:$V$73,
    MATCH(1,
      ('GIR Log'!$A$2:$A$73=$A286)*
      ('GIR Log'!$B$2:$B$73=$B286)*
      ('GIR Log'!$C$2:$C$73=$C286),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Log'!$E$2:$V$73,
    MATCH(1,
      ('Golf Log'!$A$2:$A$73=$A287)*
      ('Golf Log'!$B$2:$B$73=$B287)*
      ('Golf Log'!$C$2:$C$73=$C287),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Log'!$E$2:$V$73,
    MATCH(1,
      ('Putt Log'!$A$2:$A$73=$A287)*
      ('Putt Log'!$B$2:$B$73=$B287)*
      ('Putt Log'!$C$2:$C$73=$C287),
    0),
    MATCH($G287,'Putt Log'!$E$1:$V$1,0)
  ),
"")</f>
        <v>1</v>
      </c>
      <c r="P287" cm="1">
        <f t="array" ref="P287">IF(K287=3,"",
  IFERROR(
    INDEX('Fairway Log'!$E$2:$V$73,
      MATCH(1,
        ('Fairway Log'!$A$2:$A$73=$A287)*
        ('Fairway Log'!$B$2:$B$73=$B287)*
        ('Fairway Log'!$C$2:$C358=$C287),
      0),
      MATCH($G287,'Fairway Log'!$E$1:$V$1,0)
    ),
  "")
)</f>
        <v>1</v>
      </c>
      <c r="Q287" t="str" cm="1">
        <f t="array" ref="Q287">IFERROR(
  INDEX('GIR Log'!$E$2:$V$73,
    MATCH(1,
      ('GIR Log'!$A$2:$A$73=$A287)*
      ('GIR Log'!$B$2:$B$73=$B287)*
      ('GIR Log'!$C$2:$C$73=$C287),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Log'!$E$2:$V$73,
    MATCH(1,
      ('Golf Log'!$A$2:$A$73=$A288)*
      ('Golf Log'!$B$2:$B$73=$B288)*
      ('Golf Log'!$C$2:$C$73=$C288),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Log'!$E$2:$V$73,
    MATCH(1,
      ('Putt Log'!$A$2:$A$73=$A288)*
      ('Putt Log'!$B$2:$B$73=$B288)*
      ('Putt Log'!$C$2:$C$73=$C288),
    0),
    MATCH($G288,'Putt Log'!$E$1:$V$1,0)
  ),
"")</f>
        <v>2</v>
      </c>
      <c r="P288" t="str" cm="1">
        <f t="array" ref="P288">IF(K288=3,"",
  IFERROR(
    INDEX('Fairway Log'!$E$2:$V$73,
      MATCH(1,
        ('Fairway Log'!$A$2:$A$73=$A288)*
        ('Fairway Log'!$B$2:$B$73=$B288)*
        ('Fairway Log'!$C$2:$C359=$C288),
      0),
      MATCH($G288,'Fairway Log'!$E$1:$V$1,0)
    ),
  "")
)</f>
        <v/>
      </c>
      <c r="Q288" cm="1">
        <f t="array" ref="Q288">IFERROR(
  INDEX('GIR Log'!$E$2:$V$73,
    MATCH(1,
      ('GIR Log'!$A$2:$A$73=$A288)*
      ('GIR Log'!$B$2:$B$73=$B288)*
      ('GIR Log'!$C$2:$C$73=$C288),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Log'!$E$2:$V$73,
    MATCH(1,
      ('Golf Log'!$A$2:$A$73=$A289)*
      ('Golf Log'!$B$2:$B$73=$B289)*
      ('Golf Log'!$C$2:$C$73=$C289),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Log'!$E$2:$V$73,
    MATCH(1,
      ('Putt Log'!$A$2:$A$73=$A289)*
      ('Putt Log'!$B$2:$B$73=$B289)*
      ('Putt Log'!$C$2:$C$73=$C289),
    0),
    MATCH($G289,'Putt Log'!$E$1:$V$1,0)
  ),
"")</f>
        <v>2</v>
      </c>
      <c r="P289" t="str" cm="1">
        <f t="array" ref="P289">IF(K289=3,"",
  IFERROR(
    INDEX('Fairway Log'!$E$2:$V$73,
      MATCH(1,
        ('Fairway Log'!$A$2:$A$73=$A289)*
        ('Fairway Log'!$B$2:$B$73=$B289)*
        ('Fairway Log'!$C$2:$C360=$C289),
      0),
      MATCH($G289,'Fairway Log'!$E$1:$V$1,0)
    ),
  "")
)</f>
        <v>→</v>
      </c>
      <c r="Q289" t="str" cm="1">
        <f t="array" ref="Q289">IFERROR(
  INDEX('GIR Log'!$E$2:$V$73,
    MATCH(1,
      ('GIR Log'!$A$2:$A$73=$A289)*
      ('GIR Log'!$B$2:$B$73=$B289)*
      ('GIR Log'!$C$2:$C$73=$C289),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Log'!$E$2:$V$73,
    MATCH(1,
      ('Golf Log'!$A$2:$A$73=$A290)*
      ('Golf Log'!$B$2:$B$73=$B290)*
      ('Golf Log'!$C$2:$C$73=$C290),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Log'!$E$2:$V$73,
    MATCH(1,
      ('Putt Log'!$A$2:$A$73=$A290)*
      ('Putt Log'!$B$2:$B$73=$B290)*
      ('Putt Log'!$C$2:$C$73=$C290),
    0),
    MATCH($G290,'Putt Log'!$E$1:$V$1,0)
  ),
"")</f>
        <v>2</v>
      </c>
      <c r="P290" t="str" cm="1">
        <f t="array" ref="P290">IF(K290=3,"",
  IFERROR(
    INDEX('Fairway Log'!$E$2:$V$73,
      MATCH(1,
        ('Fairway Log'!$A$2:$A$73=$A290)*
        ('Fairway Log'!$B$2:$B$73=$B290)*
        ('Fairway Log'!$C$2:$C361=$C290),
      0),
      MATCH($G290,'Fairway Log'!$E$1:$V$1,0)
    ),
  "")
)</f>
        <v>↓</v>
      </c>
      <c r="Q290" t="str" cm="1">
        <f t="array" ref="Q290">IFERROR(
  INDEX('GIR Log'!$E$2:$V$73,
    MATCH(1,
      ('GIR Log'!$A$2:$A$73=$A290)*
      ('GIR Log'!$B$2:$B$73=$B290)*
      ('GIR Log'!$C$2:$C$73=$C290),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Log'!$E$2:$V$73,
    MATCH(1,
      ('Golf Log'!$A$2:$A$73=$A291)*
      ('Golf Log'!$B$2:$B$73=$B291)*
      ('Golf Log'!$C$2:$C$73=$C291),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Log'!$E$2:$V$73,
    MATCH(1,
      ('Putt Log'!$A$2:$A$73=$A291)*
      ('Putt Log'!$B$2:$B$73=$B291)*
      ('Putt Log'!$C$2:$C$73=$C291),
    0),
    MATCH($G291,'Putt Log'!$E$1:$V$1,0)
  ),
"")</f>
        <v>3</v>
      </c>
      <c r="P291" t="str" cm="1">
        <f t="array" ref="P291">IF(K291=3,"",
  IFERROR(
    INDEX('Fairway Log'!$E$2:$V$73,
      MATCH(1,
        ('Fairway Log'!$A$2:$A$73=$A291)*
        ('Fairway Log'!$B$2:$B$73=$B291)*
        ('Fairway Log'!$C$2:$C362=$C291),
      0),
      MATCH($G291,'Fairway Log'!$E$1:$V$1,0)
    ),
  "")
)</f>
        <v>↓</v>
      </c>
      <c r="Q291" t="str" cm="1">
        <f t="array" ref="Q291">IFERROR(
  INDEX('GIR Log'!$E$2:$V$73,
    MATCH(1,
      ('GIR Log'!$A$2:$A$73=$A291)*
      ('GIR Log'!$B$2:$B$73=$B291)*
      ('GIR Log'!$C$2:$C$73=$C291),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Log'!$E$2:$V$73,
    MATCH(1,
      ('Golf Log'!$A$2:$A$73=$A292)*
      ('Golf Log'!$B$2:$B$73=$B292)*
      ('Golf Log'!$C$2:$C$73=$C292),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Log'!$E$2:$V$73,
    MATCH(1,
      ('Putt Log'!$A$2:$A$73=$A292)*
      ('Putt Log'!$B$2:$B$73=$B292)*
      ('Putt Log'!$C$2:$C$73=$C292),
    0),
    MATCH($G292,'Putt Log'!$E$1:$V$1,0)
  ),
"")</f>
        <v>1</v>
      </c>
      <c r="P292" t="str" cm="1">
        <f t="array" ref="P292">IF(K292=3,"",
  IFERROR(
    INDEX('Fairway Log'!$E$2:$V$73,
      MATCH(1,
        ('Fairway Log'!$A$2:$A$73=$A292)*
        ('Fairway Log'!$B$2:$B$73=$B292)*
        ('Fairway Log'!$C$2:$C363=$C292),
      0),
      MATCH($G292,'Fairway Log'!$E$1:$V$1,0)
    ),
  "")
)</f>
        <v>→</v>
      </c>
      <c r="Q292" t="str" cm="1">
        <f t="array" ref="Q292">IFERROR(
  INDEX('GIR Log'!$E$2:$V$73,
    MATCH(1,
      ('GIR Log'!$A$2:$A$73=$A292)*
      ('GIR Log'!$B$2:$B$73=$B292)*
      ('GIR Log'!$C$2:$C$73=$C292),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Log'!$E$2:$V$73,
    MATCH(1,
      ('Golf Log'!$A$2:$A$73=$A293)*
      ('Golf Log'!$B$2:$B$73=$B293)*
      ('Golf Log'!$C$2:$C$73=$C293),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Log'!$E$2:$V$73,
    MATCH(1,
      ('Putt Log'!$A$2:$A$73=$A293)*
      ('Putt Log'!$B$2:$B$73=$B293)*
      ('Putt Log'!$C$2:$C$73=$C293),
    0),
    MATCH($G293,'Putt Log'!$E$1:$V$1,0)
  ),
"")</f>
        <v>2</v>
      </c>
      <c r="P293" t="str" cm="1">
        <f t="array" ref="P293">IF(K293=3,"",
  IFERROR(
    INDEX('Fairway Log'!$E$2:$V$73,
      MATCH(1,
        ('Fairway Log'!$A$2:$A$73=$A293)*
        ('Fairway Log'!$B$2:$B$73=$B293)*
        ('Fairway Log'!$C$2:$C364=$C293),
      0),
      MATCH($G293,'Fairway Log'!$E$1:$V$1,0)
    ),
  "")
)</f>
        <v>←</v>
      </c>
      <c r="Q293" t="str" cm="1">
        <f t="array" ref="Q293">IFERROR(
  INDEX('GIR Log'!$E$2:$V$73,
    MATCH(1,
      ('GIR Log'!$A$2:$A$73=$A293)*
      ('GIR Log'!$B$2:$B$73=$B293)*
      ('GIR Log'!$C$2:$C$73=$C293),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Log'!$E$2:$V$73,
    MATCH(1,
      ('Golf Log'!$A$2:$A$73=$A294)*
      ('Golf Log'!$B$2:$B$73=$B294)*
      ('Golf Log'!$C$2:$C$73=$C294),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Log'!$E$2:$V$73,
    MATCH(1,
      ('Putt Log'!$A$2:$A$73=$A294)*
      ('Putt Log'!$B$2:$B$73=$B294)*
      ('Putt Log'!$C$2:$C$73=$C294),
    0),
    MATCH($G294,'Putt Log'!$E$1:$V$1,0)
  ),
"")</f>
        <v>2</v>
      </c>
      <c r="P294" cm="1">
        <f t="array" ref="P294">IF(K294=3,"",
  IFERROR(
    INDEX('Fairway Log'!$E$2:$V$73,
      MATCH(1,
        ('Fairway Log'!$A$2:$A$73=$A294)*
        ('Fairway Log'!$B$2:$B$73=$B294)*
        ('Fairway Log'!$C$2:$C365=$C294),
      0),
      MATCH($G294,'Fairway Log'!$E$1:$V$1,0)
    ),
  "")
)</f>
        <v>1</v>
      </c>
      <c r="Q294" cm="1">
        <f t="array" ref="Q294">IFERROR(
  INDEX('GIR Log'!$E$2:$V$73,
    MATCH(1,
      ('GIR Log'!$A$2:$A$73=$A294)*
      ('GIR Log'!$B$2:$B$73=$B294)*
      ('GIR Log'!$C$2:$C$73=$C294),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Log'!$E$2:$V$73,
    MATCH(1,
      ('Golf Log'!$A$2:$A$73=$A295)*
      ('Golf Log'!$B$2:$B$73=$B295)*
      ('Golf Log'!$C$2:$C$73=$C295),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Log'!$E$2:$V$73,
    MATCH(1,
      ('Putt Log'!$A$2:$A$73=$A295)*
      ('Putt Log'!$B$2:$B$73=$B295)*
      ('Putt Log'!$C$2:$C$73=$C295),
    0),
    MATCH($G295,'Putt Log'!$E$1:$V$1,0)
  ),
"")</f>
        <v>2</v>
      </c>
      <c r="P295" t="str" cm="1">
        <f t="array" ref="P295">IF(K295=3,"",
  IFERROR(
    INDEX('Fairway Log'!$E$2:$V$73,
      MATCH(1,
        ('Fairway Log'!$A$2:$A$73=$A295)*
        ('Fairway Log'!$B$2:$B$73=$B295)*
        ('Fairway Log'!$C$2:$C366=$C295),
      0),
      MATCH($G295,'Fairway Log'!$E$1:$V$1,0)
    ),
  "")
)</f>
        <v/>
      </c>
      <c r="Q295" t="str" cm="1">
        <f t="array" ref="Q295">IFERROR(
  INDEX('GIR Log'!$E$2:$V$73,
    MATCH(1,
      ('GIR Log'!$A$2:$A$73=$A295)*
      ('GIR Log'!$B$2:$B$73=$B295)*
      ('GIR Log'!$C$2:$C$73=$C295),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Log'!$E$2:$V$73,
    MATCH(1,
      ('Golf Log'!$A$2:$A$73=$A296)*
      ('Golf Log'!$B$2:$B$73=$B296)*
      ('Golf Log'!$C$2:$C$73=$C296),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Log'!$E$2:$V$73,
    MATCH(1,
      ('Putt Log'!$A$2:$A$73=$A296)*
      ('Putt Log'!$B$2:$B$73=$B296)*
      ('Putt Log'!$C$2:$C$73=$C296),
    0),
    MATCH($G296,'Putt Log'!$E$1:$V$1,0)
  ),
"")</f>
        <v>2</v>
      </c>
      <c r="P296" t="str" cm="1">
        <f t="array" ref="P296">IF(K296=3,"",
  IFERROR(
    INDEX('Fairway Log'!$E$2:$V$73,
      MATCH(1,
        ('Fairway Log'!$A$2:$A$73=$A296)*
        ('Fairway Log'!$B$2:$B$73=$B296)*
        ('Fairway Log'!$C$2:$C367=$C296),
      0),
      MATCH($G296,'Fairway Log'!$E$1:$V$1,0)
    ),
  "")
)</f>
        <v>←</v>
      </c>
      <c r="Q296" t="str" cm="1">
        <f t="array" ref="Q296">IFERROR(
  INDEX('GIR Log'!$E$2:$V$73,
    MATCH(1,
      ('GIR Log'!$A$2:$A$73=$A296)*
      ('GIR Log'!$B$2:$B$73=$B296)*
      ('GIR Log'!$C$2:$C$73=$C296),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Log'!$E$2:$V$73,
    MATCH(1,
      ('Golf Log'!$A$2:$A$73=$A297)*
      ('Golf Log'!$B$2:$B$73=$B297)*
      ('Golf Log'!$C$2:$C$73=$C297),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Log'!$E$2:$V$73,
    MATCH(1,
      ('Putt Log'!$A$2:$A$73=$A297)*
      ('Putt Log'!$B$2:$B$73=$B297)*
      ('Putt Log'!$C$2:$C$73=$C297),
    0),
    MATCH($G297,'Putt Log'!$E$1:$V$1,0)
  ),
"")</f>
        <v>3</v>
      </c>
      <c r="P297" t="str" cm="1">
        <f t="array" ref="P297">IF(K297=3,"",
  IFERROR(
    INDEX('Fairway Log'!$E$2:$V$73,
      MATCH(1,
        ('Fairway Log'!$A$2:$A$73=$A297)*
        ('Fairway Log'!$B$2:$B$73=$B297)*
        ('Fairway Log'!$C$2:$C368=$C297),
      0),
      MATCH($G297,'Fairway Log'!$E$1:$V$1,0)
    ),
  "")
)</f>
        <v/>
      </c>
      <c r="Q297" cm="1">
        <f t="array" ref="Q297">IFERROR(
  INDEX('GIR Log'!$E$2:$V$73,
    MATCH(1,
      ('GIR Log'!$A$2:$A$73=$A297)*
      ('GIR Log'!$B$2:$B$73=$B297)*
      ('GIR Log'!$C$2:$C$73=$C297),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Log'!$E$2:$V$73,
    MATCH(1,
      ('Golf Log'!$A$2:$A$73=$A298)*
      ('Golf Log'!$B$2:$B$73=$B298)*
      ('Golf Log'!$C$2:$C$73=$C298),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Log'!$E$2:$V$73,
    MATCH(1,
      ('Putt Log'!$A$2:$A$73=$A298)*
      ('Putt Log'!$B$2:$B$73=$B298)*
      ('Putt Log'!$C$2:$C$73=$C298),
    0),
    MATCH($G298,'Putt Log'!$E$1:$V$1,0)
  ),
"")</f>
        <v>1</v>
      </c>
      <c r="P298" t="str" cm="1">
        <f t="array" ref="P298">IF(K298=3,"",
  IFERROR(
    INDEX('Fairway Log'!$E$2:$V$73,
      MATCH(1,
        ('Fairway Log'!$A$2:$A$73=$A298)*
        ('Fairway Log'!$B$2:$B$73=$B298)*
        ('Fairway Log'!$C$2:$C369=$C298),
      0),
      MATCH($G298,'Fairway Log'!$E$1:$V$1,0)
    ),
  "")
)</f>
        <v>←</v>
      </c>
      <c r="Q298" t="str" cm="1">
        <f t="array" ref="Q298">IFERROR(
  INDEX('GIR Log'!$E$2:$V$73,
    MATCH(1,
      ('GIR Log'!$A$2:$A$73=$A298)*
      ('GIR Log'!$B$2:$B$73=$B298)*
      ('GIR Log'!$C$2:$C$73=$C298),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Log'!$E$2:$V$73,
    MATCH(1,
      ('Golf Log'!$A$2:$A$73=$A299)*
      ('Golf Log'!$B$2:$B$73=$B299)*
      ('Golf Log'!$C$2:$C$73=$C299),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Log'!$E$2:$V$73,
    MATCH(1,
      ('Putt Log'!$A$2:$A$73=$A299)*
      ('Putt Log'!$B$2:$B$73=$B299)*
      ('Putt Log'!$C$2:$C$73=$C299),
    0),
    MATCH($G299,'Putt Log'!$E$1:$V$1,0)
  ),
"")</f>
        <v>2</v>
      </c>
      <c r="P299" t="str" cm="1">
        <f t="array" ref="P299">IF(K299=3,"",
  IFERROR(
    INDEX('Fairway Log'!$E$2:$V$73,
      MATCH(1,
        ('Fairway Log'!$A$2:$A$73=$A299)*
        ('Fairway Log'!$B$2:$B$73=$B299)*
        ('Fairway Log'!$C$2:$C370=$C299),
      0),
      MATCH($G299,'Fairway Log'!$E$1:$V$1,0)
    ),
  "")
)</f>
        <v>↓</v>
      </c>
      <c r="Q299" t="str" cm="1">
        <f t="array" ref="Q299">IFERROR(
  INDEX('GIR Log'!$E$2:$V$73,
    MATCH(1,
      ('GIR Log'!$A$2:$A$73=$A299)*
      ('GIR Log'!$B$2:$B$73=$B299)*
      ('GIR Log'!$C$2:$C$73=$C299),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Log'!$E$2:$V$73,
    MATCH(1,
      ('Golf Log'!$A$2:$A$73=$A300)*
      ('Golf Log'!$B$2:$B$73=$B300)*
      ('Golf Log'!$C$2:$C$73=$C300),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Log'!$E$2:$V$73,
    MATCH(1,
      ('Putt Log'!$A$2:$A$73=$A300)*
      ('Putt Log'!$B$2:$B$73=$B300)*
      ('Putt Log'!$C$2:$C$73=$C300),
    0),
    MATCH($G300,'Putt Log'!$E$1:$V$1,0)
  ),
"")</f>
        <v>1</v>
      </c>
      <c r="P300" t="str" cm="1">
        <f t="array" ref="P300">IF(K300=3,"",
  IFERROR(
    INDEX('Fairway Log'!$E$2:$V$73,
      MATCH(1,
        ('Fairway Log'!$A$2:$A$73=$A300)*
        ('Fairway Log'!$B$2:$B$73=$B300)*
        ('Fairway Log'!$C$2:$C371=$C300),
      0),
      MATCH($G300,'Fairway Log'!$E$1:$V$1,0)
    ),
  "")
)</f>
        <v>↓</v>
      </c>
      <c r="Q300" t="str" cm="1">
        <f t="array" ref="Q300">IFERROR(
  INDEX('GIR Log'!$E$2:$V$73,
    MATCH(1,
      ('GIR Log'!$A$2:$A$73=$A300)*
      ('GIR Log'!$B$2:$B$73=$B300)*
      ('GIR Log'!$C$2:$C$73=$C300),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Log'!$E$2:$V$73,
    MATCH(1,
      ('Golf Log'!$A$2:$A$73=$A301)*
      ('Golf Log'!$B$2:$B$73=$B301)*
      ('Golf Log'!$C$2:$C$73=$C301),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Log'!$E$2:$V$73,
    MATCH(1,
      ('Putt Log'!$A$2:$A$73=$A301)*
      ('Putt Log'!$B$2:$B$73=$B301)*
      ('Putt Log'!$C$2:$C$73=$C301),
    0),
    MATCH($G301,'Putt Log'!$E$1:$V$1,0)
  ),
"")</f>
        <v>2</v>
      </c>
      <c r="P301" t="str" cm="1">
        <f t="array" ref="P301">IF(K301=3,"",
  IFERROR(
    INDEX('Fairway Log'!$E$2:$V$73,
      MATCH(1,
        ('Fairway Log'!$A$2:$A$73=$A301)*
        ('Fairway Log'!$B$2:$B$73=$B301)*
        ('Fairway Log'!$C$2:$C372=$C301),
      0),
      MATCH($G301,'Fairway Log'!$E$1:$V$1,0)
    ),
  "")
)</f>
        <v/>
      </c>
      <c r="Q301" t="str" cm="1">
        <f t="array" ref="Q301">IFERROR(
  INDEX('GIR Log'!$E$2:$V$73,
    MATCH(1,
      ('GIR Log'!$A$2:$A$73=$A301)*
      ('GIR Log'!$B$2:$B$73=$B301)*
      ('GIR Log'!$C$2:$C$73=$C301),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Log'!$E$2:$V$73,
    MATCH(1,
      ('Golf Log'!$A$2:$A$73=$A302)*
      ('Golf Log'!$B$2:$B$73=$B302)*
      ('Golf Log'!$C$2:$C$73=$C302),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Log'!$E$2:$V$73,
    MATCH(1,
      ('Putt Log'!$A$2:$A$73=$A302)*
      ('Putt Log'!$B$2:$B$73=$B302)*
      ('Putt Log'!$C$2:$C$73=$C302),
    0),
    MATCH($G302,'Putt Log'!$E$1:$V$1,0)
  ),
"")</f>
        <v>2</v>
      </c>
      <c r="P302" cm="1">
        <f t="array" ref="P302">IF(K302=3,"",
  IFERROR(
    INDEX('Fairway Log'!$E$2:$V$73,
      MATCH(1,
        ('Fairway Log'!$A$2:$A$73=$A302)*
        ('Fairway Log'!$B$2:$B$73=$B302)*
        ('Fairway Log'!$C$2:$C373=$C302),
      0),
      MATCH($G302,'Fairway Log'!$E$1:$V$1,0)
    ),
  "")
)</f>
        <v>1</v>
      </c>
      <c r="Q302" t="str" cm="1">
        <f t="array" ref="Q302">IFERROR(
  INDEX('GIR Log'!$E$2:$V$73,
    MATCH(1,
      ('GIR Log'!$A$2:$A$73=$A302)*
      ('GIR Log'!$B$2:$B$73=$B302)*
      ('GIR Log'!$C$2:$C$73=$C302),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Log'!$E$2:$V$73,
    MATCH(1,
      ('Golf Log'!$A$2:$A$73=$A303)*
      ('Golf Log'!$B$2:$B$73=$B303)*
      ('Golf Log'!$C$2:$C$73=$C303),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Log'!$E$2:$V$73,
    MATCH(1,
      ('Putt Log'!$A$2:$A$73=$A303)*
      ('Putt Log'!$B$2:$B$73=$B303)*
      ('Putt Log'!$C$2:$C$73=$C303),
    0),
    MATCH($G303,'Putt Log'!$E$1:$V$1,0)
  ),
"")</f>
        <v>2</v>
      </c>
      <c r="P303" t="str" cm="1">
        <f t="array" ref="P303">IF(K303=3,"",
  IFERROR(
    INDEX('Fairway Log'!$E$2:$V$73,
      MATCH(1,
        ('Fairway Log'!$A$2:$A$73=$A303)*
        ('Fairway Log'!$B$2:$B$73=$B303)*
        ('Fairway Log'!$C$2:$C374=$C303),
      0),
      MATCH($G303,'Fairway Log'!$E$1:$V$1,0)
    ),
  "")
)</f>
        <v/>
      </c>
      <c r="Q303" t="str" cm="1">
        <f t="array" ref="Q303">IFERROR(
  INDEX('GIR Log'!$E$2:$V$73,
    MATCH(1,
      ('GIR Log'!$A$2:$A$73=$A303)*
      ('GIR Log'!$B$2:$B$73=$B303)*
      ('GIR Log'!$C$2:$C$73=$C303),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Log'!$E$2:$V$73,
    MATCH(1,
      ('Golf Log'!$A$2:$A$73=$A304)*
      ('Golf Log'!$B$2:$B$73=$B304)*
      ('Golf Log'!$C$2:$C$73=$C304),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Log'!$E$2:$V$73,
    MATCH(1,
      ('Putt Log'!$A$2:$A$73=$A304)*
      ('Putt Log'!$B$2:$B$73=$B304)*
      ('Putt Log'!$C$2:$C$73=$C304),
    0),
    MATCH($G304,'Putt Log'!$E$1:$V$1,0)
  ),
"")</f>
        <v>2</v>
      </c>
      <c r="P304" cm="1">
        <f t="array" ref="P304">IF(K304=3,"",
  IFERROR(
    INDEX('Fairway Log'!$E$2:$V$73,
      MATCH(1,
        ('Fairway Log'!$A$2:$A$73=$A304)*
        ('Fairway Log'!$B$2:$B$73=$B304)*
        ('Fairway Log'!$C$2:$C375=$C304),
      0),
      MATCH($G304,'Fairway Log'!$E$1:$V$1,0)
    ),
  "")
)</f>
        <v>1</v>
      </c>
      <c r="Q304" t="str" cm="1">
        <f t="array" ref="Q304">IFERROR(
  INDEX('GIR Log'!$E$2:$V$73,
    MATCH(1,
      ('GIR Log'!$A$2:$A$73=$A304)*
      ('GIR Log'!$B$2:$B$73=$B304)*
      ('GIR Log'!$C$2:$C$73=$C304),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Log'!$E$2:$V$73,
    MATCH(1,
      ('Golf Log'!$A$2:$A$73=$A305)*
      ('Golf Log'!$B$2:$B$73=$B305)*
      ('Golf Log'!$C$2:$C$73=$C305),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Log'!$E$2:$V$73,
    MATCH(1,
      ('Putt Log'!$A$2:$A$73=$A305)*
      ('Putt Log'!$B$2:$B$73=$B305)*
      ('Putt Log'!$C$2:$C$73=$C305),
    0),
    MATCH($G305,'Putt Log'!$E$1:$V$1,0)
  ),
"")</f>
        <v>2</v>
      </c>
      <c r="P305" t="str" cm="1">
        <f t="array" ref="P305">IF(K305=3,"",
  IFERROR(
    INDEX('Fairway Log'!$E$2:$V$73,
      MATCH(1,
        ('Fairway Log'!$A$2:$A$73=$A305)*
        ('Fairway Log'!$B$2:$B$73=$B305)*
        ('Fairway Log'!$C$2:$C376=$C305),
      0),
      MATCH($G305,'Fairway Log'!$E$1:$V$1,0)
    ),
  "")
)</f>
        <v>←</v>
      </c>
      <c r="Q305" t="str" cm="1">
        <f t="array" ref="Q305">IFERROR(
  INDEX('GIR Log'!$E$2:$V$73,
    MATCH(1,
      ('GIR Log'!$A$2:$A$73=$A305)*
      ('GIR Log'!$B$2:$B$73=$B305)*
      ('GIR Log'!$C$2:$C$73=$C305),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Log'!$E$2:$V$73,
    MATCH(1,
      ('Golf Log'!$A$2:$A$73=$A306)*
      ('Golf Log'!$B$2:$B$73=$B306)*
      ('Golf Log'!$C$2:$C$73=$C306),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Log'!$E$2:$V$73,
    MATCH(1,
      ('Putt Log'!$A$2:$A$73=$A306)*
      ('Putt Log'!$B$2:$B$73=$B306)*
      ('Putt Log'!$C$2:$C$73=$C306),
    0),
    MATCH($G306,'Putt Log'!$E$1:$V$1,0)
  ),
"")</f>
        <v>2</v>
      </c>
      <c r="P306" cm="1">
        <f t="array" ref="P306">IF(K306=3,"",
  IFERROR(
    INDEX('Fairway Log'!$E$2:$V$73,
      MATCH(1,
        ('Fairway Log'!$A$2:$A$73=$A306)*
        ('Fairway Log'!$B$2:$B$73=$B306)*
        ('Fairway Log'!$C$2:$C377=$C306),
      0),
      MATCH($G306,'Fairway Log'!$E$1:$V$1,0)
    ),
  "")
)</f>
        <v>0</v>
      </c>
      <c r="Q306" t="str" cm="1">
        <f t="array" ref="Q306">IFERROR(
  INDEX('GIR Log'!$E$2:$V$73,
    MATCH(1,
      ('GIR Log'!$A$2:$A$73=$A306)*
      ('GIR Log'!$B$2:$B$73=$B306)*
      ('GIR Log'!$C$2:$C$73=$C306),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Log'!$E$2:$V$73,
    MATCH(1,
      ('Golf Log'!$A$2:$A$73=$A307)*
      ('Golf Log'!$B$2:$B$73=$B307)*
      ('Golf Log'!$C$2:$C$73=$C307),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Log'!$E$2:$V$73,
    MATCH(1,
      ('Putt Log'!$A$2:$A$73=$A307)*
      ('Putt Log'!$B$2:$B$73=$B307)*
      ('Putt Log'!$C$2:$C$73=$C307),
    0),
    MATCH($G307,'Putt Log'!$E$1:$V$1,0)
  ),
"")</f>
        <v>2</v>
      </c>
      <c r="P307" t="str" cm="1">
        <f t="array" ref="P307">IF(K307=3,"",
  IFERROR(
    INDEX('Fairway Log'!$E$2:$V$73,
      MATCH(1,
        ('Fairway Log'!$A$2:$A$73=$A307)*
        ('Fairway Log'!$B$2:$B$73=$B307)*
        ('Fairway Log'!$C$2:$C378=$C307),
      0),
      MATCH($G307,'Fairway Log'!$E$1:$V$1,0)
    ),
  "")
)</f>
        <v>→</v>
      </c>
      <c r="Q307" t="str" cm="1">
        <f t="array" ref="Q307">IFERROR(
  INDEX('GIR Log'!$E$2:$V$73,
    MATCH(1,
      ('GIR Log'!$A$2:$A$73=$A307)*
      ('GIR Log'!$B$2:$B$73=$B307)*
      ('GIR Log'!$C$2:$C$73=$C307),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Log'!$E$2:$V$73,
    MATCH(1,
      ('Golf Log'!$A$2:$A$73=$A308)*
      ('Golf Log'!$B$2:$B$73=$B308)*
      ('Golf Log'!$C$2:$C$73=$C308),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Log'!$E$2:$V$73,
    MATCH(1,
      ('Putt Log'!$A$2:$A$73=$A308)*
      ('Putt Log'!$B$2:$B$73=$B308)*
      ('Putt Log'!$C$2:$C$73=$C308),
    0),
    MATCH($G308,'Putt Log'!$E$1:$V$1,0)
  ),
"")</f>
        <v>2</v>
      </c>
      <c r="P308" t="str" cm="1">
        <f t="array" ref="P308">IF(K308=3,"",
  IFERROR(
    INDEX('Fairway Log'!$E$2:$V$73,
      MATCH(1,
        ('Fairway Log'!$A$2:$A$73=$A308)*
        ('Fairway Log'!$B$2:$B$73=$B308)*
        ('Fairway Log'!$C$2:$C379=$C308),
      0),
      MATCH($G308,'Fairway Log'!$E$1:$V$1,0)
    ),
  "")
)</f>
        <v>↓</v>
      </c>
      <c r="Q308" t="str" cm="1">
        <f t="array" ref="Q308">IFERROR(
  INDEX('GIR Log'!$E$2:$V$73,
    MATCH(1,
      ('GIR Log'!$A$2:$A$73=$A308)*
      ('GIR Log'!$B$2:$B$73=$B308)*
      ('GIR Log'!$C$2:$C$73=$C308),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Log'!$E$2:$V$73,
    MATCH(1,
      ('Golf Log'!$A$2:$A$73=$A309)*
      ('Golf Log'!$B$2:$B$73=$B309)*
      ('Golf Log'!$C$2:$C$73=$C309),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Log'!$E$2:$V$73,
    MATCH(1,
      ('Putt Log'!$A$2:$A$73=$A309)*
      ('Putt Log'!$B$2:$B$73=$B309)*
      ('Putt Log'!$C$2:$C$73=$C309),
    0),
    MATCH($G309,'Putt Log'!$E$1:$V$1,0)
  ),
"")</f>
        <v>2</v>
      </c>
      <c r="P309" t="str" cm="1">
        <f t="array" ref="P309">IF(K309=3,"",
  IFERROR(
    INDEX('Fairway Log'!$E$2:$V$73,
      MATCH(1,
        ('Fairway Log'!$A$2:$A$73=$A309)*
        ('Fairway Log'!$B$2:$B$73=$B309)*
        ('Fairway Log'!$C$2:$C380=$C309),
      0),
      MATCH($G309,'Fairway Log'!$E$1:$V$1,0)
    ),
  "")
)</f>
        <v/>
      </c>
      <c r="Q309" cm="1">
        <f t="array" ref="Q309">IFERROR(
  INDEX('GIR Log'!$E$2:$V$73,
    MATCH(1,
      ('GIR Log'!$A$2:$A$73=$A309)*
      ('GIR Log'!$B$2:$B$73=$B309)*
      ('GIR Log'!$C$2:$C$73=$C309),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Log'!$E$2:$V$73,
    MATCH(1,
      ('Golf Log'!$A$2:$A$73=$A310)*
      ('Golf Log'!$B$2:$B$73=$B310)*
      ('Golf Log'!$C$2:$C$73=$C310),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Log'!$E$2:$V$73,
    MATCH(1,
      ('Putt Log'!$A$2:$A$73=$A310)*
      ('Putt Log'!$B$2:$B$73=$B310)*
      ('Putt Log'!$C$2:$C$73=$C310),
    0),
    MATCH($G310,'Putt Log'!$E$1:$V$1,0)
  ),
"")</f>
        <v>2</v>
      </c>
      <c r="P310" cm="1">
        <f t="array" ref="P310">IF(K310=3,"",
  IFERROR(
    INDEX('Fairway Log'!$E$2:$V$73,
      MATCH(1,
        ('Fairway Log'!$A$2:$A$73=$A310)*
        ('Fairway Log'!$B$2:$B$73=$B310)*
        ('Fairway Log'!$C$2:$C381=$C310),
      0),
      MATCH($G310,'Fairway Log'!$E$1:$V$1,0)
    ),
  "")
)</f>
        <v>1</v>
      </c>
      <c r="Q310" t="str" cm="1">
        <f t="array" ref="Q310">IFERROR(
  INDEX('GIR Log'!$E$2:$V$73,
    MATCH(1,
      ('GIR Log'!$A$2:$A$73=$A310)*
      ('GIR Log'!$B$2:$B$73=$B310)*
      ('GIR Log'!$C$2:$C$73=$C310),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Log'!$E$2:$V$73,
    MATCH(1,
      ('Golf Log'!$A$2:$A$73=$A311)*
      ('Golf Log'!$B$2:$B$73=$B311)*
      ('Golf Log'!$C$2:$C$73=$C311),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Log'!$E$2:$V$73,
    MATCH(1,
      ('Putt Log'!$A$2:$A$73=$A311)*
      ('Putt Log'!$B$2:$B$73=$B311)*
      ('Putt Log'!$C$2:$C$73=$C311),
    0),
    MATCH($G311,'Putt Log'!$E$1:$V$1,0)
  ),
"")</f>
        <v>2</v>
      </c>
      <c r="P311" t="str" cm="1">
        <f t="array" ref="P311">IF(K311=3,"",
  IFERROR(
    INDEX('Fairway Log'!$E$2:$V$73,
      MATCH(1,
        ('Fairway Log'!$A$2:$A$73=$A311)*
        ('Fairway Log'!$B$2:$B$73=$B311)*
        ('Fairway Log'!$C$2:$C382=$C311),
      0),
      MATCH($G311,'Fairway Log'!$E$1:$V$1,0)
    ),
  "")
)</f>
        <v/>
      </c>
      <c r="Q311" t="str" cm="1">
        <f t="array" ref="Q311">IFERROR(
  INDEX('GIR Log'!$E$2:$V$73,
    MATCH(1,
      ('GIR Log'!$A$2:$A$73=$A311)*
      ('GIR Log'!$B$2:$B$73=$B311)*
      ('GIR Log'!$C$2:$C$73=$C311),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Log'!$E$2:$V$73,
    MATCH(1,
      ('Golf Log'!$A$2:$A$73=$A312)*
      ('Golf Log'!$B$2:$B$73=$B312)*
      ('Golf Log'!$C$2:$C$73=$C312),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Log'!$E$2:$V$73,
    MATCH(1,
      ('Putt Log'!$A$2:$A$73=$A312)*
      ('Putt Log'!$B$2:$B$73=$B312)*
      ('Putt Log'!$C$2:$C$73=$C312),
    0),
    MATCH($G312,'Putt Log'!$E$1:$V$1,0)
  ),
"")</f>
        <v>2</v>
      </c>
      <c r="P312" t="str" cm="1">
        <f t="array" ref="P312">IF(K312=3,"",
  IFERROR(
    INDEX('Fairway Log'!$E$2:$V$73,
      MATCH(1,
        ('Fairway Log'!$A$2:$A$73=$A312)*
        ('Fairway Log'!$B$2:$B$73=$B312)*
        ('Fairway Log'!$C$2:$C383=$C312),
      0),
      MATCH($G312,'Fairway Log'!$E$1:$V$1,0)
    ),
  "")
)</f>
        <v>←</v>
      </c>
      <c r="Q312" t="str" cm="1">
        <f t="array" ref="Q312">IFERROR(
  INDEX('GIR Log'!$E$2:$V$73,
    MATCH(1,
      ('GIR Log'!$A$2:$A$73=$A312)*
      ('GIR Log'!$B$2:$B$73=$B312)*
      ('GIR Log'!$C$2:$C$73=$C312),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Log'!$E$2:$V$73,
    MATCH(1,
      ('Golf Log'!$A$2:$A$73=$A313)*
      ('Golf Log'!$B$2:$B$73=$B313)*
      ('Golf Log'!$C$2:$C$73=$C313),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Log'!$E$2:$V$73,
    MATCH(1,
      ('Putt Log'!$A$2:$A$73=$A313)*
      ('Putt Log'!$B$2:$B$73=$B313)*
      ('Putt Log'!$C$2:$C$73=$C313),
    0),
    MATCH($G313,'Putt Log'!$E$1:$V$1,0)
  ),
"")</f>
        <v>2</v>
      </c>
      <c r="P313" t="str" cm="1">
        <f t="array" ref="P313">IF(K313=3,"",
  IFERROR(
    INDEX('Fairway Log'!$E$2:$V$73,
      MATCH(1,
        ('Fairway Log'!$A$2:$A$73=$A313)*
        ('Fairway Log'!$B$2:$B$73=$B313)*
        ('Fairway Log'!$C$2:$C384=$C313),
      0),
      MATCH($G313,'Fairway Log'!$E$1:$V$1,0)
    ),
  "")
)</f>
        <v>←</v>
      </c>
      <c r="Q313" t="str" cm="1">
        <f t="array" ref="Q313">IFERROR(
  INDEX('GIR Log'!$E$2:$V$73,
    MATCH(1,
      ('GIR Log'!$A$2:$A$73=$A313)*
      ('GIR Log'!$B$2:$B$73=$B313)*
      ('GIR Log'!$C$2:$C$73=$C313),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Log'!$E$2:$V$73,
    MATCH(1,
      ('Golf Log'!$A$2:$A$73=$A314)*
      ('Golf Log'!$B$2:$B$73=$B314)*
      ('Golf Log'!$C$2:$C$73=$C314),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Log'!$E$2:$V$73,
    MATCH(1,
      ('Putt Log'!$A$2:$A$73=$A314)*
      ('Putt Log'!$B$2:$B$73=$B314)*
      ('Putt Log'!$C$2:$C$73=$C314),
    0),
    MATCH($G314,'Putt Log'!$E$1:$V$1,0)
  ),
"")</f>
        <v>2</v>
      </c>
      <c r="P314" cm="1">
        <f t="array" ref="P314">IF(K314=3,"",
  IFERROR(
    INDEX('Fairway Log'!$E$2:$V$73,
      MATCH(1,
        ('Fairway Log'!$A$2:$A$73=$A314)*
        ('Fairway Log'!$B$2:$B$73=$B314)*
        ('Fairway Log'!$C$2:$C385=$C314),
      0),
      MATCH($G314,'Fairway Log'!$E$1:$V$1,0)
    ),
  "")
)</f>
        <v>1</v>
      </c>
      <c r="Q314" cm="1">
        <f t="array" ref="Q314">IFERROR(
  INDEX('GIR Log'!$E$2:$V$73,
    MATCH(1,
      ('GIR Log'!$A$2:$A$73=$A314)*
      ('GIR Log'!$B$2:$B$73=$B314)*
      ('GIR Log'!$C$2:$C$73=$C314),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Log'!$E$2:$V$73,
    MATCH(1,
      ('Golf Log'!$A$2:$A$73=$A315)*
      ('Golf Log'!$B$2:$B$73=$B315)*
      ('Golf Log'!$C$2:$C$73=$C315),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Log'!$E$2:$V$73,
    MATCH(1,
      ('Putt Log'!$A$2:$A$73=$A315)*
      ('Putt Log'!$B$2:$B$73=$B315)*
      ('Putt Log'!$C$2:$C$73=$C315),
    0),
    MATCH($G315,'Putt Log'!$E$1:$V$1,0)
  ),
"")</f>
        <v>2</v>
      </c>
      <c r="P315" t="str" cm="1">
        <f t="array" ref="P315">IF(K315=3,"",
  IFERROR(
    INDEX('Fairway Log'!$E$2:$V$73,
      MATCH(1,
        ('Fairway Log'!$A$2:$A$73=$A315)*
        ('Fairway Log'!$B$2:$B$73=$B315)*
        ('Fairway Log'!$C$2:$C386=$C315),
      0),
      MATCH($G315,'Fairway Log'!$E$1:$V$1,0)
    ),
  "")
)</f>
        <v>←</v>
      </c>
      <c r="Q315" t="str" cm="1">
        <f t="array" ref="Q315">IFERROR(
  INDEX('GIR Log'!$E$2:$V$73,
    MATCH(1,
      ('GIR Log'!$A$2:$A$73=$A315)*
      ('GIR Log'!$B$2:$B$73=$B315)*
      ('GIR Log'!$C$2:$C$73=$C315),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Log'!$E$2:$V$73,
    MATCH(1,
      ('Golf Log'!$A$2:$A$73=$A316)*
      ('Golf Log'!$B$2:$B$73=$B316)*
      ('Golf Log'!$C$2:$C$73=$C316),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Log'!$E$2:$V$73,
    MATCH(1,
      ('Putt Log'!$A$2:$A$73=$A316)*
      ('Putt Log'!$B$2:$B$73=$B316)*
      ('Putt Log'!$C$2:$C$73=$C316),
    0),
    MATCH($G316,'Putt Log'!$E$1:$V$1,0)
  ),
"")</f>
        <v>2</v>
      </c>
      <c r="P316" cm="1">
        <f t="array" ref="P316">IF(K316=3,"",
  IFERROR(
    INDEX('Fairway Log'!$E$2:$V$73,
      MATCH(1,
        ('Fairway Log'!$A$2:$A$73=$A316)*
        ('Fairway Log'!$B$2:$B$73=$B316)*
        ('Fairway Log'!$C$2:$C387=$C316),
      0),
      MATCH($G316,'Fairway Log'!$E$1:$V$1,0)
    ),
  "")
)</f>
        <v>1</v>
      </c>
      <c r="Q316" t="str" cm="1">
        <f t="array" ref="Q316">IFERROR(
  INDEX('GIR Log'!$E$2:$V$73,
    MATCH(1,
      ('GIR Log'!$A$2:$A$73=$A316)*
      ('GIR Log'!$B$2:$B$73=$B316)*
      ('GIR Log'!$C$2:$C$73=$C316),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Log'!$E$2:$V$73,
    MATCH(1,
      ('Golf Log'!$A$2:$A$73=$A317)*
      ('Golf Log'!$B$2:$B$73=$B317)*
      ('Golf Log'!$C$2:$C$73=$C317),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Log'!$E$2:$V$73,
    MATCH(1,
      ('Putt Log'!$A$2:$A$73=$A317)*
      ('Putt Log'!$B$2:$B$73=$B317)*
      ('Putt Log'!$C$2:$C$73=$C317),
    0),
    MATCH($G317,'Putt Log'!$E$1:$V$1,0)
  ),
"")</f>
        <v>2</v>
      </c>
      <c r="P317" cm="1">
        <f t="array" ref="P317">IF(K317=3,"",
  IFERROR(
    INDEX('Fairway Log'!$E$2:$V$73,
      MATCH(1,
        ('Fairway Log'!$A$2:$A$73=$A317)*
        ('Fairway Log'!$B$2:$B$73=$B317)*
        ('Fairway Log'!$C$2:$C388=$C317),
      0),
      MATCH($G317,'Fairway Log'!$E$1:$V$1,0)
    ),
  "")
)</f>
        <v>1</v>
      </c>
      <c r="Q317" t="str" cm="1">
        <f t="array" ref="Q317">IFERROR(
  INDEX('GIR Log'!$E$2:$V$73,
    MATCH(1,
      ('GIR Log'!$A$2:$A$73=$A317)*
      ('GIR Log'!$B$2:$B$73=$B317)*
      ('GIR Log'!$C$2:$C$73=$C317),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Log'!$E$2:$V$73,
    MATCH(1,
      ('Golf Log'!$A$2:$A$73=$A318)*
      ('Golf Log'!$B$2:$B$73=$B318)*
      ('Golf Log'!$C$2:$C$73=$C318),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Log'!$E$2:$V$73,
    MATCH(1,
      ('Putt Log'!$A$2:$A$73=$A318)*
      ('Putt Log'!$B$2:$B$73=$B318)*
      ('Putt Log'!$C$2:$C$73=$C318),
    0),
    MATCH($G318,'Putt Log'!$E$1:$V$1,0)
  ),
"")</f>
        <v>1</v>
      </c>
      <c r="P318" t="str" cm="1">
        <f t="array" ref="P318">IF(K318=3,"",
  IFERROR(
    INDEX('Fairway Log'!$E$2:$V$73,
      MATCH(1,
        ('Fairway Log'!$A$2:$A$73=$A318)*
        ('Fairway Log'!$B$2:$B$73=$B318)*
        ('Fairway Log'!$C$2:$C389=$C318),
      0),
      MATCH($G318,'Fairway Log'!$E$1:$V$1,0)
    ),
  "")
)</f>
        <v/>
      </c>
      <c r="Q318" t="str" cm="1">
        <f t="array" ref="Q318">IFERROR(
  INDEX('GIR Log'!$E$2:$V$73,
    MATCH(1,
      ('GIR Log'!$A$2:$A$73=$A318)*
      ('GIR Log'!$B$2:$B$73=$B318)*
      ('GIR Log'!$C$2:$C$73=$C318),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Log'!$E$2:$V$73,
    MATCH(1,
      ('Golf Log'!$A$2:$A$73=$A319)*
      ('Golf Log'!$B$2:$B$73=$B319)*
      ('Golf Log'!$C$2:$C$73=$C319),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Log'!$E$2:$V$73,
    MATCH(1,
      ('Putt Log'!$A$2:$A$73=$A319)*
      ('Putt Log'!$B$2:$B$73=$B319)*
      ('Putt Log'!$C$2:$C$73=$C319),
    0),
    MATCH($G319,'Putt Log'!$E$1:$V$1,0)
  ),
"")</f>
        <v>2</v>
      </c>
      <c r="P319" t="str" cm="1">
        <f t="array" ref="P319">IF(K319=3,"",
  IFERROR(
    INDEX('Fairway Log'!$E$2:$V$73,
      MATCH(1,
        ('Fairway Log'!$A$2:$A$73=$A319)*
        ('Fairway Log'!$B$2:$B$73=$B319)*
        ('Fairway Log'!$C$2:$C390=$C319),
      0),
      MATCH($G319,'Fairway Log'!$E$1:$V$1,0)
    ),
  "")
)</f>
        <v>→</v>
      </c>
      <c r="Q319" cm="1">
        <f t="array" ref="Q319">IFERROR(
  INDEX('GIR Log'!$E$2:$V$73,
    MATCH(1,
      ('GIR Log'!$A$2:$A$73=$A319)*
      ('GIR Log'!$B$2:$B$73=$B319)*
      ('GIR Log'!$C$2:$C$73=$C319),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Log'!$E$2:$V$73,
    MATCH(1,
      ('Golf Log'!$A$2:$A$73=$A320)*
      ('Golf Log'!$B$2:$B$73=$B320)*
      ('Golf Log'!$C$2:$C$73=$C320),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Log'!$E$2:$V$73,
    MATCH(1,
      ('Putt Log'!$A$2:$A$73=$A320)*
      ('Putt Log'!$B$2:$B$73=$B320)*
      ('Putt Log'!$C$2:$C$73=$C320),
    0),
    MATCH($G320,'Putt Log'!$E$1:$V$1,0)
  ),
"")</f>
        <v>2</v>
      </c>
      <c r="P320" t="str" cm="1">
        <f t="array" ref="P320">IF(K320=3,"",
  IFERROR(
    INDEX('Fairway Log'!$E$2:$V$73,
      MATCH(1,
        ('Fairway Log'!$A$2:$A$73=$A320)*
        ('Fairway Log'!$B$2:$B$73=$B320)*
        ('Fairway Log'!$C$2:$C391=$C320),
      0),
      MATCH($G320,'Fairway Log'!$E$1:$V$1,0)
    ),
  "")
)</f>
        <v>↓</v>
      </c>
      <c r="Q320" cm="1">
        <f t="array" ref="Q320">IFERROR(
  INDEX('GIR Log'!$E$2:$V$73,
    MATCH(1,
      ('GIR Log'!$A$2:$A$73=$A320)*
      ('GIR Log'!$B$2:$B$73=$B320)*
      ('GIR Log'!$C$2:$C$73=$C320),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Log'!$E$2:$V$73,
    MATCH(1,
      ('Golf Log'!$A$2:$A$73=$A321)*
      ('Golf Log'!$B$2:$B$73=$B321)*
      ('Golf Log'!$C$2:$C$73=$C321),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Log'!$E$2:$V$73,
    MATCH(1,
      ('Putt Log'!$A$2:$A$73=$A321)*
      ('Putt Log'!$B$2:$B$73=$B321)*
      ('Putt Log'!$C$2:$C$73=$C321),
    0),
    MATCH($G321,'Putt Log'!$E$1:$V$1,0)
  ),
"")</f>
        <v>1</v>
      </c>
      <c r="P321" t="str" cm="1">
        <f t="array" ref="P321">IF(K321=3,"",
  IFERROR(
    INDEX('Fairway Log'!$E$2:$V$73,
      MATCH(1,
        ('Fairway Log'!$A$2:$A$73=$A321)*
        ('Fairway Log'!$B$2:$B$73=$B321)*
        ('Fairway Log'!$C$2:$C392=$C321),
      0),
      MATCH($G321,'Fairway Log'!$E$1:$V$1,0)
    ),
  "")
)</f>
        <v/>
      </c>
      <c r="Q321" t="str" cm="1">
        <f t="array" ref="Q321">IFERROR(
  INDEX('GIR Log'!$E$2:$V$73,
    MATCH(1,
      ('GIR Log'!$A$2:$A$73=$A321)*
      ('GIR Log'!$B$2:$B$73=$B321)*
      ('GIR Log'!$C$2:$C$73=$C321),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Log'!$E$2:$V$73,
    MATCH(1,
      ('Golf Log'!$A$2:$A$73=$A322)*
      ('Golf Log'!$B$2:$B$73=$B322)*
      ('Golf Log'!$C$2:$C$73=$C322),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Log'!$E$2:$V$73,
    MATCH(1,
      ('Putt Log'!$A$2:$A$73=$A322)*
      ('Putt Log'!$B$2:$B$73=$B322)*
      ('Putt Log'!$C$2:$C$73=$C322),
    0),
    MATCH($G322,'Putt Log'!$E$1:$V$1,0)
  ),
"")</f>
        <v>2</v>
      </c>
      <c r="P322" t="str" cm="1">
        <f t="array" ref="P322">IF(K322=3,"",
  IFERROR(
    INDEX('Fairway Log'!$E$2:$V$73,
      MATCH(1,
        ('Fairway Log'!$A$2:$A$73=$A322)*
        ('Fairway Log'!$B$2:$B$73=$B322)*
        ('Fairway Log'!$C$2:$C393=$C322),
      0),
      MATCH($G322,'Fairway Log'!$E$1:$V$1,0)
    ),
  "")
)</f>
        <v>→</v>
      </c>
      <c r="Q322" t="str" cm="1">
        <f t="array" ref="Q322">IFERROR(
  INDEX('GIR Log'!$E$2:$V$73,
    MATCH(1,
      ('GIR Log'!$A$2:$A$73=$A322)*
      ('GIR Log'!$B$2:$B$73=$B322)*
      ('GIR Log'!$C$2:$C$73=$C322),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Log'!$E$2:$V$73,
    MATCH(1,
      ('Golf Log'!$A$2:$A$73=$A323)*
      ('Golf Log'!$B$2:$B$73=$B323)*
      ('Golf Log'!$C$2:$C$73=$C323),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Log'!$E$2:$V$73,
    MATCH(1,
      ('Putt Log'!$A$2:$A$73=$A323)*
      ('Putt Log'!$B$2:$B$73=$B323)*
      ('Putt Log'!$C$2:$C$73=$C323),
    0),
    MATCH($G323,'Putt Log'!$E$1:$V$1,0)
  ),
"")</f>
        <v>2</v>
      </c>
      <c r="P323" t="str" cm="1">
        <f t="array" ref="P323">IF(K323=3,"",
  IFERROR(
    INDEX('Fairway Log'!$E$2:$V$73,
      MATCH(1,
        ('Fairway Log'!$A$2:$A$73=$A323)*
        ('Fairway Log'!$B$2:$B$73=$B323)*
        ('Fairway Log'!$C$2:$C394=$C323),
      0),
      MATCH($G323,'Fairway Log'!$E$1:$V$1,0)
    ),
  "")
)</f>
        <v/>
      </c>
      <c r="Q323" t="str" cm="1">
        <f t="array" ref="Q323">IFERROR(
  INDEX('GIR Log'!$E$2:$V$73,
    MATCH(1,
      ('GIR Log'!$A$2:$A$73=$A323)*
      ('GIR Log'!$B$2:$B$73=$B323)*
      ('GIR Log'!$C$2:$C$73=$C323),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Log'!$E$2:$V$73,
    MATCH(1,
      ('Golf Log'!$A$2:$A$73=$A324)*
      ('Golf Log'!$B$2:$B$73=$B324)*
      ('Golf Log'!$C$2:$C$73=$C324),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Log'!$E$2:$V$73,
    MATCH(1,
      ('Putt Log'!$A$2:$A$73=$A324)*
      ('Putt Log'!$B$2:$B$73=$B324)*
      ('Putt Log'!$C$2:$C$73=$C324),
    0),
    MATCH($G324,'Putt Log'!$E$1:$V$1,0)
  ),
"")</f>
        <v>2</v>
      </c>
      <c r="P324" cm="1">
        <f t="array" ref="P324">IF(K324=3,"",
  IFERROR(
    INDEX('Fairway Log'!$E$2:$V$73,
      MATCH(1,
        ('Fairway Log'!$A$2:$A$73=$A324)*
        ('Fairway Log'!$B$2:$B$73=$B324)*
        ('Fairway Log'!$C$2:$C395=$C324),
      0),
      MATCH($G324,'Fairway Log'!$E$1:$V$1,0)
    ),
  "")
)</f>
        <v>1</v>
      </c>
      <c r="Q324" t="str" cm="1">
        <f t="array" ref="Q324">IFERROR(
  INDEX('GIR Log'!$E$2:$V$73,
    MATCH(1,
      ('GIR Log'!$A$2:$A$73=$A324)*
      ('GIR Log'!$B$2:$B$73=$B324)*
      ('GIR Log'!$C$2:$C$73=$C324),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Log'!$E$2:$V$73,
    MATCH(1,
      ('Golf Log'!$A$2:$A$73=$A325)*
      ('Golf Log'!$B$2:$B$73=$B325)*
      ('Golf Log'!$C$2:$C$73=$C325),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Log'!$E$2:$V$73,
    MATCH(1,
      ('Putt Log'!$A$2:$A$73=$A325)*
      ('Putt Log'!$B$2:$B$73=$B325)*
      ('Putt Log'!$C$2:$C$73=$C325),
    0),
    MATCH($G325,'Putt Log'!$E$1:$V$1,0)
  ),
"")</f>
        <v>3</v>
      </c>
      <c r="P325" t="str" cm="1">
        <f t="array" ref="P325">IF(K325=3,"",
  IFERROR(
    INDEX('Fairway Log'!$E$2:$V$73,
      MATCH(1,
        ('Fairway Log'!$A$2:$A$73=$A325)*
        ('Fairway Log'!$B$2:$B$73=$B325)*
        ('Fairway Log'!$C$2:$C396=$C325),
      0),
      MATCH($G325,'Fairway Log'!$E$1:$V$1,0)
    ),
  "")
)</f>
        <v>→</v>
      </c>
      <c r="Q325" t="str" cm="1">
        <f t="array" ref="Q325">IFERROR(
  INDEX('GIR Log'!$E$2:$V$73,
    MATCH(1,
      ('GIR Log'!$A$2:$A$73=$A325)*
      ('GIR Log'!$B$2:$B$73=$B325)*
      ('GIR Log'!$C$2:$C$73=$C325),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Log'!$E$2:$V$73,
    MATCH(1,
      ('Golf Log'!$A$2:$A$73=$A326)*
      ('Golf Log'!$B$2:$B$73=$B326)*
      ('Golf Log'!$C$2:$C$73=$C326),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Log'!$E$2:$V$73,
    MATCH(1,
      ('Putt Log'!$A$2:$A$73=$A326)*
      ('Putt Log'!$B$2:$B$73=$B326)*
      ('Putt Log'!$C$2:$C$73=$C326),
    0),
    MATCH($G326,'Putt Log'!$E$1:$V$1,0)
  ),
"")</f>
        <v>2</v>
      </c>
      <c r="P326" cm="1">
        <f t="array" ref="P326">IF(K326=3,"",
  IFERROR(
    INDEX('Fairway Log'!$E$2:$V$73,
      MATCH(1,
        ('Fairway Log'!$A$2:$A$73=$A326)*
        ('Fairway Log'!$B$2:$B$73=$B326)*
        ('Fairway Log'!$C$2:$C397=$C326),
      0),
      MATCH($G326,'Fairway Log'!$E$1:$V$1,0)
    ),
  "")
)</f>
        <v>1</v>
      </c>
      <c r="Q326" t="str" cm="1">
        <f t="array" ref="Q326">IFERROR(
  INDEX('GIR Log'!$E$2:$V$73,
    MATCH(1,
      ('GIR Log'!$A$2:$A$73=$A326)*
      ('GIR Log'!$B$2:$B$73=$B326)*
      ('GIR Log'!$C$2:$C$73=$C326),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Log'!$E$2:$V$73,
    MATCH(1,
      ('Golf Log'!$A$2:$A$73=$A327)*
      ('Golf Log'!$B$2:$B$73=$B327)*
      ('Golf Log'!$C$2:$C$73=$C327),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Log'!$E$2:$V$73,
    MATCH(1,
      ('Putt Log'!$A$2:$A$73=$A327)*
      ('Putt Log'!$B$2:$B$73=$B327)*
      ('Putt Log'!$C$2:$C$73=$C327),
    0),
    MATCH($G327,'Putt Log'!$E$1:$V$1,0)
  ),
"")</f>
        <v>2</v>
      </c>
      <c r="P327" t="str" cm="1">
        <f t="array" ref="P327">IF(K327=3,"",
  IFERROR(
    INDEX('Fairway Log'!$E$2:$V$73,
      MATCH(1,
        ('Fairway Log'!$A$2:$A$73=$A327)*
        ('Fairway Log'!$B$2:$B$73=$B327)*
        ('Fairway Log'!$C$2:$C398=$C327),
      0),
      MATCH($G327,'Fairway Log'!$E$1:$V$1,0)
    ),
  "")
)</f>
        <v>→</v>
      </c>
      <c r="Q327" t="str" cm="1">
        <f t="array" ref="Q327">IFERROR(
  INDEX('GIR Log'!$E$2:$V$73,
    MATCH(1,
      ('GIR Log'!$A$2:$A$73=$A327)*
      ('GIR Log'!$B$2:$B$73=$B327)*
      ('GIR Log'!$C$2:$C$73=$C327),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Log'!$E$2:$V$73,
    MATCH(1,
      ('Golf Log'!$A$2:$A$73=$A328)*
      ('Golf Log'!$B$2:$B$73=$B328)*
      ('Golf Log'!$C$2:$C$73=$C328),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Log'!$E$2:$V$73,
    MATCH(1,
      ('Putt Log'!$A$2:$A$73=$A328)*
      ('Putt Log'!$B$2:$B$73=$B328)*
      ('Putt Log'!$C$2:$C$73=$C328),
    0),
    MATCH($G328,'Putt Log'!$E$1:$V$1,0)
  ),
"")</f>
        <v>2</v>
      </c>
      <c r="P328" t="str" cm="1">
        <f t="array" ref="P328">IF(K328=3,"",
  IFERROR(
    INDEX('Fairway Log'!$E$2:$V$73,
      MATCH(1,
        ('Fairway Log'!$A$2:$A$73=$A328)*
        ('Fairway Log'!$B$2:$B$73=$B328)*
        ('Fairway Log'!$C$2:$C399=$C328),
      0),
      MATCH($G328,'Fairway Log'!$E$1:$V$1,0)
    ),
  "")
)</f>
        <v/>
      </c>
      <c r="Q328" t="str" cm="1">
        <f t="array" ref="Q328">IFERROR(
  INDEX('GIR Log'!$E$2:$V$73,
    MATCH(1,
      ('GIR Log'!$A$2:$A$73=$A328)*
      ('GIR Log'!$B$2:$B$73=$B328)*
      ('GIR Log'!$C$2:$C$73=$C328),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Log'!$E$2:$V$73,
    MATCH(1,
      ('Golf Log'!$A$2:$A$73=$A329)*
      ('Golf Log'!$B$2:$B$73=$B329)*
      ('Golf Log'!$C$2:$C$73=$C329),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Log'!$E$2:$V$73,
    MATCH(1,
      ('Putt Log'!$A$2:$A$73=$A329)*
      ('Putt Log'!$B$2:$B$73=$B329)*
      ('Putt Log'!$C$2:$C$73=$C329),
    0),
    MATCH($G329,'Putt Log'!$E$1:$V$1,0)
  ),
"")</f>
        <v>3</v>
      </c>
      <c r="P329" t="str" cm="1">
        <f t="array" ref="P329">IF(K329=3,"",
  IFERROR(
    INDEX('Fairway Log'!$E$2:$V$73,
      MATCH(1,
        ('Fairway Log'!$A$2:$A$73=$A329)*
        ('Fairway Log'!$B$2:$B$73=$B329)*
        ('Fairway Log'!$C$2:$C400=$C329),
      0),
      MATCH($G329,'Fairway Log'!$E$1:$V$1,0)
    ),
  "")
)</f>
        <v>→</v>
      </c>
      <c r="Q329" cm="1">
        <f t="array" ref="Q329">IFERROR(
  INDEX('GIR Log'!$E$2:$V$73,
    MATCH(1,
      ('GIR Log'!$A$2:$A$73=$A329)*
      ('GIR Log'!$B$2:$B$73=$B329)*
      ('GIR Log'!$C$2:$C$73=$C329),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Log'!$E$2:$V$73,
    MATCH(1,
      ('Golf Log'!$A$2:$A$73=$A330)*
      ('Golf Log'!$B$2:$B$73=$B330)*
      ('Golf Log'!$C$2:$C$73=$C330),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Log'!$E$2:$V$73,
    MATCH(1,
      ('Putt Log'!$A$2:$A$73=$A330)*
      ('Putt Log'!$B$2:$B$73=$B330)*
      ('Putt Log'!$C$2:$C$73=$C330),
    0),
    MATCH($G330,'Putt Log'!$E$1:$V$1,0)
  ),
"")</f>
        <v>1</v>
      </c>
      <c r="P330" t="str" cm="1">
        <f t="array" ref="P330">IF(K330=3,"",
  IFERROR(
    INDEX('Fairway Log'!$E$2:$V$73,
      MATCH(1,
        ('Fairway Log'!$A$2:$A$73=$A330)*
        ('Fairway Log'!$B$2:$B$73=$B330)*
        ('Fairway Log'!$C$2:$C401=$C330),
      0),
      MATCH($G330,'Fairway Log'!$E$1:$V$1,0)
    ),
  "")
)</f>
        <v>↑</v>
      </c>
      <c r="Q330" t="str" cm="1">
        <f t="array" ref="Q330">IFERROR(
  INDEX('GIR Log'!$E$2:$V$73,
    MATCH(1,
      ('GIR Log'!$A$2:$A$73=$A330)*
      ('GIR Log'!$B$2:$B$73=$B330)*
      ('GIR Log'!$C$2:$C$73=$C330),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Log'!$E$2:$V$73,
    MATCH(1,
      ('Golf Log'!$A$2:$A$73=$A331)*
      ('Golf Log'!$B$2:$B$73=$B331)*
      ('Golf Log'!$C$2:$C$73=$C331),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Log'!$E$2:$V$73,
    MATCH(1,
      ('Putt Log'!$A$2:$A$73=$A331)*
      ('Putt Log'!$B$2:$B$73=$B331)*
      ('Putt Log'!$C$2:$C$73=$C331),
    0),
    MATCH($G331,'Putt Log'!$E$1:$V$1,0)
  ),
"")</f>
        <v>2</v>
      </c>
      <c r="P331" t="str" cm="1">
        <f t="array" ref="P331">IF(K331=3,"",
  IFERROR(
    INDEX('Fairway Log'!$E$2:$V$73,
      MATCH(1,
        ('Fairway Log'!$A$2:$A$73=$A331)*
        ('Fairway Log'!$B$2:$B$73=$B331)*
        ('Fairway Log'!$C$2:$C402=$C331),
      0),
      MATCH($G331,'Fairway Log'!$E$1:$V$1,0)
    ),
  "")
)</f>
        <v/>
      </c>
      <c r="Q331" t="str" cm="1">
        <f t="array" ref="Q331">IFERROR(
  INDEX('GIR Log'!$E$2:$V$73,
    MATCH(1,
      ('GIR Log'!$A$2:$A$73=$A331)*
      ('GIR Log'!$B$2:$B$73=$B331)*
      ('GIR Log'!$C$2:$C$73=$C331),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Log'!$E$2:$V$73,
    MATCH(1,
      ('Golf Log'!$A$2:$A$73=$A332)*
      ('Golf Log'!$B$2:$B$73=$B332)*
      ('Golf Log'!$C$2:$C$73=$C332),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Log'!$E$2:$V$73,
    MATCH(1,
      ('Putt Log'!$A$2:$A$73=$A332)*
      ('Putt Log'!$B$2:$B$73=$B332)*
      ('Putt Log'!$C$2:$C$73=$C332),
    0),
    MATCH($G332,'Putt Log'!$E$1:$V$1,0)
  ),
"")</f>
        <v>2</v>
      </c>
      <c r="P332" t="str" cm="1">
        <f t="array" ref="P332">IF(K332=3,"",
  IFERROR(
    INDEX('Fairway Log'!$E$2:$V$73,
      MATCH(1,
        ('Fairway Log'!$A$2:$A$73=$A332)*
        ('Fairway Log'!$B$2:$B$73=$B332)*
        ('Fairway Log'!$C$2:$C403=$C332),
      0),
      MATCH($G332,'Fairway Log'!$E$1:$V$1,0)
    ),
  "")
)</f>
        <v>→</v>
      </c>
      <c r="Q332" cm="1">
        <f t="array" ref="Q332">IFERROR(
  INDEX('GIR Log'!$E$2:$V$73,
    MATCH(1,
      ('GIR Log'!$A$2:$A$73=$A332)*
      ('GIR Log'!$B$2:$B$73=$B332)*
      ('GIR Log'!$C$2:$C$73=$C332),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Log'!$E$2:$V$73,
    MATCH(1,
      ('Golf Log'!$A$2:$A$73=$A333)*
      ('Golf Log'!$B$2:$B$73=$B333)*
      ('Golf Log'!$C$2:$C$73=$C333),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Log'!$E$2:$V$73,
    MATCH(1,
      ('Putt Log'!$A$2:$A$73=$A333)*
      ('Putt Log'!$B$2:$B$73=$B333)*
      ('Putt Log'!$C$2:$C$73=$C333),
    0),
    MATCH($G333,'Putt Log'!$E$1:$V$1,0)
  ),
"")</f>
        <v>2</v>
      </c>
      <c r="P333" t="str" cm="1">
        <f t="array" ref="P333">IF(K333=3,"",
  IFERROR(
    INDEX('Fairway Log'!$E$2:$V$73,
      MATCH(1,
        ('Fairway Log'!$A$2:$A$73=$A333)*
        ('Fairway Log'!$B$2:$B$73=$B333)*
        ('Fairway Log'!$C$2:$C404=$C333),
      0),
      MATCH($G333,'Fairway Log'!$E$1:$V$1,0)
    ),
  "")
)</f>
        <v>→</v>
      </c>
      <c r="Q333" t="str" cm="1">
        <f t="array" ref="Q333">IFERROR(
  INDEX('GIR Log'!$E$2:$V$73,
    MATCH(1,
      ('GIR Log'!$A$2:$A$73=$A333)*
      ('GIR Log'!$B$2:$B$73=$B333)*
      ('GIR Log'!$C$2:$C$73=$C333),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Log'!$E$2:$V$73,
    MATCH(1,
      ('Golf Log'!$A$2:$A$73=$A334)*
      ('Golf Log'!$B$2:$B$73=$B334)*
      ('Golf Log'!$C$2:$C$73=$C334),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Log'!$E$2:$V$73,
    MATCH(1,
      ('Putt Log'!$A$2:$A$73=$A334)*
      ('Putt Log'!$B$2:$B$73=$B334)*
      ('Putt Log'!$C$2:$C$73=$C334),
    0),
    MATCH($G334,'Putt Log'!$E$1:$V$1,0)
  ),
"")</f>
        <v>2</v>
      </c>
      <c r="P334" cm="1">
        <f t="array" ref="P334">IF(K334=3,"",
  IFERROR(
    INDEX('Fairway Log'!$E$2:$V$73,
      MATCH(1,
        ('Fairway Log'!$A$2:$A$73=$A334)*
        ('Fairway Log'!$B$2:$B$73=$B334)*
        ('Fairway Log'!$C$2:$C405=$C334),
      0),
      MATCH($G334,'Fairway Log'!$E$1:$V$1,0)
    ),
  "")
)</f>
        <v>1</v>
      </c>
      <c r="Q334" t="str" cm="1">
        <f t="array" ref="Q334">IFERROR(
  INDEX('GIR Log'!$E$2:$V$73,
    MATCH(1,
      ('GIR Log'!$A$2:$A$73=$A334)*
      ('GIR Log'!$B$2:$B$73=$B334)*
      ('GIR Log'!$C$2:$C$73=$C334),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Log'!$E$2:$V$73,
    MATCH(1,
      ('Golf Log'!$A$2:$A$73=$A335)*
      ('Golf Log'!$B$2:$B$73=$B335)*
      ('Golf Log'!$C$2:$C$73=$C335),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Log'!$E$2:$V$73,
    MATCH(1,
      ('Putt Log'!$A$2:$A$73=$A335)*
      ('Putt Log'!$B$2:$B$73=$B335)*
      ('Putt Log'!$C$2:$C$73=$C335),
    0),
    MATCH($G335,'Putt Log'!$E$1:$V$1,0)
  ),
"")</f>
        <v>2</v>
      </c>
      <c r="P335" t="str" cm="1">
        <f t="array" ref="P335">IF(K335=3,"",
  IFERROR(
    INDEX('Fairway Log'!$E$2:$V$73,
      MATCH(1,
        ('Fairway Log'!$A$2:$A$73=$A335)*
        ('Fairway Log'!$B$2:$B$73=$B335)*
        ('Fairway Log'!$C$2:$C406=$C335),
      0),
      MATCH($G335,'Fairway Log'!$E$1:$V$1,0)
    ),
  "")
)</f>
        <v>→</v>
      </c>
      <c r="Q335" t="str" cm="1">
        <f t="array" ref="Q335">IFERROR(
  INDEX('GIR Log'!$E$2:$V$73,
    MATCH(1,
      ('GIR Log'!$A$2:$A$73=$A335)*
      ('GIR Log'!$B$2:$B$73=$B335)*
      ('GIR Log'!$C$2:$C$73=$C335),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Log'!$E$2:$V$73,
    MATCH(1,
      ('Golf Log'!$A$2:$A$73=$A336)*
      ('Golf Log'!$B$2:$B$73=$B336)*
      ('Golf Log'!$C$2:$C$73=$C336),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Log'!$E$2:$V$73,
    MATCH(1,
      ('Putt Log'!$A$2:$A$73=$A336)*
      ('Putt Log'!$B$2:$B$73=$B336)*
      ('Putt Log'!$C$2:$C$73=$C336),
    0),
    MATCH($G336,'Putt Log'!$E$1:$V$1,0)
  ),
"")</f>
        <v>2</v>
      </c>
      <c r="P336" t="str" cm="1">
        <f t="array" ref="P336">IF(K336=3,"",
  IFERROR(
    INDEX('Fairway Log'!$E$2:$V$73,
      MATCH(1,
        ('Fairway Log'!$A$2:$A$73=$A336)*
        ('Fairway Log'!$B$2:$B$73=$B336)*
        ('Fairway Log'!$C$2:$C407=$C336),
      0),
      MATCH($G336,'Fairway Log'!$E$1:$V$1,0)
    ),
  "")
)</f>
        <v/>
      </c>
      <c r="Q336" t="str" cm="1">
        <f t="array" ref="Q336">IFERROR(
  INDEX('GIR Log'!$E$2:$V$73,
    MATCH(1,
      ('GIR Log'!$A$2:$A$73=$A336)*
      ('GIR Log'!$B$2:$B$73=$B336)*
      ('GIR Log'!$C$2:$C$73=$C336),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Log'!$E$2:$V$73,
    MATCH(1,
      ('Golf Log'!$A$2:$A$73=$A337)*
      ('Golf Log'!$B$2:$B$73=$B337)*
      ('Golf Log'!$C$2:$C$73=$C337),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Log'!$E$2:$V$73,
    MATCH(1,
      ('Putt Log'!$A$2:$A$73=$A337)*
      ('Putt Log'!$B$2:$B$73=$B337)*
      ('Putt Log'!$C$2:$C$73=$C337),
    0),
    MATCH($G337,'Putt Log'!$E$1:$V$1,0)
  ),
"")</f>
        <v>3</v>
      </c>
      <c r="P337" t="str" cm="1">
        <f t="array" ref="P337">IF(K337=3,"",
  IFERROR(
    INDEX('Fairway Log'!$E$2:$V$73,
      MATCH(1,
        ('Fairway Log'!$A$2:$A$73=$A337)*
        ('Fairway Log'!$B$2:$B$73=$B337)*
        ('Fairway Log'!$C$2:$C408=$C337),
      0),
      MATCH($G337,'Fairway Log'!$E$1:$V$1,0)
    ),
  "")
)</f>
        <v>↑</v>
      </c>
      <c r="Q337" cm="1">
        <f t="array" ref="Q337">IFERROR(
  INDEX('GIR Log'!$E$2:$V$73,
    MATCH(1,
      ('GIR Log'!$A$2:$A$73=$A337)*
      ('GIR Log'!$B$2:$B$73=$B337)*
      ('GIR Log'!$C$2:$C$73=$C337),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Log'!$E$2:$V$73,
    MATCH(1,
      ('Golf Log'!$A$2:$A$73=$A338)*
      ('Golf Log'!$B$2:$B$73=$B338)*
      ('Golf Log'!$C$2:$C$73=$C338),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Log'!$E$2:$V$73,
    MATCH(1,
      ('Putt Log'!$A$2:$A$73=$A338)*
      ('Putt Log'!$B$2:$B$73=$B338)*
      ('Putt Log'!$C$2:$C$73=$C338),
    0),
    MATCH($G338,'Putt Log'!$E$1:$V$1,0)
  ),
"")</f>
        <v>2</v>
      </c>
      <c r="P338" t="str" cm="1">
        <f t="array" ref="P338">IF(K338=3,"",
  IFERROR(
    INDEX('Fairway Log'!$E$2:$V$73,
      MATCH(1,
        ('Fairway Log'!$A$2:$A$73=$A338)*
        ('Fairway Log'!$B$2:$B$73=$B338)*
        ('Fairway Log'!$C$2:$C409=$C338),
      0),
      MATCH($G338,'Fairway Log'!$E$1:$V$1,0)
    ),
  "")
)</f>
        <v>→</v>
      </c>
      <c r="Q338" t="str" cm="1">
        <f t="array" ref="Q338">IFERROR(
  INDEX('GIR Log'!$E$2:$V$73,
    MATCH(1,
      ('GIR Log'!$A$2:$A$73=$A338)*
      ('GIR Log'!$B$2:$B$73=$B338)*
      ('GIR Log'!$C$2:$C$73=$C338),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Log'!$E$2:$V$73,
    MATCH(1,
      ('Golf Log'!$A$2:$A$73=$A339)*
      ('Golf Log'!$B$2:$B$73=$B339)*
      ('Golf Log'!$C$2:$C$73=$C339),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Log'!$E$2:$V$73,
    MATCH(1,
      ('Putt Log'!$A$2:$A$73=$A339)*
      ('Putt Log'!$B$2:$B$73=$B339)*
      ('Putt Log'!$C$2:$C$73=$C339),
    0),
    MATCH($G339,'Putt Log'!$E$1:$V$1,0)
  ),
"")</f>
        <v>1</v>
      </c>
      <c r="P339" t="str" cm="1">
        <f t="array" ref="P339">IF(K339=3,"",
  IFERROR(
    INDEX('Fairway Log'!$E$2:$V$73,
      MATCH(1,
        ('Fairway Log'!$A$2:$A$73=$A339)*
        ('Fairway Log'!$B$2:$B$73=$B339)*
        ('Fairway Log'!$C$2:$C410=$C339),
      0),
      MATCH($G339,'Fairway Log'!$E$1:$V$1,0)
    ),
  "")
)</f>
        <v>←</v>
      </c>
      <c r="Q339" t="str" cm="1">
        <f t="array" ref="Q339">IFERROR(
  INDEX('GIR Log'!$E$2:$V$73,
    MATCH(1,
      ('GIR Log'!$A$2:$A$73=$A339)*
      ('GIR Log'!$B$2:$B$73=$B339)*
      ('GIR Log'!$C$2:$C$73=$C339),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Log'!$E$2:$V$73,
    MATCH(1,
      ('Golf Log'!$A$2:$A$73=$A340)*
      ('Golf Log'!$B$2:$B$73=$B340)*
      ('Golf Log'!$C$2:$C$73=$C340),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Log'!$E$2:$V$73,
    MATCH(1,
      ('Putt Log'!$A$2:$A$73=$A340)*
      ('Putt Log'!$B$2:$B$73=$B340)*
      ('Putt Log'!$C$2:$C$73=$C340),
    0),
    MATCH($G340,'Putt Log'!$E$1:$V$1,0)
  ),
"")</f>
        <v>2</v>
      </c>
      <c r="P340" t="str" cm="1">
        <f t="array" ref="P340">IF(K340=3,"",
  IFERROR(
    INDEX('Fairway Log'!$E$2:$V$73,
      MATCH(1,
        ('Fairway Log'!$A$2:$A$73=$A340)*
        ('Fairway Log'!$B$2:$B$73=$B340)*
        ('Fairway Log'!$C$2:$C411=$C340),
      0),
      MATCH($G340,'Fairway Log'!$E$1:$V$1,0)
    ),
  "")
)</f>
        <v/>
      </c>
      <c r="Q340" cm="1">
        <f t="array" ref="Q340">IFERROR(
  INDEX('GIR Log'!$E$2:$V$73,
    MATCH(1,
      ('GIR Log'!$A$2:$A$73=$A340)*
      ('GIR Log'!$B$2:$B$73=$B340)*
      ('GIR Log'!$C$2:$C$73=$C340),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Log'!$E$2:$V$73,
    MATCH(1,
      ('Golf Log'!$A$2:$A$73=$A341)*
      ('Golf Log'!$B$2:$B$73=$B341)*
      ('Golf Log'!$C$2:$C$73=$C341),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Log'!$E$2:$V$73,
    MATCH(1,
      ('Putt Log'!$A$2:$A$73=$A341)*
      ('Putt Log'!$B$2:$B$73=$B341)*
      ('Putt Log'!$C$2:$C$73=$C341),
    0),
    MATCH($G341,'Putt Log'!$E$1:$V$1,0)
  ),
"")</f>
        <v>1</v>
      </c>
      <c r="P341" cm="1">
        <f t="array" ref="P341">IF(K341=3,"",
  IFERROR(
    INDEX('Fairway Log'!$E$2:$V$73,
      MATCH(1,
        ('Fairway Log'!$A$2:$A$73=$A341)*
        ('Fairway Log'!$B$2:$B$73=$B341)*
        ('Fairway Log'!$C$2:$C412=$C341),
      0),
      MATCH($G341,'Fairway Log'!$E$1:$V$1,0)
    ),
  "")
)</f>
        <v>1</v>
      </c>
      <c r="Q341" cm="1">
        <f t="array" ref="Q341">IFERROR(
  INDEX('GIR Log'!$E$2:$V$73,
    MATCH(1,
      ('GIR Log'!$A$2:$A$73=$A341)*
      ('GIR Log'!$B$2:$B$73=$B341)*
      ('GIR Log'!$C$2:$C$73=$C341),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Log'!$E$2:$V$73,
    MATCH(1,
      ('Golf Log'!$A$2:$A$73=$A342)*
      ('Golf Log'!$B$2:$B$73=$B342)*
      ('Golf Log'!$C$2:$C$73=$C342),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Log'!$E$2:$V$73,
    MATCH(1,
      ('Putt Log'!$A$2:$A$73=$A342)*
      ('Putt Log'!$B$2:$B$73=$B342)*
      ('Putt Log'!$C$2:$C$73=$C342),
    0),
    MATCH($G342,'Putt Log'!$E$1:$V$1,0)
  ),
"")</f>
        <v>2</v>
      </c>
      <c r="P342" t="str" cm="1">
        <f t="array" ref="P342">IF(K342=3,"",
  IFERROR(
    INDEX('Fairway Log'!$E$2:$V$73,
      MATCH(1,
        ('Fairway Log'!$A$2:$A$73=$A342)*
        ('Fairway Log'!$B$2:$B$73=$B342)*
        ('Fairway Log'!$C$2:$C413=$C342),
      0),
      MATCH($G342,'Fairway Log'!$E$1:$V$1,0)
    ),
  "")
)</f>
        <v>→</v>
      </c>
      <c r="Q342" t="str" cm="1">
        <f t="array" ref="Q342">IFERROR(
  INDEX('GIR Log'!$E$2:$V$73,
    MATCH(1,
      ('GIR Log'!$A$2:$A$73=$A342)*
      ('GIR Log'!$B$2:$B$73=$B342)*
      ('GIR Log'!$C$2:$C$73=$C342),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Log'!$E$2:$V$73,
    MATCH(1,
      ('Golf Log'!$A$2:$A$73=$A343)*
      ('Golf Log'!$B$2:$B$73=$B343)*
      ('Golf Log'!$C$2:$C$73=$C343),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Log'!$E$2:$V$73,
    MATCH(1,
      ('Putt Log'!$A$2:$A$73=$A343)*
      ('Putt Log'!$B$2:$B$73=$B343)*
      ('Putt Log'!$C$2:$C$73=$C343),
    0),
    MATCH($G343,'Putt Log'!$E$1:$V$1,0)
  ),
"")</f>
        <v>2</v>
      </c>
      <c r="P343" cm="1">
        <f t="array" ref="P343">IF(K343=3,"",
  IFERROR(
    INDEX('Fairway Log'!$E$2:$V$73,
      MATCH(1,
        ('Fairway Log'!$A$2:$A$73=$A343)*
        ('Fairway Log'!$B$2:$B$73=$B343)*
        ('Fairway Log'!$C$2:$C414=$C343),
      0),
      MATCH($G343,'Fairway Log'!$E$1:$V$1,0)
    ),
  "")
)</f>
        <v>1</v>
      </c>
      <c r="Q343" cm="1">
        <f t="array" ref="Q343">IFERROR(
  INDEX('GIR Log'!$E$2:$V$73,
    MATCH(1,
      ('GIR Log'!$A$2:$A$73=$A343)*
      ('GIR Log'!$B$2:$B$73=$B343)*
      ('GIR Log'!$C$2:$C$73=$C343),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Log'!$E$2:$V$73,
    MATCH(1,
      ('Golf Log'!$A$2:$A$73=$A344)*
      ('Golf Log'!$B$2:$B$73=$B344)*
      ('Golf Log'!$C$2:$C$73=$C344),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Log'!$E$2:$V$73,
    MATCH(1,
      ('Putt Log'!$A$2:$A$73=$A344)*
      ('Putt Log'!$B$2:$B$73=$B344)*
      ('Putt Log'!$C$2:$C$73=$C344),
    0),
    MATCH($G344,'Putt Log'!$E$1:$V$1,0)
  ),
"")</f>
        <v>3</v>
      </c>
      <c r="P344" cm="1">
        <f t="array" ref="P344">IF(K344=3,"",
  IFERROR(
    INDEX('Fairway Log'!$E$2:$V$73,
      MATCH(1,
        ('Fairway Log'!$A$2:$A$73=$A344)*
        ('Fairway Log'!$B$2:$B$73=$B344)*
        ('Fairway Log'!$C$2:$C415=$C344),
      0),
      MATCH($G344,'Fairway Log'!$E$1:$V$1,0)
    ),
  "")
)</f>
        <v>1</v>
      </c>
      <c r="Q344" cm="1">
        <f t="array" ref="Q344">IFERROR(
  INDEX('GIR Log'!$E$2:$V$73,
    MATCH(1,
      ('GIR Log'!$A$2:$A$73=$A344)*
      ('GIR Log'!$B$2:$B$73=$B344)*
      ('GIR Log'!$C$2:$C$73=$C344),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Log'!$E$2:$V$73,
    MATCH(1,
      ('Golf Log'!$A$2:$A$73=$A345)*
      ('Golf Log'!$B$2:$B$73=$B345)*
      ('Golf Log'!$C$2:$C$73=$C345),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Log'!$E$2:$V$73,
    MATCH(1,
      ('Putt Log'!$A$2:$A$73=$A345)*
      ('Putt Log'!$B$2:$B$73=$B345)*
      ('Putt Log'!$C$2:$C$73=$C345),
    0),
    MATCH($G345,'Putt Log'!$E$1:$V$1,0)
  ),
"")</f>
        <v>2</v>
      </c>
      <c r="P345" cm="1">
        <f t="array" ref="P345">IF(K345=3,"",
  IFERROR(
    INDEX('Fairway Log'!$E$2:$V$73,
      MATCH(1,
        ('Fairway Log'!$A$2:$A$73=$A345)*
        ('Fairway Log'!$B$2:$B$73=$B345)*
        ('Fairway Log'!$C$2:$C416=$C345),
      0),
      MATCH($G345,'Fairway Log'!$E$1:$V$1,0)
    ),
  "")
)</f>
        <v>1</v>
      </c>
      <c r="Q345" cm="1">
        <f t="array" ref="Q345">IFERROR(
  INDEX('GIR Log'!$E$2:$V$73,
    MATCH(1,
      ('GIR Log'!$A$2:$A$73=$A345)*
      ('GIR Log'!$B$2:$B$73=$B345)*
      ('GIR Log'!$C$2:$C$73=$C345),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Log'!$E$2:$V$73,
    MATCH(1,
      ('Golf Log'!$A$2:$A$73=$A346)*
      ('Golf Log'!$B$2:$B$73=$B346)*
      ('Golf Log'!$C$2:$C$73=$C346),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Log'!$E$2:$V$73,
    MATCH(1,
      ('Putt Log'!$A$2:$A$73=$A346)*
      ('Putt Log'!$B$2:$B$73=$B346)*
      ('Putt Log'!$C$2:$C$73=$C346),
    0),
    MATCH($G346,'Putt Log'!$E$1:$V$1,0)
  ),
"")</f>
        <v>2</v>
      </c>
      <c r="P346" t="str" cm="1">
        <f t="array" ref="P346">IF(K346=3,"",
  IFERROR(
    INDEX('Fairway Log'!$E$2:$V$73,
      MATCH(1,
        ('Fairway Log'!$A$2:$A$73=$A346)*
        ('Fairway Log'!$B$2:$B$73=$B346)*
        ('Fairway Log'!$C$2:$C417=$C346),
      0),
      MATCH($G346,'Fairway Log'!$E$1:$V$1,0)
    ),
  "")
)</f>
        <v>↑</v>
      </c>
      <c r="Q346" cm="1">
        <f t="array" ref="Q346">IFERROR(
  INDEX('GIR Log'!$E$2:$V$73,
    MATCH(1,
      ('GIR Log'!$A$2:$A$73=$A346)*
      ('GIR Log'!$B$2:$B$73=$B346)*
      ('GIR Log'!$C$2:$C$73=$C346),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Log'!$E$2:$V$73,
    MATCH(1,
      ('Golf Log'!$A$2:$A$73=$A347)*
      ('Golf Log'!$B$2:$B$73=$B347)*
      ('Golf Log'!$C$2:$C$73=$C347),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Log'!$E$2:$V$73,
    MATCH(1,
      ('Putt Log'!$A$2:$A$73=$A347)*
      ('Putt Log'!$B$2:$B$73=$B347)*
      ('Putt Log'!$C$2:$C$73=$C347),
    0),
    MATCH($G347,'Putt Log'!$E$1:$V$1,0)
  ),
"")</f>
        <v>1</v>
      </c>
      <c r="P347" t="str" cm="1">
        <f t="array" ref="P347">IF(K347=3,"",
  IFERROR(
    INDEX('Fairway Log'!$E$2:$V$73,
      MATCH(1,
        ('Fairway Log'!$A$2:$A$73=$A347)*
        ('Fairway Log'!$B$2:$B$73=$B347)*
        ('Fairway Log'!$C$2:$C418=$C347),
      0),
      MATCH($G347,'Fairway Log'!$E$1:$V$1,0)
    ),
  "")
)</f>
        <v/>
      </c>
      <c r="Q347" cm="1">
        <f t="array" ref="Q347">IFERROR(
  INDEX('GIR Log'!$E$2:$V$73,
    MATCH(1,
      ('GIR Log'!$A$2:$A$73=$A347)*
      ('GIR Log'!$B$2:$B$73=$B347)*
      ('GIR Log'!$C$2:$C$73=$C347),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Log'!$E$2:$V$73,
    MATCH(1,
      ('Golf Log'!$A$2:$A$73=$A348)*
      ('Golf Log'!$B$2:$B$73=$B348)*
      ('Golf Log'!$C$2:$C$73=$C348),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Log'!$E$2:$V$73,
    MATCH(1,
      ('Putt Log'!$A$2:$A$73=$A348)*
      ('Putt Log'!$B$2:$B$73=$B348)*
      ('Putt Log'!$C$2:$C$73=$C348),
    0),
    MATCH($G348,'Putt Log'!$E$1:$V$1,0)
  ),
"")</f>
        <v>2</v>
      </c>
      <c r="P348" cm="1">
        <f t="array" ref="P348">IF(K348=3,"",
  IFERROR(
    INDEX('Fairway Log'!$E$2:$V$73,
      MATCH(1,
        ('Fairway Log'!$A$2:$A$73=$A348)*
        ('Fairway Log'!$B$2:$B$73=$B348)*
        ('Fairway Log'!$C$2:$C419=$C348),
      0),
      MATCH($G348,'Fairway Log'!$E$1:$V$1,0)
    ),
  "")
)</f>
        <v>1</v>
      </c>
      <c r="Q348" cm="1">
        <f t="array" ref="Q348">IFERROR(
  INDEX('GIR Log'!$E$2:$V$73,
    MATCH(1,
      ('GIR Log'!$A$2:$A$73=$A348)*
      ('GIR Log'!$B$2:$B$73=$B348)*
      ('GIR Log'!$C$2:$C$73=$C348),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Log'!$E$2:$V$73,
    MATCH(1,
      ('Golf Log'!$A$2:$A$73=$A349)*
      ('Golf Log'!$B$2:$B$73=$B349)*
      ('Golf Log'!$C$2:$C$73=$C349),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Log'!$E$2:$V$73,
    MATCH(1,
      ('Putt Log'!$A$2:$A$73=$A349)*
      ('Putt Log'!$B$2:$B$73=$B349)*
      ('Putt Log'!$C$2:$C$73=$C349),
    0),
    MATCH($G349,'Putt Log'!$E$1:$V$1,0)
  ),
"")</f>
        <v>1</v>
      </c>
      <c r="P349" cm="1">
        <f t="array" ref="P349">IF(K349=3,"",
  IFERROR(
    INDEX('Fairway Log'!$E$2:$V$73,
      MATCH(1,
        ('Fairway Log'!$A$2:$A$73=$A349)*
        ('Fairway Log'!$B$2:$B$73=$B349)*
        ('Fairway Log'!$C$2:$C420=$C349),
      0),
      MATCH($G349,'Fairway Log'!$E$1:$V$1,0)
    ),
  "")
)</f>
        <v>1</v>
      </c>
      <c r="Q349" cm="1">
        <f t="array" ref="Q349">IFERROR(
  INDEX('GIR Log'!$E$2:$V$73,
    MATCH(1,
      ('GIR Log'!$A$2:$A$73=$A349)*
      ('GIR Log'!$B$2:$B$73=$B349)*
      ('GIR Log'!$C$2:$C$73=$C349),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Log'!$E$2:$V$73,
    MATCH(1,
      ('Golf Log'!$A$2:$A$73=$A350)*
      ('Golf Log'!$B$2:$B$73=$B350)*
      ('Golf Log'!$C$2:$C$73=$C350),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Log'!$E$2:$V$73,
    MATCH(1,
      ('Putt Log'!$A$2:$A$73=$A350)*
      ('Putt Log'!$B$2:$B$73=$B350)*
      ('Putt Log'!$C$2:$C$73=$C350),
    0),
    MATCH($G350,'Putt Log'!$E$1:$V$1,0)
  ),
"")</f>
        <v>2</v>
      </c>
      <c r="P350" t="str" cm="1">
        <f t="array" ref="P350">IF(K350=3,"",
  IFERROR(
    INDEX('Fairway Log'!$E$2:$V$73,
      MATCH(1,
        ('Fairway Log'!$A$2:$A$73=$A350)*
        ('Fairway Log'!$B$2:$B$73=$B350)*
        ('Fairway Log'!$C$2:$C421=$C350),
      0),
      MATCH($G350,'Fairway Log'!$E$1:$V$1,0)
    ),
  "")
)</f>
        <v/>
      </c>
      <c r="Q350" cm="1">
        <f t="array" ref="Q350">IFERROR(
  INDEX('GIR Log'!$E$2:$V$73,
    MATCH(1,
      ('GIR Log'!$A$2:$A$73=$A350)*
      ('GIR Log'!$B$2:$B$73=$B350)*
      ('GIR Log'!$C$2:$C$73=$C350),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Log'!$E$2:$V$73,
    MATCH(1,
      ('Golf Log'!$A$2:$A$73=$A351)*
      ('Golf Log'!$B$2:$B$73=$B351)*
      ('Golf Log'!$C$2:$C$73=$C351),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Log'!$E$2:$V$73,
    MATCH(1,
      ('Putt Log'!$A$2:$A$73=$A351)*
      ('Putt Log'!$B$2:$B$73=$B351)*
      ('Putt Log'!$C$2:$C$73=$C351),
    0),
    MATCH($G351,'Putt Log'!$E$1:$V$1,0)
  ),
"")</f>
        <v>2</v>
      </c>
      <c r="P351" t="str" cm="1">
        <f t="array" ref="P351">IF(K351=3,"",
  IFERROR(
    INDEX('Fairway Log'!$E$2:$V$73,
      MATCH(1,
        ('Fairway Log'!$A$2:$A$73=$A351)*
        ('Fairway Log'!$B$2:$B$73=$B351)*
        ('Fairway Log'!$C$2:$C422=$C351),
      0),
      MATCH($G351,'Fairway Log'!$E$1:$V$1,0)
    ),
  "")
)</f>
        <v>↓</v>
      </c>
      <c r="Q351" cm="1">
        <f t="array" ref="Q351">IFERROR(
  INDEX('GIR Log'!$E$2:$V$73,
    MATCH(1,
      ('GIR Log'!$A$2:$A$73=$A351)*
      ('GIR Log'!$B$2:$B$73=$B351)*
      ('GIR Log'!$C$2:$C$73=$C351),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Log'!$E$2:$V$73,
    MATCH(1,
      ('Golf Log'!$A$2:$A$73=$A352)*
      ('Golf Log'!$B$2:$B$73=$B352)*
      ('Golf Log'!$C$2:$C$73=$C352),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Log'!$E$2:$V$73,
    MATCH(1,
      ('Putt Log'!$A$2:$A$73=$A352)*
      ('Putt Log'!$B$2:$B$73=$B352)*
      ('Putt Log'!$C$2:$C$73=$C352),
    0),
    MATCH($G352,'Putt Log'!$E$1:$V$1,0)
  ),
"")</f>
        <v>2</v>
      </c>
      <c r="P352" t="str" cm="1">
        <f t="array" ref="P352">IF(K352=3,"",
  IFERROR(
    INDEX('Fairway Log'!$E$2:$V$73,
      MATCH(1,
        ('Fairway Log'!$A$2:$A$73=$A352)*
        ('Fairway Log'!$B$2:$B$73=$B352)*
        ('Fairway Log'!$C$2:$C423=$C352),
      0),
      MATCH($G352,'Fairway Log'!$E$1:$V$1,0)
    ),
  "")
)</f>
        <v>↓</v>
      </c>
      <c r="Q352" cm="1">
        <f t="array" ref="Q352">IFERROR(
  INDEX('GIR Log'!$E$2:$V$73,
    MATCH(1,
      ('GIR Log'!$A$2:$A$73=$A352)*
      ('GIR Log'!$B$2:$B$73=$B352)*
      ('GIR Log'!$C$2:$C$73=$C352),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Log'!$E$2:$V$73,
    MATCH(1,
      ('Golf Log'!$A$2:$A$73=$A353)*
      ('Golf Log'!$B$2:$B$73=$B353)*
      ('Golf Log'!$C$2:$C$73=$C353),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Log'!$E$2:$V$73,
    MATCH(1,
      ('Putt Log'!$A$2:$A$73=$A353)*
      ('Putt Log'!$B$2:$B$73=$B353)*
      ('Putt Log'!$C$2:$C$73=$C353),
    0),
    MATCH($G353,'Putt Log'!$E$1:$V$1,0)
  ),
"")</f>
        <v>1</v>
      </c>
      <c r="P353" cm="1">
        <f t="array" ref="P353">IF(K353=3,"",
  IFERROR(
    INDEX('Fairway Log'!$E$2:$V$73,
      MATCH(1,
        ('Fairway Log'!$A$2:$A$73=$A353)*
        ('Fairway Log'!$B$2:$B$73=$B353)*
        ('Fairway Log'!$C$2:$C424=$C353),
      0),
      MATCH($G353,'Fairway Log'!$E$1:$V$1,0)
    ),
  "")
)</f>
        <v>1</v>
      </c>
      <c r="Q353" cm="1">
        <f t="array" ref="Q353">IFERROR(
  INDEX('GIR Log'!$E$2:$V$73,
    MATCH(1,
      ('GIR Log'!$A$2:$A$73=$A353)*
      ('GIR Log'!$B$2:$B$73=$B353)*
      ('GIR Log'!$C$2:$C$73=$C353),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Log'!$E$2:$V$73,
    MATCH(1,
      ('Golf Log'!$A$2:$A$73=$A354)*
      ('Golf Log'!$B$2:$B$73=$B354)*
      ('Golf Log'!$C$2:$C$73=$C354),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Log'!$E$2:$V$73,
    MATCH(1,
      ('Putt Log'!$A$2:$A$73=$A354)*
      ('Putt Log'!$B$2:$B$73=$B354)*
      ('Putt Log'!$C$2:$C$73=$C354),
    0),
    MATCH($G354,'Putt Log'!$E$1:$V$1,0)
  ),
"")</f>
        <v>2</v>
      </c>
      <c r="P354" t="str" cm="1">
        <f t="array" ref="P354">IF(K354=3,"",
  IFERROR(
    INDEX('Fairway Log'!$E$2:$V$73,
      MATCH(1,
        ('Fairway Log'!$A$2:$A$73=$A354)*
        ('Fairway Log'!$B$2:$B$73=$B354)*
        ('Fairway Log'!$C$2:$C425=$C354),
      0),
      MATCH($G354,'Fairway Log'!$E$1:$V$1,0)
    ),
  "")
)</f>
        <v/>
      </c>
      <c r="Q354" cm="1">
        <f t="array" ref="Q354">IFERROR(
  INDEX('GIR Log'!$E$2:$V$73,
    MATCH(1,
      ('GIR Log'!$A$2:$A$73=$A354)*
      ('GIR Log'!$B$2:$B$73=$B354)*
      ('GIR Log'!$C$2:$C$73=$C354),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Log'!$E$2:$V$73,
    MATCH(1,
      ('Golf Log'!$A$2:$A$73=$A355)*
      ('Golf Log'!$B$2:$B$73=$B355)*
      ('Golf Log'!$C$2:$C$73=$C355),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Log'!$E$2:$V$73,
    MATCH(1,
      ('Putt Log'!$A$2:$A$73=$A355)*
      ('Putt Log'!$B$2:$B$73=$B355)*
      ('Putt Log'!$C$2:$C$73=$C355),
    0),
    MATCH($G355,'Putt Log'!$E$1:$V$1,0)
  ),
"")</f>
        <v>1</v>
      </c>
      <c r="P355" t="str" cm="1">
        <f t="array" ref="P355">IF(K355=3,"",
  IFERROR(
    INDEX('Fairway Log'!$E$2:$V$73,
      MATCH(1,
        ('Fairway Log'!$A$2:$A$73=$A355)*
        ('Fairway Log'!$B$2:$B$73=$B355)*
        ('Fairway Log'!$C$2:$C426=$C355),
      0),
      MATCH($G355,'Fairway Log'!$E$1:$V$1,0)
    ),
  "")
)</f>
        <v>→</v>
      </c>
      <c r="Q355" cm="1">
        <f t="array" ref="Q355">IFERROR(
  INDEX('GIR Log'!$E$2:$V$73,
    MATCH(1,
      ('GIR Log'!$A$2:$A$73=$A355)*
      ('GIR Log'!$B$2:$B$73=$B355)*
      ('GIR Log'!$C$2:$C$73=$C355),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Log'!$E$2:$V$73,
    MATCH(1,
      ('Golf Log'!$A$2:$A$73=$A356)*
      ('Golf Log'!$B$2:$B$73=$B356)*
      ('Golf Log'!$C$2:$C$73=$C356),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Log'!$E$2:$V$73,
    MATCH(1,
      ('Putt Log'!$A$2:$A$73=$A356)*
      ('Putt Log'!$B$2:$B$73=$B356)*
      ('Putt Log'!$C$2:$C$73=$C356),
    0),
    MATCH($G356,'Putt Log'!$E$1:$V$1,0)
  ),
"")</f>
        <v>2</v>
      </c>
      <c r="P356" t="str" cm="1">
        <f t="array" ref="P356">IF(K356=3,"",
  IFERROR(
    INDEX('Fairway Log'!$E$2:$V$73,
      MATCH(1,
        ('Fairway Log'!$A$2:$A$73=$A356)*
        ('Fairway Log'!$B$2:$B$73=$B356)*
        ('Fairway Log'!$C$2:$C427=$C356),
      0),
      MATCH($G356,'Fairway Log'!$E$1:$V$1,0)
    ),
  "")
)</f>
        <v>←</v>
      </c>
      <c r="Q356" cm="1">
        <f t="array" ref="Q356">IFERROR(
  INDEX('GIR Log'!$E$2:$V$73,
    MATCH(1,
      ('GIR Log'!$A$2:$A$73=$A356)*
      ('GIR Log'!$B$2:$B$73=$B356)*
      ('GIR Log'!$C$2:$C$73=$C356),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Log'!$E$2:$V$73,
    MATCH(1,
      ('Golf Log'!$A$2:$A$73=$A357)*
      ('Golf Log'!$B$2:$B$73=$B357)*
      ('Golf Log'!$C$2:$C$73=$C357),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Log'!$E$2:$V$73,
    MATCH(1,
      ('Putt Log'!$A$2:$A$73=$A357)*
      ('Putt Log'!$B$2:$B$73=$B357)*
      ('Putt Log'!$C$2:$C$73=$C357),
    0),
    MATCH($G357,'Putt Log'!$E$1:$V$1,0)
  ),
"")</f>
        <v>2</v>
      </c>
      <c r="P357" t="str" cm="1">
        <f t="array" ref="P357">IF(K357=3,"",
  IFERROR(
    INDEX('Fairway Log'!$E$2:$V$73,
      MATCH(1,
        ('Fairway Log'!$A$2:$A$73=$A357)*
        ('Fairway Log'!$B$2:$B$73=$B357)*
        ('Fairway Log'!$C$2:$C428=$C357),
      0),
      MATCH($G357,'Fairway Log'!$E$1:$V$1,0)
    ),
  "")
)</f>
        <v/>
      </c>
      <c r="Q357" cm="1">
        <f t="array" ref="Q357">IFERROR(
  INDEX('GIR Log'!$E$2:$V$73,
    MATCH(1,
      ('GIR Log'!$A$2:$A$73=$A357)*
      ('GIR Log'!$B$2:$B$73=$B357)*
      ('GIR Log'!$C$2:$C$73=$C357),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Log'!$E$2:$V$73,
    MATCH(1,
      ('Golf Log'!$A$2:$A$73=$A358)*
      ('Golf Log'!$B$2:$B$73=$B358)*
      ('Golf Log'!$C$2:$C$73=$C358),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Log'!$E$2:$V$73,
    MATCH(1,
      ('Putt Log'!$A$2:$A$73=$A358)*
      ('Putt Log'!$B$2:$B$73=$B358)*
      ('Putt Log'!$C$2:$C$73=$C358),
    0),
    MATCH($G358,'Putt Log'!$E$1:$V$1,0)
  ),
"")</f>
        <v>2</v>
      </c>
      <c r="P358" t="str" cm="1">
        <f t="array" ref="P358">IF(K358=3,"",
  IFERROR(
    INDEX('Fairway Log'!$E$2:$V$73,
      MATCH(1,
        ('Fairway Log'!$A$2:$A$73=$A358)*
        ('Fairway Log'!$B$2:$B$73=$B358)*
        ('Fairway Log'!$C$2:$C429=$C358),
      0),
      MATCH($G358,'Fairway Log'!$E$1:$V$1,0)
    ),
  "")
)</f>
        <v>→</v>
      </c>
      <c r="Q358" cm="1">
        <f t="array" ref="Q358">IFERROR(
  INDEX('GIR Log'!$E$2:$V$73,
    MATCH(1,
      ('GIR Log'!$A$2:$A$73=$A358)*
      ('GIR Log'!$B$2:$B$73=$B358)*
      ('GIR Log'!$C$2:$C$73=$C358),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Log'!$E$2:$V$73,
    MATCH(1,
      ('Golf Log'!$A$2:$A$73=$A359)*
      ('Golf Log'!$B$2:$B$73=$B359)*
      ('Golf Log'!$C$2:$C$73=$C359),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Log'!$E$2:$V$73,
    MATCH(1,
      ('Putt Log'!$A$2:$A$73=$A359)*
      ('Putt Log'!$B$2:$B$73=$B359)*
      ('Putt Log'!$C$2:$C$73=$C359),
    0),
    MATCH($G359,'Putt Log'!$E$1:$V$1,0)
  ),
"")</f>
        <v>2</v>
      </c>
      <c r="P359" cm="1">
        <f t="array" ref="P359">IF(K359=3,"",
  IFERROR(
    INDEX('Fairway Log'!$E$2:$V$73,
      MATCH(1,
        ('Fairway Log'!$A$2:$A$73=$A359)*
        ('Fairway Log'!$B$2:$B$73=$B359)*
        ('Fairway Log'!$C$2:$C430=$C359),
      0),
      MATCH($G359,'Fairway Log'!$E$1:$V$1,0)
    ),
  "")
)</f>
        <v>1</v>
      </c>
      <c r="Q359" cm="1">
        <f t="array" ref="Q359">IFERROR(
  INDEX('GIR Log'!$E$2:$V$73,
    MATCH(1,
      ('GIR Log'!$A$2:$A$73=$A359)*
      ('GIR Log'!$B$2:$B$73=$B359)*
      ('GIR Log'!$C$2:$C$73=$C359),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Log'!$E$2:$V$73,
    MATCH(1,
      ('Golf Log'!$A$2:$A$73=$A360)*
      ('Golf Log'!$B$2:$B$73=$B360)*
      ('Golf Log'!$C$2:$C$73=$C360),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Log'!$E$2:$V$73,
    MATCH(1,
      ('Putt Log'!$A$2:$A$73=$A360)*
      ('Putt Log'!$B$2:$B$73=$B360)*
      ('Putt Log'!$C$2:$C$73=$C360),
    0),
    MATCH($G360,'Putt Log'!$E$1:$V$1,0)
  ),
"")</f>
        <v>2</v>
      </c>
      <c r="P360" cm="1">
        <f t="array" ref="P360">IF(K360=3,"",
  IFERROR(
    INDEX('Fairway Log'!$E$2:$V$73,
      MATCH(1,
        ('Fairway Log'!$A$2:$A$73=$A360)*
        ('Fairway Log'!$B$2:$B$73=$B360)*
        ('Fairway Log'!$C$2:$C431=$C360),
      0),
      MATCH($G360,'Fairway Log'!$E$1:$V$1,0)
    ),
  "")
)</f>
        <v>1</v>
      </c>
      <c r="Q360" cm="1">
        <f t="array" ref="Q360">IFERROR(
  INDEX('GIR Log'!$E$2:$V$73,
    MATCH(1,
      ('GIR Log'!$A$2:$A$73=$A360)*
      ('GIR Log'!$B$2:$B$73=$B360)*
      ('GIR Log'!$C$2:$C$73=$C360),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Log'!$E$2:$V$73,
    MATCH(1,
      ('Golf Log'!$A$2:$A$73=$A361)*
      ('Golf Log'!$B$2:$B$73=$B361)*
      ('Golf Log'!$C$2:$C$73=$C361),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Log'!$E$2:$V$73,
    MATCH(1,
      ('Putt Log'!$A$2:$A$73=$A361)*
      ('Putt Log'!$B$2:$B$73=$B361)*
      ('Putt Log'!$C$2:$C$73=$C361),
    0),
    MATCH($G361,'Putt Log'!$E$1:$V$1,0)
  ),
"")</f>
        <v>2</v>
      </c>
      <c r="P361" t="str" cm="1">
        <f t="array" ref="P361">IF(K361=3,"",
  IFERROR(
    INDEX('Fairway Log'!$E$2:$V$73,
      MATCH(1,
        ('Fairway Log'!$A$2:$A$73=$A361)*
        ('Fairway Log'!$B$2:$B$73=$B361)*
        ('Fairway Log'!$C$2:$C432=$C361),
      0),
      MATCH($G361,'Fairway Log'!$E$1:$V$1,0)
    ),
  "")
)</f>
        <v>→</v>
      </c>
      <c r="Q361" cm="1">
        <f t="array" ref="Q361">IFERROR(
  INDEX('GIR Log'!$E$2:$V$73,
    MATCH(1,
      ('GIR Log'!$A$2:$A$73=$A361)*
      ('GIR Log'!$B$2:$B$73=$B361)*
      ('GIR Log'!$C$2:$C$73=$C361),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Log'!$E$2:$V$73,
    MATCH(1,
      ('Golf Log'!$A$2:$A$73=$A362)*
      ('Golf Log'!$B$2:$B$73=$B362)*
      ('Golf Log'!$C$2:$C$73=$C362),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Log'!$E$2:$V$73,
    MATCH(1,
      ('Putt Log'!$A$2:$A$73=$A362)*
      ('Putt Log'!$B$2:$B$73=$B362)*
      ('Putt Log'!$C$2:$C$73=$C362),
    0),
    MATCH($G362,'Putt Log'!$E$1:$V$1,0)
  ),
"")</f>
        <v>3</v>
      </c>
      <c r="P362" t="str" cm="1">
        <f t="array" ref="P362">IF(K362=3,"",
  IFERROR(
    INDEX('Fairway Log'!$E$2:$V$73,
      MATCH(1,
        ('Fairway Log'!$A$2:$A$73=$A362)*
        ('Fairway Log'!$B$2:$B$73=$B362)*
        ('Fairway Log'!$C$2:$C433=$C362),
      0),
      MATCH($G362,'Fairway Log'!$E$1:$V$1,0)
    ),
  "")
)</f>
        <v>↑</v>
      </c>
      <c r="Q362" cm="1">
        <f t="array" ref="Q362">IFERROR(
  INDEX('GIR Log'!$E$2:$V$73,
    MATCH(1,
      ('GIR Log'!$A$2:$A$73=$A362)*
      ('GIR Log'!$B$2:$B$73=$B362)*
      ('GIR Log'!$C$2:$C$73=$C362),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Log'!$E$2:$V$73,
    MATCH(1,
      ('Golf Log'!$A$2:$A$73=$A363)*
      ('Golf Log'!$B$2:$B$73=$B363)*
      ('Golf Log'!$C$2:$C$73=$C363),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Log'!$E$2:$V$73,
    MATCH(1,
      ('Putt Log'!$A$2:$A$73=$A363)*
      ('Putt Log'!$B$2:$B$73=$B363)*
      ('Putt Log'!$C$2:$C$73=$C363),
    0),
    MATCH($G363,'Putt Log'!$E$1:$V$1,0)
  ),
"")</f>
        <v>2</v>
      </c>
      <c r="P363" t="str" cm="1">
        <f t="array" ref="P363">IF(K363=3,"",
  IFERROR(
    INDEX('Fairway Log'!$E$2:$V$73,
      MATCH(1,
        ('Fairway Log'!$A$2:$A$73=$A363)*
        ('Fairway Log'!$B$2:$B$73=$B363)*
        ('Fairway Log'!$C$2:$C434=$C363),
      0),
      MATCH($G363,'Fairway Log'!$E$1:$V$1,0)
    ),
  "")
)</f>
        <v>←</v>
      </c>
      <c r="Q363" cm="1">
        <f t="array" ref="Q363">IFERROR(
  INDEX('GIR Log'!$E$2:$V$73,
    MATCH(1,
      ('GIR Log'!$A$2:$A$73=$A363)*
      ('GIR Log'!$B$2:$B$73=$B363)*
      ('GIR Log'!$C$2:$C$73=$C363),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Log'!$E$2:$V$73,
    MATCH(1,
      ('Golf Log'!$A$2:$A$73=$A364)*
      ('Golf Log'!$B$2:$B$73=$B364)*
      ('Golf Log'!$C$2:$C$73=$C364),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Log'!$E$2:$V$73,
    MATCH(1,
      ('Putt Log'!$A$2:$A$73=$A364)*
      ('Putt Log'!$B$2:$B$73=$B364)*
      ('Putt Log'!$C$2:$C$73=$C364),
    0),
    MATCH($G364,'Putt Log'!$E$1:$V$1,0)
  ),
"")</f>
        <v>2</v>
      </c>
      <c r="P364" t="str" cm="1">
        <f t="array" ref="P364">IF(K364=3,"",
  IFERROR(
    INDEX('Fairway Log'!$E$2:$V$73,
      MATCH(1,
        ('Fairway Log'!$A$2:$A$73=$A364)*
        ('Fairway Log'!$B$2:$B$73=$B364)*
        ('Fairway Log'!$C$2:$C435=$C364),
      0),
      MATCH($G364,'Fairway Log'!$E$1:$V$1,0)
    ),
  "")
)</f>
        <v>←</v>
      </c>
      <c r="Q364" cm="1">
        <f t="array" ref="Q364">IFERROR(
  INDEX('GIR Log'!$E$2:$V$73,
    MATCH(1,
      ('GIR Log'!$A$2:$A$73=$A364)*
      ('GIR Log'!$B$2:$B$73=$B364)*
      ('GIR Log'!$C$2:$C$73=$C364),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Log'!$E$2:$V$73,
    MATCH(1,
      ('Golf Log'!$A$2:$A$73=$A365)*
      ('Golf Log'!$B$2:$B$73=$B365)*
      ('Golf Log'!$C$2:$C$73=$C365),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Log'!$E$2:$V$73,
    MATCH(1,
      ('Putt Log'!$A$2:$A$73=$A365)*
      ('Putt Log'!$B$2:$B$73=$B365)*
      ('Putt Log'!$C$2:$C$73=$C365),
    0),
    MATCH($G365,'Putt Log'!$E$1:$V$1,0)
  ),
"")</f>
        <v>3</v>
      </c>
      <c r="P365" t="str" cm="1">
        <f t="array" ref="P365">IF(K365=3,"",
  IFERROR(
    INDEX('Fairway Log'!$E$2:$V$73,
      MATCH(1,
        ('Fairway Log'!$A$2:$A$73=$A365)*
        ('Fairway Log'!$B$2:$B$73=$B365)*
        ('Fairway Log'!$C$2:$C436=$C365),
      0),
      MATCH($G365,'Fairway Log'!$E$1:$V$1,0)
    ),
  "")
)</f>
        <v/>
      </c>
      <c r="Q365" cm="1">
        <f t="array" ref="Q365">IFERROR(
  INDEX('GIR Log'!$E$2:$V$73,
    MATCH(1,
      ('GIR Log'!$A$2:$A$73=$A365)*
      ('GIR Log'!$B$2:$B$73=$B365)*
      ('GIR Log'!$C$2:$C$73=$C365),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Log'!$E$2:$V$73,
    MATCH(1,
      ('Golf Log'!$A$2:$A$73=$A366)*
      ('Golf Log'!$B$2:$B$73=$B366)*
      ('Golf Log'!$C$2:$C$73=$C366),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Log'!$E$2:$V$73,
    MATCH(1,
      ('Putt Log'!$A$2:$A$73=$A366)*
      ('Putt Log'!$B$2:$B$73=$B366)*
      ('Putt Log'!$C$2:$C$73=$C366),
    0),
    MATCH($G366,'Putt Log'!$E$1:$V$1,0)
  ),
"")</f>
        <v>2</v>
      </c>
      <c r="P366" t="str" cm="1">
        <f t="array" ref="P366">IF(K366=3,"",
  IFERROR(
    INDEX('Fairway Log'!$E$2:$V$73,
      MATCH(1,
        ('Fairway Log'!$A$2:$A$73=$A366)*
        ('Fairway Log'!$B$2:$B$73=$B366)*
        ('Fairway Log'!$C$2:$C437=$C366),
      0),
      MATCH($G366,'Fairway Log'!$E$1:$V$1,0)
    ),
  "")
)</f>
        <v>→</v>
      </c>
      <c r="Q366" cm="1">
        <f t="array" ref="Q366">IFERROR(
  INDEX('GIR Log'!$E$2:$V$73,
    MATCH(1,
      ('GIR Log'!$A$2:$A$73=$A366)*
      ('GIR Log'!$B$2:$B$73=$B366)*
      ('GIR Log'!$C$2:$C$73=$C366),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Log'!$E$2:$V$73,
    MATCH(1,
      ('Golf Log'!$A$2:$A$73=$A367)*
      ('Golf Log'!$B$2:$B$73=$B367)*
      ('Golf Log'!$C$2:$C$73=$C367),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Log'!$E$2:$V$73,
    MATCH(1,
      ('Putt Log'!$A$2:$A$73=$A367)*
      ('Putt Log'!$B$2:$B$73=$B367)*
      ('Putt Log'!$C$2:$C$73=$C367),
    0),
    MATCH($G367,'Putt Log'!$E$1:$V$1,0)
  ),
"")</f>
        <v>2</v>
      </c>
      <c r="P367" t="str" cm="1">
        <f t="array" ref="P367">IF(K367=3,"",
  IFERROR(
    INDEX('Fairway Log'!$E$2:$V$73,
      MATCH(1,
        ('Fairway Log'!$A$2:$A$73=$A367)*
        ('Fairway Log'!$B$2:$B$73=$B367)*
        ('Fairway Log'!$C$2:$C438=$C367),
      0),
      MATCH($G367,'Fairway Log'!$E$1:$V$1,0)
    ),
  "")
)</f>
        <v>→</v>
      </c>
      <c r="Q367" cm="1">
        <f t="array" ref="Q367">IFERROR(
  INDEX('GIR Log'!$E$2:$V$73,
    MATCH(1,
      ('GIR Log'!$A$2:$A$73=$A367)*
      ('GIR Log'!$B$2:$B$73=$B367)*
      ('GIR Log'!$C$2:$C$73=$C367),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Log'!$E$2:$V$73,
    MATCH(1,
      ('Golf Log'!$A$2:$A$73=$A368)*
      ('Golf Log'!$B$2:$B$73=$B368)*
      ('Golf Log'!$C$2:$C$73=$C368),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Log'!$E$2:$V$73,
    MATCH(1,
      ('Putt Log'!$A$2:$A$73=$A368)*
      ('Putt Log'!$B$2:$B$73=$B368)*
      ('Putt Log'!$C$2:$C$73=$C368),
    0),
    MATCH($G368,'Putt Log'!$E$1:$V$1,0)
  ),
"")</f>
        <v>2</v>
      </c>
      <c r="P368" t="str" cm="1">
        <f t="array" ref="P368">IF(K368=3,"",
  IFERROR(
    INDEX('Fairway Log'!$E$2:$V$73,
      MATCH(1,
        ('Fairway Log'!$A$2:$A$73=$A368)*
        ('Fairway Log'!$B$2:$B$73=$B368)*
        ('Fairway Log'!$C$2:$C439=$C368),
      0),
      MATCH($G368,'Fairway Log'!$E$1:$V$1,0)
    ),
  "")
)</f>
        <v/>
      </c>
      <c r="Q368" cm="1">
        <f t="array" ref="Q368">IFERROR(
  INDEX('GIR Log'!$E$2:$V$73,
    MATCH(1,
      ('GIR Log'!$A$2:$A$73=$A368)*
      ('GIR Log'!$B$2:$B$73=$B368)*
      ('GIR Log'!$C$2:$C$73=$C368),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Log'!$E$2:$V$73,
    MATCH(1,
      ('Golf Log'!$A$2:$A$73=$A369)*
      ('Golf Log'!$B$2:$B$73=$B369)*
      ('Golf Log'!$C$2:$C$73=$C369),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Log'!$E$2:$V$73,
    MATCH(1,
      ('Putt Log'!$A$2:$A$73=$A369)*
      ('Putt Log'!$B$2:$B$73=$B369)*
      ('Putt Log'!$C$2:$C$73=$C369),
    0),
    MATCH($G369,'Putt Log'!$E$1:$V$1,0)
  ),
"")</f>
        <v>2</v>
      </c>
      <c r="P369" cm="1">
        <f t="array" ref="P369">IF(K369=3,"",
  IFERROR(
    INDEX('Fairway Log'!$E$2:$V$73,
      MATCH(1,
        ('Fairway Log'!$A$2:$A$73=$A369)*
        ('Fairway Log'!$B$2:$B$73=$B369)*
        ('Fairway Log'!$C$2:$C440=$C369),
      0),
      MATCH($G369,'Fairway Log'!$E$1:$V$1,0)
    ),
  "")
)</f>
        <v>1</v>
      </c>
      <c r="Q369" cm="1">
        <f t="array" ref="Q369">IFERROR(
  INDEX('GIR Log'!$E$2:$V$73,
    MATCH(1,
      ('GIR Log'!$A$2:$A$73=$A369)*
      ('GIR Log'!$B$2:$B$73=$B369)*
      ('GIR Log'!$C$2:$C$73=$C369),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Log'!$E$2:$V$73,
    MATCH(1,
      ('Golf Log'!$A$2:$A$73=$A370)*
      ('Golf Log'!$B$2:$B$73=$B370)*
      ('Golf Log'!$C$2:$C$73=$C370),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Log'!$E$2:$V$73,
    MATCH(1,
      ('Putt Log'!$A$2:$A$73=$A370)*
      ('Putt Log'!$B$2:$B$73=$B370)*
      ('Putt Log'!$C$2:$C$73=$C370),
    0),
    MATCH($G370,'Putt Log'!$E$1:$V$1,0)
  ),
"")</f>
        <v>2</v>
      </c>
      <c r="P370" t="str" cm="1">
        <f t="array" ref="P370">IF(K370=3,"",
  IFERROR(
    INDEX('Fairway Log'!$E$2:$V$73,
      MATCH(1,
        ('Fairway Log'!$A$2:$A$73=$A370)*
        ('Fairway Log'!$B$2:$B$73=$B370)*
        ('Fairway Log'!$C$2:$C441=$C370),
      0),
      MATCH($G370,'Fairway Log'!$E$1:$V$1,0)
    ),
  "")
)</f>
        <v>↑</v>
      </c>
      <c r="Q370" cm="1">
        <f t="array" ref="Q370">IFERROR(
  INDEX('GIR Log'!$E$2:$V$73,
    MATCH(1,
      ('GIR Log'!$A$2:$A$73=$A370)*
      ('GIR Log'!$B$2:$B$73=$B370)*
      ('GIR Log'!$C$2:$C$73=$C370),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Log'!$E$2:$V$73,
    MATCH(1,
      ('Golf Log'!$A$2:$A$73=$A371)*
      ('Golf Log'!$B$2:$B$73=$B371)*
      ('Golf Log'!$C$2:$C$73=$C371),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Log'!$E$2:$V$73,
    MATCH(1,
      ('Putt Log'!$A$2:$A$73=$A371)*
      ('Putt Log'!$B$2:$B$73=$B371)*
      ('Putt Log'!$C$2:$C$73=$C371),
    0),
    MATCH($G371,'Putt Log'!$E$1:$V$1,0)
  ),
"")</f>
        <v>2</v>
      </c>
      <c r="P371" cm="1">
        <f t="array" ref="P371">IF(K371=3,"",
  IFERROR(
    INDEX('Fairway Log'!$E$2:$V$73,
      MATCH(1,
        ('Fairway Log'!$A$2:$A$73=$A371)*
        ('Fairway Log'!$B$2:$B$73=$B371)*
        ('Fairway Log'!$C$2:$C442=$C371),
      0),
      MATCH($G371,'Fairway Log'!$E$1:$V$1,0)
    ),
  "")
)</f>
        <v>1</v>
      </c>
      <c r="Q371" cm="1">
        <f t="array" ref="Q371">IFERROR(
  INDEX('GIR Log'!$E$2:$V$73,
    MATCH(1,
      ('GIR Log'!$A$2:$A$73=$A371)*
      ('GIR Log'!$B$2:$B$73=$B371)*
      ('GIR Log'!$C$2:$C$73=$C371),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Log'!$E$2:$V$73,
    MATCH(1,
      ('Golf Log'!$A$2:$A$73=$A372)*
      ('Golf Log'!$B$2:$B$73=$B372)*
      ('Golf Log'!$C$2:$C$73=$C372),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Log'!$E$2:$V$73,
    MATCH(1,
      ('Putt Log'!$A$2:$A$73=$A372)*
      ('Putt Log'!$B$2:$B$73=$B372)*
      ('Putt Log'!$C$2:$C$73=$C372),
    0),
    MATCH($G372,'Putt Log'!$E$1:$V$1,0)
  ),
"")</f>
        <v>2</v>
      </c>
      <c r="P372" t="str" cm="1">
        <f t="array" ref="P372">IF(K372=3,"",
  IFERROR(
    INDEX('Fairway Log'!$E$2:$V$73,
      MATCH(1,
        ('Fairway Log'!$A$2:$A$73=$A372)*
        ('Fairway Log'!$B$2:$B$73=$B372)*
        ('Fairway Log'!$C$2:$C443=$C372),
      0),
      MATCH($G372,'Fairway Log'!$E$1:$V$1,0)
    ),
  "")
)</f>
        <v/>
      </c>
      <c r="Q372" cm="1">
        <f t="array" ref="Q372">IFERROR(
  INDEX('GIR Log'!$E$2:$V$73,
    MATCH(1,
      ('GIR Log'!$A$2:$A$73=$A372)*
      ('GIR Log'!$B$2:$B$73=$B372)*
      ('GIR Log'!$C$2:$C$73=$C372),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Log'!$E$2:$V$73,
    MATCH(1,
      ('Golf Log'!$A$2:$A$73=$A373)*
      ('Golf Log'!$B$2:$B$73=$B373)*
      ('Golf Log'!$C$2:$C$73=$C373),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Log'!$E$2:$V$73,
    MATCH(1,
      ('Putt Log'!$A$2:$A$73=$A373)*
      ('Putt Log'!$B$2:$B$73=$B373)*
      ('Putt Log'!$C$2:$C$73=$C373),
    0),
    MATCH($G373,'Putt Log'!$E$1:$V$1,0)
  ),
"")</f>
        <v>3</v>
      </c>
      <c r="P373" t="str" cm="1">
        <f t="array" ref="P373">IF(K373=3,"",
  IFERROR(
    INDEX('Fairway Log'!$E$2:$V$73,
      MATCH(1,
        ('Fairway Log'!$A$2:$A$73=$A373)*
        ('Fairway Log'!$B$2:$B$73=$B373)*
        ('Fairway Log'!$C$2:$C444=$C373),
      0),
      MATCH($G373,'Fairway Log'!$E$1:$V$1,0)
    ),
  "")
)</f>
        <v>→</v>
      </c>
      <c r="Q373" cm="1">
        <f t="array" ref="Q373">IFERROR(
  INDEX('GIR Log'!$E$2:$V$73,
    MATCH(1,
      ('GIR Log'!$A$2:$A$73=$A373)*
      ('GIR Log'!$B$2:$B$73=$B373)*
      ('GIR Log'!$C$2:$C$73=$C373),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Log'!$E$2:$V$73,
    MATCH(1,
      ('Golf Log'!$A$2:$A$73=$A374)*
      ('Golf Log'!$B$2:$B$73=$B374)*
      ('Golf Log'!$C$2:$C$73=$C374),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Log'!$E$2:$V$73,
    MATCH(1,
      ('Putt Log'!$A$2:$A$73=$A374)*
      ('Putt Log'!$B$2:$B$73=$B374)*
      ('Putt Log'!$C$2:$C$73=$C374),
    0),
    MATCH($G374,'Putt Log'!$E$1:$V$1,0)
  ),
"")</f>
        <v>1</v>
      </c>
      <c r="P374" t="str" cm="1">
        <f t="array" ref="P374">IF(K374=3,"",
  IFERROR(
    INDEX('Fairway Log'!$E$2:$V$73,
      MATCH(1,
        ('Fairway Log'!$A$2:$A$73=$A374)*
        ('Fairway Log'!$B$2:$B$73=$B374)*
        ('Fairway Log'!$C$2:$C445=$C374),
      0),
      MATCH($G374,'Fairway Log'!$E$1:$V$1,0)
    ),
  "")
)</f>
        <v>←</v>
      </c>
      <c r="Q374" cm="1">
        <f t="array" ref="Q374">IFERROR(
  INDEX('GIR Log'!$E$2:$V$73,
    MATCH(1,
      ('GIR Log'!$A$2:$A$73=$A374)*
      ('GIR Log'!$B$2:$B$73=$B374)*
      ('GIR Log'!$C$2:$C$73=$C374),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Log'!$E$2:$V$73,
    MATCH(1,
      ('Golf Log'!$A$2:$A$73=$A375)*
      ('Golf Log'!$B$2:$B$73=$B375)*
      ('Golf Log'!$C$2:$C$73=$C375),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Log'!$E$2:$V$73,
    MATCH(1,
      ('Putt Log'!$A$2:$A$73=$A375)*
      ('Putt Log'!$B$2:$B$73=$B375)*
      ('Putt Log'!$C$2:$C$73=$C375),
    0),
    MATCH($G375,'Putt Log'!$E$1:$V$1,0)
  ),
"")</f>
        <v>2</v>
      </c>
      <c r="P375" t="str" cm="1">
        <f t="array" ref="P375">IF(K375=3,"",
  IFERROR(
    INDEX('Fairway Log'!$E$2:$V$73,
      MATCH(1,
        ('Fairway Log'!$A$2:$A$73=$A375)*
        ('Fairway Log'!$B$2:$B$73=$B375)*
        ('Fairway Log'!$C$2:$C446=$C375),
      0),
      MATCH($G375,'Fairway Log'!$E$1:$V$1,0)
    ),
  "")
)</f>
        <v/>
      </c>
      <c r="Q375" cm="1">
        <f t="array" ref="Q375">IFERROR(
  INDEX('GIR Log'!$E$2:$V$73,
    MATCH(1,
      ('GIR Log'!$A$2:$A$73=$A375)*
      ('GIR Log'!$B$2:$B$73=$B375)*
      ('GIR Log'!$C$2:$C$73=$C375),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Log'!$E$2:$V$73,
    MATCH(1,
      ('Golf Log'!$A$2:$A$73=$A376)*
      ('Golf Log'!$B$2:$B$73=$B376)*
      ('Golf Log'!$C$2:$C$73=$C376),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Log'!$E$2:$V$73,
    MATCH(1,
      ('Putt Log'!$A$2:$A$73=$A376)*
      ('Putt Log'!$B$2:$B$73=$B376)*
      ('Putt Log'!$C$2:$C$73=$C376),
    0),
    MATCH($G376,'Putt Log'!$E$1:$V$1,0)
  ),
"")</f>
        <v>2</v>
      </c>
      <c r="P376" t="str" cm="1">
        <f t="array" ref="P376">IF(K376=3,"",
  IFERROR(
    INDEX('Fairway Log'!$E$2:$V$73,
      MATCH(1,
        ('Fairway Log'!$A$2:$A$73=$A376)*
        ('Fairway Log'!$B$2:$B$73=$B376)*
        ('Fairway Log'!$C$2:$C447=$C376),
      0),
      MATCH($G376,'Fairway Log'!$E$1:$V$1,0)
    ),
  "")
)</f>
        <v>→</v>
      </c>
      <c r="Q376" cm="1">
        <f t="array" ref="Q376">IFERROR(
  INDEX('GIR Log'!$E$2:$V$73,
    MATCH(1,
      ('GIR Log'!$A$2:$A$73=$A376)*
      ('GIR Log'!$B$2:$B$73=$B376)*
      ('GIR Log'!$C$2:$C$73=$C376),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Log'!$E$2:$V$73,
    MATCH(1,
      ('Golf Log'!$A$2:$A$73=$A377)*
      ('Golf Log'!$B$2:$B$73=$B377)*
      ('Golf Log'!$C$2:$C$73=$C377),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Log'!$E$2:$V$73,
    MATCH(1,
      ('Putt Log'!$A$2:$A$73=$A377)*
      ('Putt Log'!$B$2:$B$73=$B377)*
      ('Putt Log'!$C$2:$C$73=$C377),
    0),
    MATCH($G377,'Putt Log'!$E$1:$V$1,0)
  ),
"")</f>
        <v>2</v>
      </c>
      <c r="P377" t="str" cm="1">
        <f t="array" ref="P377">IF(K377=3,"",
  IFERROR(
    INDEX('Fairway Log'!$E$2:$V$73,
      MATCH(1,
        ('Fairway Log'!$A$2:$A$73=$A377)*
        ('Fairway Log'!$B$2:$B$73=$B377)*
        ('Fairway Log'!$C$2:$C448=$C377),
      0),
      MATCH($G377,'Fairway Log'!$E$1:$V$1,0)
    ),
  "")
)</f>
        <v>←</v>
      </c>
      <c r="Q377" cm="1">
        <f t="array" ref="Q377">IFERROR(
  INDEX('GIR Log'!$E$2:$V$73,
    MATCH(1,
      ('GIR Log'!$A$2:$A$73=$A377)*
      ('GIR Log'!$B$2:$B$73=$B377)*
      ('GIR Log'!$C$2:$C$73=$C377),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Log'!$E$2:$V$73,
    MATCH(1,
      ('Golf Log'!$A$2:$A$73=$A378)*
      ('Golf Log'!$B$2:$B$73=$B378)*
      ('Golf Log'!$C$2:$C$73=$C378),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Log'!$E$2:$V$73,
    MATCH(1,
      ('Putt Log'!$A$2:$A$73=$A378)*
      ('Putt Log'!$B$2:$B$73=$B378)*
      ('Putt Log'!$C$2:$C$73=$C378),
    0),
    MATCH($G378,'Putt Log'!$E$1:$V$1,0)
  ),
"")</f>
        <v>2</v>
      </c>
      <c r="P378" t="str" cm="1">
        <f t="array" ref="P378">IF(K378=3,"",
  IFERROR(
    INDEX('Fairway Log'!$E$2:$V$73,
      MATCH(1,
        ('Fairway Log'!$A$2:$A$73=$A378)*
        ('Fairway Log'!$B$2:$B$73=$B378)*
        ('Fairway Log'!$C$2:$C449=$C378),
      0),
      MATCH($G378,'Fairway Log'!$E$1:$V$1,0)
    ),
  "")
)</f>
        <v>←</v>
      </c>
      <c r="Q378" cm="1">
        <f t="array" ref="Q378">IFERROR(
  INDEX('GIR Log'!$E$2:$V$73,
    MATCH(1,
      ('GIR Log'!$A$2:$A$73=$A378)*
      ('GIR Log'!$B$2:$B$73=$B378)*
      ('GIR Log'!$C$2:$C$73=$C378),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Log'!$E$2:$V$73,
    MATCH(1,
      ('Golf Log'!$A$2:$A$73=$A379)*
      ('Golf Log'!$B$2:$B$73=$B379)*
      ('Golf Log'!$C$2:$C$73=$C379),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Log'!$E$2:$V$73,
    MATCH(1,
      ('Putt Log'!$A$2:$A$73=$A379)*
      ('Putt Log'!$B$2:$B$73=$B379)*
      ('Putt Log'!$C$2:$C$73=$C379),
    0),
    MATCH($G379,'Putt Log'!$E$1:$V$1,0)
  ),
"")</f>
        <v>2</v>
      </c>
      <c r="P379" cm="1">
        <f t="array" ref="P379">IF(K379=3,"",
  IFERROR(
    INDEX('Fairway Log'!$E$2:$V$73,
      MATCH(1,
        ('Fairway Log'!$A$2:$A$73=$A379)*
        ('Fairway Log'!$B$2:$B$73=$B379)*
        ('Fairway Log'!$C$2:$C450=$C379),
      0),
      MATCH($G379,'Fairway Log'!$E$1:$V$1,0)
    ),
  "")
)</f>
        <v>1</v>
      </c>
      <c r="Q379" cm="1">
        <f t="array" ref="Q379">IFERROR(
  INDEX('GIR Log'!$E$2:$V$73,
    MATCH(1,
      ('GIR Log'!$A$2:$A$73=$A379)*
      ('GIR Log'!$B$2:$B$73=$B379)*
      ('GIR Log'!$C$2:$C$73=$C379),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Log'!$E$2:$V$73,
    MATCH(1,
      ('Golf Log'!$A$2:$A$73=$A380)*
      ('Golf Log'!$B$2:$B$73=$B380)*
      ('Golf Log'!$C$2:$C$73=$C380),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Log'!$E$2:$V$73,
    MATCH(1,
      ('Putt Log'!$A$2:$A$73=$A380)*
      ('Putt Log'!$B$2:$B$73=$B380)*
      ('Putt Log'!$C$2:$C$73=$C380),
    0),
    MATCH($G380,'Putt Log'!$E$1:$V$1,0)
  ),
"")</f>
        <v>2</v>
      </c>
      <c r="P380" t="str" cm="1">
        <f t="array" ref="P380">IF(K380=3,"",
  IFERROR(
    INDEX('Fairway Log'!$E$2:$V$73,
      MATCH(1,
        ('Fairway Log'!$A$2:$A$73=$A380)*
        ('Fairway Log'!$B$2:$B$73=$B380)*
        ('Fairway Log'!$C$2:$C451=$C380),
      0),
      MATCH($G380,'Fairway Log'!$E$1:$V$1,0)
    ),
  "")
)</f>
        <v>←</v>
      </c>
      <c r="Q380" cm="1">
        <f t="array" ref="Q380">IFERROR(
  INDEX('GIR Log'!$E$2:$V$73,
    MATCH(1,
      ('GIR Log'!$A$2:$A$73=$A380)*
      ('GIR Log'!$B$2:$B$73=$B380)*
      ('GIR Log'!$C$2:$C$73=$C380),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Log'!$E$2:$V$73,
    MATCH(1,
      ('Golf Log'!$A$2:$A$73=$A381)*
      ('Golf Log'!$B$2:$B$73=$B381)*
      ('Golf Log'!$C$2:$C$73=$C381),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Log'!$E$2:$V$73,
    MATCH(1,
      ('Putt Log'!$A$2:$A$73=$A381)*
      ('Putt Log'!$B$2:$B$73=$B381)*
      ('Putt Log'!$C$2:$C$73=$C381),
    0),
    MATCH($G381,'Putt Log'!$E$1:$V$1,0)
  ),
"")</f>
        <v>2</v>
      </c>
      <c r="P381" cm="1">
        <f t="array" ref="P381">IF(K381=3,"",
  IFERROR(
    INDEX('Fairway Log'!$E$2:$V$73,
      MATCH(1,
        ('Fairway Log'!$A$2:$A$73=$A381)*
        ('Fairway Log'!$B$2:$B$73=$B381)*
        ('Fairway Log'!$C$2:$C452=$C381),
      0),
      MATCH($G381,'Fairway Log'!$E$1:$V$1,0)
    ),
  "")
)</f>
        <v>1</v>
      </c>
      <c r="Q381" cm="1">
        <f t="array" ref="Q381">IFERROR(
  INDEX('GIR Log'!$E$2:$V$73,
    MATCH(1,
      ('GIR Log'!$A$2:$A$73=$A381)*
      ('GIR Log'!$B$2:$B$73=$B381)*
      ('GIR Log'!$C$2:$C$73=$C381),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Log'!$E$2:$V$73,
    MATCH(1,
      ('Golf Log'!$A$2:$A$73=$A382)*
      ('Golf Log'!$B$2:$B$73=$B382)*
      ('Golf Log'!$C$2:$C$73=$C382),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Log'!$E$2:$V$73,
    MATCH(1,
      ('Putt Log'!$A$2:$A$73=$A382)*
      ('Putt Log'!$B$2:$B$73=$B382)*
      ('Putt Log'!$C$2:$C$73=$C382),
    0),
    MATCH($G382,'Putt Log'!$E$1:$V$1,0)
  ),
"")</f>
        <v>2</v>
      </c>
      <c r="P382" t="str" cm="1">
        <f t="array" ref="P382">IF(K382=3,"",
  IFERROR(
    INDEX('Fairway Log'!$E$2:$V$73,
      MATCH(1,
        ('Fairway Log'!$A$2:$A$73=$A382)*
        ('Fairway Log'!$B$2:$B$73=$B382)*
        ('Fairway Log'!$C$2:$C453=$C382),
      0),
      MATCH($G382,'Fairway Log'!$E$1:$V$1,0)
    ),
  "")
)</f>
        <v/>
      </c>
      <c r="Q382" cm="1">
        <f t="array" ref="Q382">IFERROR(
  INDEX('GIR Log'!$E$2:$V$73,
    MATCH(1,
      ('GIR Log'!$A$2:$A$73=$A382)*
      ('GIR Log'!$B$2:$B$73=$B382)*
      ('GIR Log'!$C$2:$C$73=$C382),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Log'!$E$2:$V$73,
    MATCH(1,
      ('Golf Log'!$A$2:$A$73=$A383)*
      ('Golf Log'!$B$2:$B$73=$B383)*
      ('Golf Log'!$C$2:$C$73=$C383),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Log'!$E$2:$V$73,
    MATCH(1,
      ('Putt Log'!$A$2:$A$73=$A383)*
      ('Putt Log'!$B$2:$B$73=$B383)*
      ('Putt Log'!$C$2:$C$73=$C383),
    0),
    MATCH($G383,'Putt Log'!$E$1:$V$1,0)
  ),
"")</f>
        <v>2</v>
      </c>
      <c r="P383" t="str" cm="1">
        <f t="array" ref="P383">IF(K383=3,"",
  IFERROR(
    INDEX('Fairway Log'!$E$2:$V$73,
      MATCH(1,
        ('Fairway Log'!$A$2:$A$73=$A383)*
        ('Fairway Log'!$B$2:$B$73=$B383)*
        ('Fairway Log'!$C$2:$C454=$C383),
      0),
      MATCH($G383,'Fairway Log'!$E$1:$V$1,0)
    ),
  "")
)</f>
        <v>↑</v>
      </c>
      <c r="Q383" cm="1">
        <f t="array" ref="Q383">IFERROR(
  INDEX('GIR Log'!$E$2:$V$73,
    MATCH(1,
      ('GIR Log'!$A$2:$A$73=$A383)*
      ('GIR Log'!$B$2:$B$73=$B383)*
      ('GIR Log'!$C$2:$C$73=$C383),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Log'!$E$2:$V$73,
    MATCH(1,
      ('Golf Log'!$A$2:$A$73=$A384)*
      ('Golf Log'!$B$2:$B$73=$B384)*
      ('Golf Log'!$C$2:$C$73=$C384),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Log'!$E$2:$V$73,
    MATCH(1,
      ('Putt Log'!$A$2:$A$73=$A384)*
      ('Putt Log'!$B$2:$B$73=$B384)*
      ('Putt Log'!$C$2:$C$73=$C384),
    0),
    MATCH($G384,'Putt Log'!$E$1:$V$1,0)
  ),
"")</f>
        <v>3</v>
      </c>
      <c r="P384" cm="1">
        <f t="array" ref="P384">IF(K384=3,"",
  IFERROR(
    INDEX('Fairway Log'!$E$2:$V$73,
      MATCH(1,
        ('Fairway Log'!$A$2:$A$73=$A384)*
        ('Fairway Log'!$B$2:$B$73=$B384)*
        ('Fairway Log'!$C$2:$C455=$C384),
      0),
      MATCH($G384,'Fairway Log'!$E$1:$V$1,0)
    ),
  "")
)</f>
        <v>1</v>
      </c>
      <c r="Q384" cm="1">
        <f t="array" ref="Q384">IFERROR(
  INDEX('GIR Log'!$E$2:$V$73,
    MATCH(1,
      ('GIR Log'!$A$2:$A$73=$A384)*
      ('GIR Log'!$B$2:$B$73=$B384)*
      ('GIR Log'!$C$2:$C$73=$C384),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Log'!$E$2:$V$73,
    MATCH(1,
      ('Golf Log'!$A$2:$A$73=$A385)*
      ('Golf Log'!$B$2:$B$73=$B385)*
      ('Golf Log'!$C$2:$C$73=$C385),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Log'!$E$2:$V$73,
    MATCH(1,
      ('Putt Log'!$A$2:$A$73=$A385)*
      ('Putt Log'!$B$2:$B$73=$B385)*
      ('Putt Log'!$C$2:$C$73=$C385),
    0),
    MATCH($G385,'Putt Log'!$E$1:$V$1,0)
  ),
"")</f>
        <v>2</v>
      </c>
      <c r="P385" t="str" cm="1">
        <f t="array" ref="P385">IF(K385=3,"",
  IFERROR(
    INDEX('Fairway Log'!$E$2:$V$73,
      MATCH(1,
        ('Fairway Log'!$A$2:$A$73=$A385)*
        ('Fairway Log'!$B$2:$B$73=$B385)*
        ('Fairway Log'!$C$2:$C456=$C385),
      0),
      MATCH($G385,'Fairway Log'!$E$1:$V$1,0)
    ),
  "")
)</f>
        <v/>
      </c>
      <c r="Q385" cm="1">
        <f t="array" ref="Q385">IFERROR(
  INDEX('GIR Log'!$E$2:$V$73,
    MATCH(1,
      ('GIR Log'!$A$2:$A$73=$A385)*
      ('GIR Log'!$B$2:$B$73=$B385)*
      ('GIR Log'!$C$2:$C$73=$C385),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Log'!$E$2:$V$73,
    MATCH(1,
      ('Golf Log'!$A$2:$A$73=$A386)*
      ('Golf Log'!$B$2:$B$73=$B386)*
      ('Golf Log'!$C$2:$C$73=$C386),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Log'!$E$2:$V$73,
    MATCH(1,
      ('Putt Log'!$A$2:$A$73=$A386)*
      ('Putt Log'!$B$2:$B$73=$B386)*
      ('Putt Log'!$C$2:$C$73=$C386),
    0),
    MATCH($G386,'Putt Log'!$E$1:$V$1,0)
  ),
"")</f>
        <v>2</v>
      </c>
      <c r="P386" cm="1">
        <f t="array" ref="P386">IF(K386=3,"",
  IFERROR(
    INDEX('Fairway Log'!$E$2:$V$73,
      MATCH(1,
        ('Fairway Log'!$A$2:$A$73=$A386)*
        ('Fairway Log'!$B$2:$B$73=$B386)*
        ('Fairway Log'!$C$2:$C457=$C386),
      0),
      MATCH($G386,'Fairway Log'!$E$1:$V$1,0)
    ),
  "")
)</f>
        <v>1</v>
      </c>
      <c r="Q386" cm="1">
        <f t="array" ref="Q386">IFERROR(
  INDEX('GIR Log'!$E$2:$V$73,
    MATCH(1,
      ('GIR Log'!$A$2:$A$73=$A386)*
      ('GIR Log'!$B$2:$B$73=$B386)*
      ('GIR Log'!$C$2:$C$73=$C386),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Log'!$E$2:$V$73,
    MATCH(1,
      ('Golf Log'!$A$2:$A$73=$A387)*
      ('Golf Log'!$B$2:$B$73=$B387)*
      ('Golf Log'!$C$2:$C$73=$C387),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Log'!$E$2:$V$73,
    MATCH(1,
      ('Putt Log'!$A$2:$A$73=$A387)*
      ('Putt Log'!$B$2:$B$73=$B387)*
      ('Putt Log'!$C$2:$C$73=$C387),
    0),
    MATCH($G387,'Putt Log'!$E$1:$V$1,0)
  ),
"")</f>
        <v>2</v>
      </c>
      <c r="P387" cm="1">
        <f t="array" ref="P387">IF(K387=3,"",
  IFERROR(
    INDEX('Fairway Log'!$E$2:$V$73,
      MATCH(1,
        ('Fairway Log'!$A$2:$A$73=$A387)*
        ('Fairway Log'!$B$2:$B$73=$B387)*
        ('Fairway Log'!$C$2:$C458=$C387),
      0),
      MATCH($G387,'Fairway Log'!$E$1:$V$1,0)
    ),
  "")
)</f>
        <v>1</v>
      </c>
      <c r="Q387" cm="1">
        <f t="array" ref="Q387">IFERROR(
  INDEX('GIR Log'!$E$2:$V$73,
    MATCH(1,
      ('GIR Log'!$A$2:$A$73=$A387)*
      ('GIR Log'!$B$2:$B$73=$B387)*
      ('GIR Log'!$C$2:$C$73=$C387),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Log'!$E$2:$V$73,
    MATCH(1,
      ('Golf Log'!$A$2:$A$73=$A388)*
      ('Golf Log'!$B$2:$B$73=$B388)*
      ('Golf Log'!$C$2:$C$73=$C388),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Log'!$E$2:$V$73,
    MATCH(1,
      ('Putt Log'!$A$2:$A$73=$A388)*
      ('Putt Log'!$B$2:$B$73=$B388)*
      ('Putt Log'!$C$2:$C$73=$C388),
    0),
    MATCH($G388,'Putt Log'!$E$1:$V$1,0)
  ),
"")</f>
        <v>2</v>
      </c>
      <c r="P388" cm="1">
        <f t="array" ref="P388">IF(K388=3,"",
  IFERROR(
    INDEX('Fairway Log'!$E$2:$V$73,
      MATCH(1,
        ('Fairway Log'!$A$2:$A$73=$A388)*
        ('Fairway Log'!$B$2:$B$73=$B388)*
        ('Fairway Log'!$C$2:$C459=$C388),
      0),
      MATCH($G388,'Fairway Log'!$E$1:$V$1,0)
    ),
  "")
)</f>
        <v>1</v>
      </c>
      <c r="Q388" cm="1">
        <f t="array" ref="Q388">IFERROR(
  INDEX('GIR Log'!$E$2:$V$73,
    MATCH(1,
      ('GIR Log'!$A$2:$A$73=$A388)*
      ('GIR Log'!$B$2:$B$73=$B388)*
      ('GIR Log'!$C$2:$C$73=$C388),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Log'!$E$2:$V$73,
    MATCH(1,
      ('Golf Log'!$A$2:$A$73=$A389)*
      ('Golf Log'!$B$2:$B$73=$B389)*
      ('Golf Log'!$C$2:$C$73=$C389),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Log'!$E$2:$V$73,
    MATCH(1,
      ('Putt Log'!$A$2:$A$73=$A389)*
      ('Putt Log'!$B$2:$B$73=$B389)*
      ('Putt Log'!$C$2:$C$73=$C389),
    0),
    MATCH($G389,'Putt Log'!$E$1:$V$1,0)
  ),
"")</f>
        <v>2</v>
      </c>
      <c r="P389" t="str" cm="1">
        <f t="array" ref="P389">IF(K389=3,"",
  IFERROR(
    INDEX('Fairway Log'!$E$2:$V$73,
      MATCH(1,
        ('Fairway Log'!$A$2:$A$73=$A389)*
        ('Fairway Log'!$B$2:$B$73=$B389)*
        ('Fairway Log'!$C$2:$C460=$C389),
      0),
      MATCH($G389,'Fairway Log'!$E$1:$V$1,0)
    ),
  "")
)</f>
        <v>↑</v>
      </c>
      <c r="Q389" cm="1">
        <f t="array" ref="Q389">IFERROR(
  INDEX('GIR Log'!$E$2:$V$73,
    MATCH(1,
      ('GIR Log'!$A$2:$A$73=$A389)*
      ('GIR Log'!$B$2:$B$73=$B389)*
      ('GIR Log'!$C$2:$C$73=$C389),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Log'!$E$2:$V$73,
    MATCH(1,
      ('Golf Log'!$A$2:$A$73=$A390)*
      ('Golf Log'!$B$2:$B$73=$B390)*
      ('Golf Log'!$C$2:$C$73=$C390),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Log'!$E$2:$V$73,
    MATCH(1,
      ('Putt Log'!$A$2:$A$73=$A390)*
      ('Putt Log'!$B$2:$B$73=$B390)*
      ('Putt Log'!$C$2:$C$73=$C390),
    0),
    MATCH($G390,'Putt Log'!$E$1:$V$1,0)
  ),
"")</f>
        <v>1</v>
      </c>
      <c r="P390" t="str" cm="1">
        <f t="array" ref="P390">IF(K390=3,"",
  IFERROR(
    INDEX('Fairway Log'!$E$2:$V$73,
      MATCH(1,
        ('Fairway Log'!$A$2:$A$73=$A390)*
        ('Fairway Log'!$B$2:$B$73=$B390)*
        ('Fairway Log'!$C$2:$C461=$C390),
      0),
      MATCH($G390,'Fairway Log'!$E$1:$V$1,0)
    ),
  "")
)</f>
        <v/>
      </c>
      <c r="Q390" cm="1">
        <f t="array" ref="Q390">IFERROR(
  INDEX('GIR Log'!$E$2:$V$73,
    MATCH(1,
      ('GIR Log'!$A$2:$A$73=$A390)*
      ('GIR Log'!$B$2:$B$73=$B390)*
      ('GIR Log'!$C$2:$C$73=$C390),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Log'!$E$2:$V$73,
    MATCH(1,
      ('Golf Log'!$A$2:$A$73=$A391)*
      ('Golf Log'!$B$2:$B$73=$B391)*
      ('Golf Log'!$C$2:$C$73=$C391),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Log'!$E$2:$V$73,
    MATCH(1,
      ('Putt Log'!$A$2:$A$73=$A391)*
      ('Putt Log'!$B$2:$B$73=$B391)*
      ('Putt Log'!$C$2:$C$73=$C391),
    0),
    MATCH($G391,'Putt Log'!$E$1:$V$1,0)
  ),
"")</f>
        <v>2</v>
      </c>
      <c r="P391" cm="1">
        <f t="array" ref="P391">IF(K391=3,"",
  IFERROR(
    INDEX('Fairway Log'!$E$2:$V$73,
      MATCH(1,
        ('Fairway Log'!$A$2:$A$73=$A391)*
        ('Fairway Log'!$B$2:$B$73=$B391)*
        ('Fairway Log'!$C$2:$C462=$C391),
      0),
      MATCH($G391,'Fairway Log'!$E$1:$V$1,0)
    ),
  "")
)</f>
        <v>1</v>
      </c>
      <c r="Q391" cm="1">
        <f t="array" ref="Q391">IFERROR(
  INDEX('GIR Log'!$E$2:$V$73,
    MATCH(1,
      ('GIR Log'!$A$2:$A$73=$A391)*
      ('GIR Log'!$B$2:$B$73=$B391)*
      ('GIR Log'!$C$2:$C$73=$C391),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Log'!$E$2:$V$73,
    MATCH(1,
      ('Golf Log'!$A$2:$A$73=$A392)*
      ('Golf Log'!$B$2:$B$73=$B392)*
      ('Golf Log'!$C$2:$C$73=$C392),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Log'!$E$2:$V$73,
    MATCH(1,
      ('Putt Log'!$A$2:$A$73=$A392)*
      ('Putt Log'!$B$2:$B$73=$B392)*
      ('Putt Log'!$C$2:$C$73=$C392),
    0),
    MATCH($G392,'Putt Log'!$E$1:$V$1,0)
  ),
"")</f>
        <v>3</v>
      </c>
      <c r="P392" cm="1">
        <f t="array" ref="P392">IF(K392=3,"",
  IFERROR(
    INDEX('Fairway Log'!$E$2:$V$73,
      MATCH(1,
        ('Fairway Log'!$A$2:$A$73=$A392)*
        ('Fairway Log'!$B$2:$B$73=$B392)*
        ('Fairway Log'!$C$2:$C463=$C392),
      0),
      MATCH($G392,'Fairway Log'!$E$1:$V$1,0)
    ),
  "")
)</f>
        <v>1</v>
      </c>
      <c r="Q392" cm="1">
        <f t="array" ref="Q392">IFERROR(
  INDEX('GIR Log'!$E$2:$V$73,
    MATCH(1,
      ('GIR Log'!$A$2:$A$73=$A392)*
      ('GIR Log'!$B$2:$B$73=$B392)*
      ('GIR Log'!$C$2:$C$73=$C392),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Log'!$E$2:$V$73,
    MATCH(1,
      ('Golf Log'!$A$2:$A$73=$A393)*
      ('Golf Log'!$B$2:$B$73=$B393)*
      ('Golf Log'!$C$2:$C$73=$C393),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Log'!$E$2:$V$73,
    MATCH(1,
      ('Putt Log'!$A$2:$A$73=$A393)*
      ('Putt Log'!$B$2:$B$73=$B393)*
      ('Putt Log'!$C$2:$C$73=$C393),
    0),
    MATCH($G393,'Putt Log'!$E$1:$V$1,0)
  ),
"")</f>
        <v>3</v>
      </c>
      <c r="P393" t="str" cm="1">
        <f t="array" ref="P393">IF(K393=3,"",
  IFERROR(
    INDEX('Fairway Log'!$E$2:$V$73,
      MATCH(1,
        ('Fairway Log'!$A$2:$A$73=$A393)*
        ('Fairway Log'!$B$2:$B$73=$B393)*
        ('Fairway Log'!$C$2:$C464=$C393),
      0),
      MATCH($G393,'Fairway Log'!$E$1:$V$1,0)
    ),
  "")
)</f>
        <v>↑</v>
      </c>
      <c r="Q393" cm="1">
        <f t="array" ref="Q393">IFERROR(
  INDEX('GIR Log'!$E$2:$V$73,
    MATCH(1,
      ('GIR Log'!$A$2:$A$73=$A393)*
      ('GIR Log'!$B$2:$B$73=$B393)*
      ('GIR Log'!$C$2:$C$73=$C393),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Log'!$E$2:$V$73,
    MATCH(1,
      ('Golf Log'!$A$2:$A$73=$A394)*
      ('Golf Log'!$B$2:$B$73=$B394)*
      ('Golf Log'!$C$2:$C$73=$C394),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Log'!$E$2:$V$73,
    MATCH(1,
      ('Putt Log'!$A$2:$A$73=$A394)*
      ('Putt Log'!$B$2:$B$73=$B394)*
      ('Putt Log'!$C$2:$C$73=$C394),
    0),
    MATCH($G394,'Putt Log'!$E$1:$V$1,0)
  ),
"")</f>
        <v>2</v>
      </c>
      <c r="P394" t="str" cm="1">
        <f t="array" ref="P394">IF(K394=3,"",
  IFERROR(
    INDEX('Fairway Log'!$E$2:$V$73,
      MATCH(1,
        ('Fairway Log'!$A$2:$A$73=$A394)*
        ('Fairway Log'!$B$2:$B$73=$B394)*
        ('Fairway Log'!$C$2:$C465=$C394),
      0),
      MATCH($G394,'Fairway Log'!$E$1:$V$1,0)
    ),
  "")
)</f>
        <v/>
      </c>
      <c r="Q394" cm="1">
        <f t="array" ref="Q394">IFERROR(
  INDEX('GIR Log'!$E$2:$V$73,
    MATCH(1,
      ('GIR Log'!$A$2:$A$73=$A394)*
      ('GIR Log'!$B$2:$B$73=$B394)*
      ('GIR Log'!$C$2:$C$73=$C394),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Log'!$E$2:$V$73,
    MATCH(1,
      ('Golf Log'!$A$2:$A$73=$A395)*
      ('Golf Log'!$B$2:$B$73=$B395)*
      ('Golf Log'!$C$2:$C$73=$C395),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Log'!$E$2:$V$73,
    MATCH(1,
      ('Putt Log'!$A$2:$A$73=$A395)*
      ('Putt Log'!$B$2:$B$73=$B395)*
      ('Putt Log'!$C$2:$C$73=$C395),
    0),
    MATCH($G395,'Putt Log'!$E$1:$V$1,0)
  ),
"")</f>
        <v>2</v>
      </c>
      <c r="P395" t="str" cm="1">
        <f t="array" ref="P395">IF(K395=3,"",
  IFERROR(
    INDEX('Fairway Log'!$E$2:$V$73,
      MATCH(1,
        ('Fairway Log'!$A$2:$A$73=$A395)*
        ('Fairway Log'!$B$2:$B$73=$B395)*
        ('Fairway Log'!$C$2:$C466=$C395),
      0),
      MATCH($G395,'Fairway Log'!$E$1:$V$1,0)
    ),
  "")
)</f>
        <v>→</v>
      </c>
      <c r="Q395" cm="1">
        <f t="array" ref="Q395">IFERROR(
  INDEX('GIR Log'!$E$2:$V$73,
    MATCH(1,
      ('GIR Log'!$A$2:$A$73=$A395)*
      ('GIR Log'!$B$2:$B$73=$B395)*
      ('GIR Log'!$C$2:$C$73=$C395),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Log'!$E$2:$V$73,
    MATCH(1,
      ('Golf Log'!$A$2:$A$73=$A396)*
      ('Golf Log'!$B$2:$B$73=$B396)*
      ('Golf Log'!$C$2:$C$73=$C396),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Log'!$E$2:$V$73,
    MATCH(1,
      ('Putt Log'!$A$2:$A$73=$A396)*
      ('Putt Log'!$B$2:$B$73=$B396)*
      ('Putt Log'!$C$2:$C$73=$C396),
    0),
    MATCH($G396,'Putt Log'!$E$1:$V$1,0)
  ),
"")</f>
        <v>1</v>
      </c>
      <c r="P396" t="str" cm="1">
        <f t="array" ref="P396">IF(K396=3,"",
  IFERROR(
    INDEX('Fairway Log'!$E$2:$V$73,
      MATCH(1,
        ('Fairway Log'!$A$2:$A$73=$A396)*
        ('Fairway Log'!$B$2:$B$73=$B396)*
        ('Fairway Log'!$C$2:$C467=$C396),
      0),
      MATCH($G396,'Fairway Log'!$E$1:$V$1,0)
    ),
  "")
)</f>
        <v>→</v>
      </c>
      <c r="Q396" cm="1">
        <f t="array" ref="Q396">IFERROR(
  INDEX('GIR Log'!$E$2:$V$73,
    MATCH(1,
      ('GIR Log'!$A$2:$A$73=$A396)*
      ('GIR Log'!$B$2:$B$73=$B396)*
      ('GIR Log'!$C$2:$C$73=$C396),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Log'!$E$2:$V$73,
    MATCH(1,
      ('Golf Log'!$A$2:$A$73=$A397)*
      ('Golf Log'!$B$2:$B$73=$B397)*
      ('Golf Log'!$C$2:$C$73=$C397),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Log'!$E$2:$V$73,
    MATCH(1,
      ('Putt Log'!$A$2:$A$73=$A397)*
      ('Putt Log'!$B$2:$B$73=$B397)*
      ('Putt Log'!$C$2:$C$73=$C397),
    0),
    MATCH($G397,'Putt Log'!$E$1:$V$1,0)
  ),
"")</f>
        <v>2</v>
      </c>
      <c r="P397" cm="1">
        <f t="array" ref="P397">IF(K397=3,"",
  IFERROR(
    INDEX('Fairway Log'!$E$2:$V$73,
      MATCH(1,
        ('Fairway Log'!$A$2:$A$73=$A397)*
        ('Fairway Log'!$B$2:$B$73=$B397)*
        ('Fairway Log'!$C$2:$C468=$C397),
      0),
      MATCH($G397,'Fairway Log'!$E$1:$V$1,0)
    ),
  "")
)</f>
        <v>1</v>
      </c>
      <c r="Q397" cm="1">
        <f t="array" ref="Q397">IFERROR(
  INDEX('GIR Log'!$E$2:$V$73,
    MATCH(1,
      ('GIR Log'!$A$2:$A$73=$A397)*
      ('GIR Log'!$B$2:$B$73=$B397)*
      ('GIR Log'!$C$2:$C$73=$C397),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Log'!$E$2:$V$73,
    MATCH(1,
      ('Golf Log'!$A$2:$A$73=$A398)*
      ('Golf Log'!$B$2:$B$73=$B398)*
      ('Golf Log'!$C$2:$C$73=$C398),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Log'!$E$2:$V$73,
    MATCH(1,
      ('Putt Log'!$A$2:$A$73=$A398)*
      ('Putt Log'!$B$2:$B$73=$B398)*
      ('Putt Log'!$C$2:$C$73=$C398),
    0),
    MATCH($G398,'Putt Log'!$E$1:$V$1,0)
  ),
"")</f>
        <v>2</v>
      </c>
      <c r="P398" t="str" cm="1">
        <f t="array" ref="P398">IF(K398=3,"",
  IFERROR(
    INDEX('Fairway Log'!$E$2:$V$73,
      MATCH(1,
        ('Fairway Log'!$A$2:$A$73=$A398)*
        ('Fairway Log'!$B$2:$B$73=$B398)*
        ('Fairway Log'!$C$2:$C469=$C398),
      0),
      MATCH($G398,'Fairway Log'!$E$1:$V$1,0)
    ),
  "")
)</f>
        <v>→</v>
      </c>
      <c r="Q398" cm="1">
        <f t="array" ref="Q398">IFERROR(
  INDEX('GIR Log'!$E$2:$V$73,
    MATCH(1,
      ('GIR Log'!$A$2:$A$73=$A398)*
      ('GIR Log'!$B$2:$B$73=$B398)*
      ('GIR Log'!$C$2:$C$73=$C398),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Log'!$E$2:$V$73,
    MATCH(1,
      ('Golf Log'!$A$2:$A$73=$A399)*
      ('Golf Log'!$B$2:$B$73=$B399)*
      ('Golf Log'!$C$2:$C$73=$C399),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Log'!$E$2:$V$73,
    MATCH(1,
      ('Putt Log'!$A$2:$A$73=$A399)*
      ('Putt Log'!$B$2:$B$73=$B399)*
      ('Putt Log'!$C$2:$C$73=$C399),
    0),
    MATCH($G399,'Putt Log'!$E$1:$V$1,0)
  ),
"")</f>
        <v>2</v>
      </c>
      <c r="P399" cm="1">
        <f t="array" ref="P399">IF(K399=3,"",
  IFERROR(
    INDEX('Fairway Log'!$E$2:$V$73,
      MATCH(1,
        ('Fairway Log'!$A$2:$A$73=$A399)*
        ('Fairway Log'!$B$2:$B$73=$B399)*
        ('Fairway Log'!$C$2:$C470=$C399),
      0),
      MATCH($G399,'Fairway Log'!$E$1:$V$1,0)
    ),
  "")
)</f>
        <v>1</v>
      </c>
      <c r="Q399" cm="1">
        <f t="array" ref="Q399">IFERROR(
  INDEX('GIR Log'!$E$2:$V$73,
    MATCH(1,
      ('GIR Log'!$A$2:$A$73=$A399)*
      ('GIR Log'!$B$2:$B$73=$B399)*
      ('GIR Log'!$C$2:$C$73=$C399),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Log'!$E$2:$V$73,
    MATCH(1,
      ('Golf Log'!$A$2:$A$73=$A400)*
      ('Golf Log'!$B$2:$B$73=$B400)*
      ('Golf Log'!$C$2:$C$73=$C400),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Log'!$E$2:$V$73,
    MATCH(1,
      ('Putt Log'!$A$2:$A$73=$A400)*
      ('Putt Log'!$B$2:$B$73=$B400)*
      ('Putt Log'!$C$2:$C$73=$C400),
    0),
    MATCH($G400,'Putt Log'!$E$1:$V$1,0)
  ),
"")</f>
        <v>2</v>
      </c>
      <c r="P400" t="str" cm="1">
        <f t="array" ref="P400">IF(K400=3,"",
  IFERROR(
    INDEX('Fairway Log'!$E$2:$V$73,
      MATCH(1,
        ('Fairway Log'!$A$2:$A$73=$A400)*
        ('Fairway Log'!$B$2:$B$73=$B400)*
        ('Fairway Log'!$C$2:$C471=$C400),
      0),
      MATCH($G400,'Fairway Log'!$E$1:$V$1,0)
    ),
  "")
)</f>
        <v>↑</v>
      </c>
      <c r="Q400" cm="1">
        <f t="array" ref="Q400">IFERROR(
  INDEX('GIR Log'!$E$2:$V$73,
    MATCH(1,
      ('GIR Log'!$A$2:$A$73=$A400)*
      ('GIR Log'!$B$2:$B$73=$B400)*
      ('GIR Log'!$C$2:$C$73=$C400),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Log'!$E$2:$V$73,
    MATCH(1,
      ('Golf Log'!$A$2:$A$73=$A401)*
      ('Golf Log'!$B$2:$B$73=$B401)*
      ('Golf Log'!$C$2:$C$73=$C401),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Log'!$E$2:$V$73,
    MATCH(1,
      ('Putt Log'!$A$2:$A$73=$A401)*
      ('Putt Log'!$B$2:$B$73=$B401)*
      ('Putt Log'!$C$2:$C$73=$C401),
    0),
    MATCH($G401,'Putt Log'!$E$1:$V$1,0)
  ),
"")</f>
        <v>2</v>
      </c>
      <c r="P401" t="str" cm="1">
        <f t="array" ref="P401">IF(K401=3,"",
  IFERROR(
    INDEX('Fairway Log'!$E$2:$V$73,
      MATCH(1,
        ('Fairway Log'!$A$2:$A$73=$A401)*
        ('Fairway Log'!$B$2:$B$73=$B401)*
        ('Fairway Log'!$C$2:$C472=$C401),
      0),
      MATCH($G401,'Fairway Log'!$E$1:$V$1,0)
    ),
  "")
)</f>
        <v/>
      </c>
      <c r="Q401" cm="1">
        <f t="array" ref="Q401">IFERROR(
  INDEX('GIR Log'!$E$2:$V$73,
    MATCH(1,
      ('GIR Log'!$A$2:$A$73=$A401)*
      ('GIR Log'!$B$2:$B$73=$B401)*
      ('GIR Log'!$C$2:$C$73=$C401),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Log'!$E$2:$V$73,
    MATCH(1,
      ('Golf Log'!$A$2:$A$73=$A402)*
      ('Golf Log'!$B$2:$B$73=$B402)*
      ('Golf Log'!$C$2:$C$73=$C402),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Log'!$E$2:$V$73,
    MATCH(1,
      ('Putt Log'!$A$2:$A$73=$A402)*
      ('Putt Log'!$B$2:$B$73=$B402)*
      ('Putt Log'!$C$2:$C$73=$C402),
    0),
    MATCH($G402,'Putt Log'!$E$1:$V$1,0)
  ),
"")</f>
        <v>2</v>
      </c>
      <c r="P402" t="str" cm="1">
        <f t="array" ref="P402">IF(K402=3,"",
  IFERROR(
    INDEX('Fairway Log'!$E$2:$V$73,
      MATCH(1,
        ('Fairway Log'!$A$2:$A$73=$A402)*
        ('Fairway Log'!$B$2:$B$73=$B402)*
        ('Fairway Log'!$C$2:$C473=$C402),
      0),
      MATCH($G402,'Fairway Log'!$E$1:$V$1,0)
    ),
  "")
)</f>
        <v>→</v>
      </c>
      <c r="Q402" cm="1">
        <f t="array" ref="Q402">IFERROR(
  INDEX('GIR Log'!$E$2:$V$73,
    MATCH(1,
      ('GIR Log'!$A$2:$A$73=$A402)*
      ('GIR Log'!$B$2:$B$73=$B402)*
      ('GIR Log'!$C$2:$C$73=$C402),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Log'!$E$2:$V$73,
    MATCH(1,
      ('Golf Log'!$A$2:$A$73=$A403)*
      ('Golf Log'!$B$2:$B$73=$B403)*
      ('Golf Log'!$C$2:$C$73=$C403),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Log'!$E$2:$V$73,
    MATCH(1,
      ('Putt Log'!$A$2:$A$73=$A403)*
      ('Putt Log'!$B$2:$B$73=$B403)*
      ('Putt Log'!$C$2:$C$73=$C403),
    0),
    MATCH($G403,'Putt Log'!$E$1:$V$1,0)
  ),
"")</f>
        <v>2</v>
      </c>
      <c r="P403" cm="1">
        <f t="array" ref="P403">IF(K403=3,"",
  IFERROR(
    INDEX('Fairway Log'!$E$2:$V$73,
      MATCH(1,
        ('Fairway Log'!$A$2:$A$73=$A403)*
        ('Fairway Log'!$B$2:$B$73=$B403)*
        ('Fairway Log'!$C$2:$C474=$C403),
      0),
      MATCH($G403,'Fairway Log'!$E$1:$V$1,0)
    ),
  "")
)</f>
        <v>1</v>
      </c>
      <c r="Q403" cm="1">
        <f t="array" ref="Q403">IFERROR(
  INDEX('GIR Log'!$E$2:$V$73,
    MATCH(1,
      ('GIR Log'!$A$2:$A$73=$A403)*
      ('GIR Log'!$B$2:$B$73=$B403)*
      ('GIR Log'!$C$2:$C$73=$C403),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Log'!$E$2:$V$73,
    MATCH(1,
      ('Golf Log'!$A$2:$A$73=$A404)*
      ('Golf Log'!$B$2:$B$73=$B404)*
      ('Golf Log'!$C$2:$C$73=$C404),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Log'!$E$2:$V$73,
    MATCH(1,
      ('Putt Log'!$A$2:$A$73=$A404)*
      ('Putt Log'!$B$2:$B$73=$B404)*
      ('Putt Log'!$C$2:$C$73=$C404),
    0),
    MATCH($G404,'Putt Log'!$E$1:$V$1,0)
  ),
"")</f>
        <v>2</v>
      </c>
      <c r="P404" cm="1">
        <f t="array" ref="P404">IF(K404=3,"",
  IFERROR(
    INDEX('Fairway Log'!$E$2:$V$73,
      MATCH(1,
        ('Fairway Log'!$A$2:$A$73=$A404)*
        ('Fairway Log'!$B$2:$B$73=$B404)*
        ('Fairway Log'!$C$2:$C475=$C404),
      0),
      MATCH($G404,'Fairway Log'!$E$1:$V$1,0)
    ),
  "")
)</f>
        <v>1</v>
      </c>
      <c r="Q404" cm="1">
        <f t="array" ref="Q404">IFERROR(
  INDEX('GIR Log'!$E$2:$V$73,
    MATCH(1,
      ('GIR Log'!$A$2:$A$73=$A404)*
      ('GIR Log'!$B$2:$B$73=$B404)*
      ('GIR Log'!$C$2:$C$73=$C404),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Log'!$E$2:$V$73,
    MATCH(1,
      ('Golf Log'!$A$2:$A$73=$A405)*
      ('Golf Log'!$B$2:$B$73=$B405)*
      ('Golf Log'!$C$2:$C$73=$C405),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Log'!$E$2:$V$73,
    MATCH(1,
      ('Putt Log'!$A$2:$A$73=$A405)*
      ('Putt Log'!$B$2:$B$73=$B405)*
      ('Putt Log'!$C$2:$C$73=$C405),
    0),
    MATCH($G405,'Putt Log'!$E$1:$V$1,0)
  ),
"")</f>
        <v>2</v>
      </c>
      <c r="P405" t="str" cm="1">
        <f t="array" ref="P405">IF(K405=3,"",
  IFERROR(
    INDEX('Fairway Log'!$E$2:$V$73,
      MATCH(1,
        ('Fairway Log'!$A$2:$A$73=$A405)*
        ('Fairway Log'!$B$2:$B$73=$B405)*
        ('Fairway Log'!$C$2:$C476=$C405),
      0),
      MATCH($G405,'Fairway Log'!$E$1:$V$1,0)
    ),
  "")
)</f>
        <v/>
      </c>
      <c r="Q405" cm="1">
        <f t="array" ref="Q405">IFERROR(
  INDEX('GIR Log'!$E$2:$V$73,
    MATCH(1,
      ('GIR Log'!$A$2:$A$73=$A405)*
      ('GIR Log'!$B$2:$B$73=$B405)*
      ('GIR Log'!$C$2:$C$73=$C405),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Log'!$E$2:$V$73,
    MATCH(1,
      ('Golf Log'!$A$2:$A$73=$A406)*
      ('Golf Log'!$B$2:$B$73=$B406)*
      ('Golf Log'!$C$2:$C$73=$C406),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Log'!$E$2:$V$73,
    MATCH(1,
      ('Putt Log'!$A$2:$A$73=$A406)*
      ('Putt Log'!$B$2:$B$73=$B406)*
      ('Putt Log'!$C$2:$C$73=$C406),
    0),
    MATCH($G406,'Putt Log'!$E$1:$V$1,0)
  ),
"")</f>
        <v>1</v>
      </c>
      <c r="P406" t="str" cm="1">
        <f t="array" ref="P406">IF(K406=3,"",
  IFERROR(
    INDEX('Fairway Log'!$E$2:$V$73,
      MATCH(1,
        ('Fairway Log'!$A$2:$A$73=$A406)*
        ('Fairway Log'!$B$2:$B$73=$B406)*
        ('Fairway Log'!$C$2:$C477=$C406),
      0),
      MATCH($G406,'Fairway Log'!$E$1:$V$1,0)
    ),
  "")
)</f>
        <v>→</v>
      </c>
      <c r="Q406" cm="1">
        <f t="array" ref="Q406">IFERROR(
  INDEX('GIR Log'!$E$2:$V$73,
    MATCH(1,
      ('GIR Log'!$A$2:$A$73=$A406)*
      ('GIR Log'!$B$2:$B$73=$B406)*
      ('GIR Log'!$C$2:$C$73=$C406),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Log'!$E$2:$V$73,
    MATCH(1,
      ('Golf Log'!$A$2:$A$73=$A407)*
      ('Golf Log'!$B$2:$B$73=$B407)*
      ('Golf Log'!$C$2:$C$73=$C407),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Log'!$E$2:$V$73,
    MATCH(1,
      ('Putt Log'!$A$2:$A$73=$A407)*
      ('Putt Log'!$B$2:$B$73=$B407)*
      ('Putt Log'!$C$2:$C$73=$C407),
    0),
    MATCH($G407,'Putt Log'!$E$1:$V$1,0)
  ),
"")</f>
        <v>2</v>
      </c>
      <c r="P407" t="str" cm="1">
        <f t="array" ref="P407">IF(K407=3,"",
  IFERROR(
    INDEX('Fairway Log'!$E$2:$V$73,
      MATCH(1,
        ('Fairway Log'!$A$2:$A$73=$A407)*
        ('Fairway Log'!$B$2:$B$73=$B407)*
        ('Fairway Log'!$C$2:$C478=$C407),
      0),
      MATCH($G407,'Fairway Log'!$E$1:$V$1,0)
    ),
  "")
)</f>
        <v>↑</v>
      </c>
      <c r="Q407" cm="1">
        <f t="array" ref="Q407">IFERROR(
  INDEX('GIR Log'!$E$2:$V$73,
    MATCH(1,
      ('GIR Log'!$A$2:$A$73=$A407)*
      ('GIR Log'!$B$2:$B$73=$B407)*
      ('GIR Log'!$C$2:$C$73=$C407),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Log'!$E$2:$V$73,
    MATCH(1,
      ('Golf Log'!$A$2:$A$73=$A408)*
      ('Golf Log'!$B$2:$B$73=$B408)*
      ('Golf Log'!$C$2:$C$73=$C408),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Log'!$E$2:$V$73,
    MATCH(1,
      ('Putt Log'!$A$2:$A$73=$A408)*
      ('Putt Log'!$B$2:$B$73=$B408)*
      ('Putt Log'!$C$2:$C$73=$C408),
    0),
    MATCH($G408,'Putt Log'!$E$1:$V$1,0)
  ),
"")</f>
        <v>2</v>
      </c>
      <c r="P408" cm="1">
        <f t="array" ref="P408">IF(K408=3,"",
  IFERROR(
    INDEX('Fairway Log'!$E$2:$V$73,
      MATCH(1,
        ('Fairway Log'!$A$2:$A$73=$A408)*
        ('Fairway Log'!$B$2:$B$73=$B408)*
        ('Fairway Log'!$C$2:$C479=$C408),
      0),
      MATCH($G408,'Fairway Log'!$E$1:$V$1,0)
    ),
  "")
)</f>
        <v>1</v>
      </c>
      <c r="Q408" cm="1">
        <f t="array" ref="Q408">IFERROR(
  INDEX('GIR Log'!$E$2:$V$73,
    MATCH(1,
      ('GIR Log'!$A$2:$A$73=$A408)*
      ('GIR Log'!$B$2:$B$73=$B408)*
      ('GIR Log'!$C$2:$C$73=$C408),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Log'!$E$2:$V$73,
    MATCH(1,
      ('Golf Log'!$A$2:$A$73=$A409)*
      ('Golf Log'!$B$2:$B$73=$B409)*
      ('Golf Log'!$C$2:$C$73=$C409),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Log'!$E$2:$V$73,
    MATCH(1,
      ('Putt Log'!$A$2:$A$73=$A409)*
      ('Putt Log'!$B$2:$B$73=$B409)*
      ('Putt Log'!$C$2:$C$73=$C409),
    0),
    MATCH($G409,'Putt Log'!$E$1:$V$1,0)
  ),
"")</f>
        <v>2</v>
      </c>
      <c r="P409" t="str" cm="1">
        <f t="array" ref="P409">IF(K409=3,"",
  IFERROR(
    INDEX('Fairway Log'!$E$2:$V$73,
      MATCH(1,
        ('Fairway Log'!$A$2:$A$73=$A409)*
        ('Fairway Log'!$B$2:$B$73=$B409)*
        ('Fairway Log'!$C$2:$C480=$C409),
      0),
      MATCH($G409,'Fairway Log'!$E$1:$V$1,0)
    ),
  "")
)</f>
        <v>→</v>
      </c>
      <c r="Q409" cm="1">
        <f t="array" ref="Q409">IFERROR(
  INDEX('GIR Log'!$E$2:$V$73,
    MATCH(1,
      ('GIR Log'!$A$2:$A$73=$A409)*
      ('GIR Log'!$B$2:$B$73=$B409)*
      ('GIR Log'!$C$2:$C$73=$C409),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Log'!$E$2:$V$73,
    MATCH(1,
      ('Golf Log'!$A$2:$A$73=$A410)*
      ('Golf Log'!$B$2:$B$73=$B410)*
      ('Golf Log'!$C$2:$C$73=$C410),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Log'!$E$2:$V$73,
    MATCH(1,
      ('Putt Log'!$A$2:$A$73=$A410)*
      ('Putt Log'!$B$2:$B$73=$B410)*
      ('Putt Log'!$C$2:$C$73=$C410),
    0),
    MATCH($G410,'Putt Log'!$E$1:$V$1,0)
  ),
"")</f>
        <v>2</v>
      </c>
      <c r="P410" t="str" cm="1">
        <f t="array" ref="P410">IF(K410=3,"",
  IFERROR(
    INDEX('Fairway Log'!$E$2:$V$73,
      MATCH(1,
        ('Fairway Log'!$A$2:$A$73=$A410)*
        ('Fairway Log'!$B$2:$B$73=$B410)*
        ('Fairway Log'!$C$2:$C481=$C410),
      0),
      MATCH($G410,'Fairway Log'!$E$1:$V$1,0)
    ),
  "")
)</f>
        <v/>
      </c>
      <c r="Q410" cm="1">
        <f t="array" ref="Q410">IFERROR(
  INDEX('GIR Log'!$E$2:$V$73,
    MATCH(1,
      ('GIR Log'!$A$2:$A$73=$A410)*
      ('GIR Log'!$B$2:$B$73=$B410)*
      ('GIR Log'!$C$2:$C$73=$C410),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Log'!$E$2:$V$73,
    MATCH(1,
      ('Golf Log'!$A$2:$A$73=$A411)*
      ('Golf Log'!$B$2:$B$73=$B411)*
      ('Golf Log'!$C$2:$C$73=$C411),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Log'!$E$2:$V$73,
    MATCH(1,
      ('Putt Log'!$A$2:$A$73=$A411)*
      ('Putt Log'!$B$2:$B$73=$B411)*
      ('Putt Log'!$C$2:$C$73=$C411),
    0),
    MATCH($G411,'Putt Log'!$E$1:$V$1,0)
  ),
"")</f>
        <v>2</v>
      </c>
      <c r="P411" t="str" cm="1">
        <f t="array" ref="P411">IF(K411=3,"",
  IFERROR(
    INDEX('Fairway Log'!$E$2:$V$73,
      MATCH(1,
        ('Fairway Log'!$A$2:$A$73=$A411)*
        ('Fairway Log'!$B$2:$B$73=$B411)*
        ('Fairway Log'!$C$2:$C482=$C411),
      0),
      MATCH($G411,'Fairway Log'!$E$1:$V$1,0)
    ),
  "")
)</f>
        <v>→</v>
      </c>
      <c r="Q411" cm="1">
        <f t="array" ref="Q411">IFERROR(
  INDEX('GIR Log'!$E$2:$V$73,
    MATCH(1,
      ('GIR Log'!$A$2:$A$73=$A411)*
      ('GIR Log'!$B$2:$B$73=$B411)*
      ('GIR Log'!$C$2:$C$73=$C411),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Log'!$E$2:$V$73,
    MATCH(1,
      ('Golf Log'!$A$2:$A$73=$A412)*
      ('Golf Log'!$B$2:$B$73=$B412)*
      ('Golf Log'!$C$2:$C$73=$C412),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Log'!$E$2:$V$73,
    MATCH(1,
      ('Putt Log'!$A$2:$A$73=$A412)*
      ('Putt Log'!$B$2:$B$73=$B412)*
      ('Putt Log'!$C$2:$C$73=$C412),
    0),
    MATCH($G412,'Putt Log'!$E$1:$V$1,0)
  ),
"")</f>
        <v>2</v>
      </c>
      <c r="P412" t="str" cm="1">
        <f t="array" ref="P412">IF(K412=3,"",
  IFERROR(
    INDEX('Fairway Log'!$E$2:$V$73,
      MATCH(1,
        ('Fairway Log'!$A$2:$A$73=$A412)*
        ('Fairway Log'!$B$2:$B$73=$B412)*
        ('Fairway Log'!$C$2:$C483=$C412),
      0),
      MATCH($G412,'Fairway Log'!$E$1:$V$1,0)
    ),
  "")
)</f>
        <v>→</v>
      </c>
      <c r="Q412" cm="1">
        <f t="array" ref="Q412">IFERROR(
  INDEX('GIR Log'!$E$2:$V$73,
    MATCH(1,
      ('GIR Log'!$A$2:$A$73=$A412)*
      ('GIR Log'!$B$2:$B$73=$B412)*
      ('GIR Log'!$C$2:$C$73=$C412),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Log'!$E$2:$V$73,
    MATCH(1,
      ('Golf Log'!$A$2:$A$73=$A413)*
      ('Golf Log'!$B$2:$B$73=$B413)*
      ('Golf Log'!$C$2:$C$73=$C413),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Log'!$E$2:$V$73,
    MATCH(1,
      ('Putt Log'!$A$2:$A$73=$A413)*
      ('Putt Log'!$B$2:$B$73=$B413)*
      ('Putt Log'!$C$2:$C$73=$C413),
    0),
    MATCH($G413,'Putt Log'!$E$1:$V$1,0)
  ),
"")</f>
        <v>2</v>
      </c>
      <c r="P413" cm="1">
        <f t="array" ref="P413">IF(K413=3,"",
  IFERROR(
    INDEX('Fairway Log'!$E$2:$V$73,
      MATCH(1,
        ('Fairway Log'!$A$2:$A$73=$A413)*
        ('Fairway Log'!$B$2:$B$73=$B413)*
        ('Fairway Log'!$C$2:$C484=$C413),
      0),
      MATCH($G413,'Fairway Log'!$E$1:$V$1,0)
    ),
  "")
)</f>
        <v>1</v>
      </c>
      <c r="Q413" cm="1">
        <f t="array" ref="Q413">IFERROR(
  INDEX('GIR Log'!$E$2:$V$73,
    MATCH(1,
      ('GIR Log'!$A$2:$A$73=$A413)*
      ('GIR Log'!$B$2:$B$73=$B413)*
      ('GIR Log'!$C$2:$C$73=$C413),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Log'!$E$2:$V$73,
    MATCH(1,
      ('Golf Log'!$A$2:$A$73=$A414)*
      ('Golf Log'!$B$2:$B$73=$B414)*
      ('Golf Log'!$C$2:$C$73=$C414),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Log'!$E$2:$V$73,
    MATCH(1,
      ('Putt Log'!$A$2:$A$73=$A414)*
      ('Putt Log'!$B$2:$B$73=$B414)*
      ('Putt Log'!$C$2:$C$73=$C414),
    0),
    MATCH($G414,'Putt Log'!$E$1:$V$1,0)
  ),
"")</f>
        <v>2</v>
      </c>
      <c r="P414" t="str" cm="1">
        <f t="array" ref="P414">IF(K414=3,"",
  IFERROR(
    INDEX('Fairway Log'!$E$2:$V$73,
      MATCH(1,
        ('Fairway Log'!$A$2:$A$73=$A414)*
        ('Fairway Log'!$B$2:$B$73=$B414)*
        ('Fairway Log'!$C$2:$C485=$C414),
      0),
      MATCH($G414,'Fairway Log'!$E$1:$V$1,0)
    ),
  "")
)</f>
        <v/>
      </c>
      <c r="Q414" cm="1">
        <f t="array" ref="Q414">IFERROR(
  INDEX('GIR Log'!$E$2:$V$73,
    MATCH(1,
      ('GIR Log'!$A$2:$A$73=$A414)*
      ('GIR Log'!$B$2:$B$73=$B414)*
      ('GIR Log'!$C$2:$C$73=$C414),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Log'!$E$2:$V$73,
    MATCH(1,
      ('Golf Log'!$A$2:$A$73=$A415)*
      ('Golf Log'!$B$2:$B$73=$B415)*
      ('Golf Log'!$C$2:$C$73=$C415),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Log'!$E$2:$V$73,
    MATCH(1,
      ('Putt Log'!$A$2:$A$73=$A415)*
      ('Putt Log'!$B$2:$B$73=$B415)*
      ('Putt Log'!$C$2:$C$73=$C415),
    0),
    MATCH($G415,'Putt Log'!$E$1:$V$1,0)
  ),
"")</f>
        <v>2</v>
      </c>
      <c r="P415" cm="1">
        <f t="array" ref="P415">IF(K415=3,"",
  IFERROR(
    INDEX('Fairway Log'!$E$2:$V$73,
      MATCH(1,
        ('Fairway Log'!$A$2:$A$73=$A415)*
        ('Fairway Log'!$B$2:$B$73=$B415)*
        ('Fairway Log'!$C$2:$C486=$C415),
      0),
      MATCH($G415,'Fairway Log'!$E$1:$V$1,0)
    ),
  "")
)</f>
        <v>1</v>
      </c>
      <c r="Q415" cm="1">
        <f t="array" ref="Q415">IFERROR(
  INDEX('GIR Log'!$E$2:$V$73,
    MATCH(1,
      ('GIR Log'!$A$2:$A$73=$A415)*
      ('GIR Log'!$B$2:$B$73=$B415)*
      ('GIR Log'!$C$2:$C$73=$C415),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Log'!$E$2:$V$73,
    MATCH(1,
      ('Golf Log'!$A$2:$A$73=$A416)*
      ('Golf Log'!$B$2:$B$73=$B416)*
      ('Golf Log'!$C$2:$C$73=$C416),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Log'!$E$2:$V$73,
    MATCH(1,
      ('Putt Log'!$A$2:$A$73=$A416)*
      ('Putt Log'!$B$2:$B$73=$B416)*
      ('Putt Log'!$C$2:$C$73=$C416),
    0),
    MATCH($G416,'Putt Log'!$E$1:$V$1,0)
  ),
"")</f>
        <v>2</v>
      </c>
      <c r="P416" t="str" cm="1">
        <f t="array" ref="P416">IF(K416=3,"",
  IFERROR(
    INDEX('Fairway Log'!$E$2:$V$73,
      MATCH(1,
        ('Fairway Log'!$A$2:$A$73=$A416)*
        ('Fairway Log'!$B$2:$B$73=$B416)*
        ('Fairway Log'!$C$2:$C487=$C416),
      0),
      MATCH($G416,'Fairway Log'!$E$1:$V$1,0)
    ),
  "")
)</f>
        <v>→</v>
      </c>
      <c r="Q416" cm="1">
        <f t="array" ref="Q416">IFERROR(
  INDEX('GIR Log'!$E$2:$V$73,
    MATCH(1,
      ('GIR Log'!$A$2:$A$73=$A416)*
      ('GIR Log'!$B$2:$B$73=$B416)*
      ('GIR Log'!$C$2:$C$73=$C416),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Log'!$E$2:$V$73,
    MATCH(1,
      ('Golf Log'!$A$2:$A$73=$A417)*
      ('Golf Log'!$B$2:$B$73=$B417)*
      ('Golf Log'!$C$2:$C$73=$C417),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Log'!$E$2:$V$73,
    MATCH(1,
      ('Putt Log'!$A$2:$A$73=$A417)*
      ('Putt Log'!$B$2:$B$73=$B417)*
      ('Putt Log'!$C$2:$C$73=$C417),
    0),
    MATCH($G417,'Putt Log'!$E$1:$V$1,0)
  ),
"")</f>
        <v>2</v>
      </c>
      <c r="P417" t="str" cm="1">
        <f t="array" ref="P417">IF(K417=3,"",
  IFERROR(
    INDEX('Fairway Log'!$E$2:$V$73,
      MATCH(1,
        ('Fairway Log'!$A$2:$A$73=$A417)*
        ('Fairway Log'!$B$2:$B$73=$B417)*
        ('Fairway Log'!$C$2:$C488=$C417),
      0),
      MATCH($G417,'Fairway Log'!$E$1:$V$1,0)
    ),
  "")
)</f>
        <v>←</v>
      </c>
      <c r="Q417" cm="1">
        <f t="array" ref="Q417">IFERROR(
  INDEX('GIR Log'!$E$2:$V$73,
    MATCH(1,
      ('GIR Log'!$A$2:$A$73=$A417)*
      ('GIR Log'!$B$2:$B$73=$B417)*
      ('GIR Log'!$C$2:$C$73=$C417),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Log'!$E$2:$V$73,
    MATCH(1,
      ('Golf Log'!$A$2:$A$73=$A418)*
      ('Golf Log'!$B$2:$B$73=$B418)*
      ('Golf Log'!$C$2:$C$73=$C418),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Log'!$E$2:$V$73,
    MATCH(1,
      ('Putt Log'!$A$2:$A$73=$A418)*
      ('Putt Log'!$B$2:$B$73=$B418)*
      ('Putt Log'!$C$2:$C$73=$C418),
    0),
    MATCH($G418,'Putt Log'!$E$1:$V$1,0)
  ),
"")</f>
        <v>2</v>
      </c>
      <c r="P418" t="str" cm="1">
        <f t="array" ref="P418">IF(K418=3,"",
  IFERROR(
    INDEX('Fairway Log'!$E$2:$V$73,
      MATCH(1,
        ('Fairway Log'!$A$2:$A$73=$A418)*
        ('Fairway Log'!$B$2:$B$73=$B418)*
        ('Fairway Log'!$C$2:$C489=$C418),
      0),
      MATCH($G418,'Fairway Log'!$E$1:$V$1,0)
    ),
  "")
)</f>
        <v/>
      </c>
      <c r="Q418" cm="1">
        <f t="array" ref="Q418">IFERROR(
  INDEX('GIR Log'!$E$2:$V$73,
    MATCH(1,
      ('GIR Log'!$A$2:$A$73=$A418)*
      ('GIR Log'!$B$2:$B$73=$B418)*
      ('GIR Log'!$C$2:$C$73=$C418),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Log'!$E$2:$V$73,
    MATCH(1,
      ('Golf Log'!$A$2:$A$73=$A419)*
      ('Golf Log'!$B$2:$B$73=$B419)*
      ('Golf Log'!$C$2:$C$73=$C419),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Log'!$E$2:$V$73,
    MATCH(1,
      ('Putt Log'!$A$2:$A$73=$A419)*
      ('Putt Log'!$B$2:$B$73=$B419)*
      ('Putt Log'!$C$2:$C$73=$C419),
    0),
    MATCH($G419,'Putt Log'!$E$1:$V$1,0)
  ),
"")</f>
        <v>1</v>
      </c>
      <c r="P419" cm="1">
        <f t="array" ref="P419">IF(K419=3,"",
  IFERROR(
    INDEX('Fairway Log'!$E$2:$V$73,
      MATCH(1,
        ('Fairway Log'!$A$2:$A$73=$A419)*
        ('Fairway Log'!$B$2:$B$73=$B419)*
        ('Fairway Log'!$C$2:$C490=$C419),
      0),
      MATCH($G419,'Fairway Log'!$E$1:$V$1,0)
    ),
  "")
)</f>
        <v>1</v>
      </c>
      <c r="Q419" cm="1">
        <f t="array" ref="Q419">IFERROR(
  INDEX('GIR Log'!$E$2:$V$73,
    MATCH(1,
      ('GIR Log'!$A$2:$A$73=$A419)*
      ('GIR Log'!$B$2:$B$73=$B419)*
      ('GIR Log'!$C$2:$C$73=$C419),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Log'!$E$2:$V$73,
    MATCH(1,
      ('Golf Log'!$A$2:$A$73=$A420)*
      ('Golf Log'!$B$2:$B$73=$B420)*
      ('Golf Log'!$C$2:$C$73=$C420),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Log'!$E$2:$V$73,
    MATCH(1,
      ('Putt Log'!$A$2:$A$73=$A420)*
      ('Putt Log'!$B$2:$B$73=$B420)*
      ('Putt Log'!$C$2:$C$73=$C420),
    0),
    MATCH($G420,'Putt Log'!$E$1:$V$1,0)
  ),
"")</f>
        <v>2</v>
      </c>
      <c r="P420" t="str" cm="1">
        <f t="array" ref="P420">IF(K420=3,"",
  IFERROR(
    INDEX('Fairway Log'!$E$2:$V$73,
      MATCH(1,
        ('Fairway Log'!$A$2:$A$73=$A420)*
        ('Fairway Log'!$B$2:$B$73=$B420)*
        ('Fairway Log'!$C$2:$C491=$C420),
      0),
      MATCH($G420,'Fairway Log'!$E$1:$V$1,0)
    ),
  "")
)</f>
        <v>→</v>
      </c>
      <c r="Q420" cm="1">
        <f t="array" ref="Q420">IFERROR(
  INDEX('GIR Log'!$E$2:$V$73,
    MATCH(1,
      ('GIR Log'!$A$2:$A$73=$A420)*
      ('GIR Log'!$B$2:$B$73=$B420)*
      ('GIR Log'!$C$2:$C$73=$C420),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Log'!$E$2:$V$73,
    MATCH(1,
      ('Golf Log'!$A$2:$A$73=$A421)*
      ('Golf Log'!$B$2:$B$73=$B421)*
      ('Golf Log'!$C$2:$C$73=$C421),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Log'!$E$2:$V$73,
    MATCH(1,
      ('Putt Log'!$A$2:$A$73=$A421)*
      ('Putt Log'!$B$2:$B$73=$B421)*
      ('Putt Log'!$C$2:$C$73=$C421),
    0),
    MATCH($G421,'Putt Log'!$E$1:$V$1,0)
  ),
"")</f>
        <v>1</v>
      </c>
      <c r="P421" cm="1">
        <f t="array" ref="P421">IF(K421=3,"",
  IFERROR(
    INDEX('Fairway Log'!$E$2:$V$73,
      MATCH(1,
        ('Fairway Log'!$A$2:$A$73=$A421)*
        ('Fairway Log'!$B$2:$B$73=$B421)*
        ('Fairway Log'!$C$2:$C492=$C421),
      0),
      MATCH($G421,'Fairway Log'!$E$1:$V$1,0)
    ),
  "")
)</f>
        <v>1</v>
      </c>
      <c r="Q421" cm="1">
        <f t="array" ref="Q421">IFERROR(
  INDEX('GIR Log'!$E$2:$V$73,
    MATCH(1,
      ('GIR Log'!$A$2:$A$73=$A421)*
      ('GIR Log'!$B$2:$B$73=$B421)*
      ('GIR Log'!$C$2:$C$73=$C421),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Log'!$E$2:$V$73,
    MATCH(1,
      ('Golf Log'!$A$2:$A$73=$A422)*
      ('Golf Log'!$B$2:$B$73=$B422)*
      ('Golf Log'!$C$2:$C$73=$C422),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Log'!$E$2:$V$73,
    MATCH(1,
      ('Putt Log'!$A$2:$A$73=$A422)*
      ('Putt Log'!$B$2:$B$73=$B422)*
      ('Putt Log'!$C$2:$C$73=$C422),
    0),
    MATCH($G422,'Putt Log'!$E$1:$V$1,0)
  ),
"")</f>
        <v>2</v>
      </c>
      <c r="P422" cm="1">
        <f t="array" ref="P422">IF(K422=3,"",
  IFERROR(
    INDEX('Fairway Log'!$E$2:$V$73,
      MATCH(1,
        ('Fairway Log'!$A$2:$A$73=$A422)*
        ('Fairway Log'!$B$2:$B$73=$B422)*
        ('Fairway Log'!$C$2:$C493=$C422),
      0),
      MATCH($G422,'Fairway Log'!$E$1:$V$1,0)
    ),
  "")
)</f>
        <v>1</v>
      </c>
      <c r="Q422" cm="1">
        <f t="array" ref="Q422">IFERROR(
  INDEX('GIR Log'!$E$2:$V$73,
    MATCH(1,
      ('GIR Log'!$A$2:$A$73=$A422)*
      ('GIR Log'!$B$2:$B$73=$B422)*
      ('GIR Log'!$C$2:$C$73=$C422),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Log'!$E$2:$V$73,
    MATCH(1,
      ('Golf Log'!$A$2:$A$73=$A423)*
      ('Golf Log'!$B$2:$B$73=$B423)*
      ('Golf Log'!$C$2:$C$73=$C423),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Log'!$E$2:$V$73,
    MATCH(1,
      ('Putt Log'!$A$2:$A$73=$A423)*
      ('Putt Log'!$B$2:$B$73=$B423)*
      ('Putt Log'!$C$2:$C$73=$C423),
    0),
    MATCH($G423,'Putt Log'!$E$1:$V$1,0)
  ),
"")</f>
        <v>2</v>
      </c>
      <c r="P423" t="str" cm="1">
        <f t="array" ref="P423">IF(K423=3,"",
  IFERROR(
    INDEX('Fairway Log'!$E$2:$V$73,
      MATCH(1,
        ('Fairway Log'!$A$2:$A$73=$A423)*
        ('Fairway Log'!$B$2:$B$73=$B423)*
        ('Fairway Log'!$C$2:$C494=$C423),
      0),
      MATCH($G423,'Fairway Log'!$E$1:$V$1,0)
    ),
  "")
)</f>
        <v/>
      </c>
      <c r="Q423" cm="1">
        <f t="array" ref="Q423">IFERROR(
  INDEX('GIR Log'!$E$2:$V$73,
    MATCH(1,
      ('GIR Log'!$A$2:$A$73=$A423)*
      ('GIR Log'!$B$2:$B$73=$B423)*
      ('GIR Log'!$C$2:$C$73=$C423),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Log'!$E$2:$V$73,
    MATCH(1,
      ('Golf Log'!$A$2:$A$73=$A424)*
      ('Golf Log'!$B$2:$B$73=$B424)*
      ('Golf Log'!$C$2:$C$73=$C424),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Log'!$E$2:$V$73,
    MATCH(1,
      ('Putt Log'!$A$2:$A$73=$A424)*
      ('Putt Log'!$B$2:$B$73=$B424)*
      ('Putt Log'!$C$2:$C$73=$C424),
    0),
    MATCH($G424,'Putt Log'!$E$1:$V$1,0)
  ),
"")</f>
        <v>3</v>
      </c>
      <c r="P424" cm="1">
        <f t="array" ref="P424">IF(K424=3,"",
  IFERROR(
    INDEX('Fairway Log'!$E$2:$V$73,
      MATCH(1,
        ('Fairway Log'!$A$2:$A$73=$A424)*
        ('Fairway Log'!$B$2:$B$73=$B424)*
        ('Fairway Log'!$C$2:$C495=$C424),
      0),
      MATCH($G424,'Fairway Log'!$E$1:$V$1,0)
    ),
  "")
)</f>
        <v>1</v>
      </c>
      <c r="Q424" cm="1">
        <f t="array" ref="Q424">IFERROR(
  INDEX('GIR Log'!$E$2:$V$73,
    MATCH(1,
      ('GIR Log'!$A$2:$A$73=$A424)*
      ('GIR Log'!$B$2:$B$73=$B424)*
      ('GIR Log'!$C$2:$C$73=$C424),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Log'!$E$2:$V$73,
    MATCH(1,
      ('Golf Log'!$A$2:$A$73=$A425)*
      ('Golf Log'!$B$2:$B$73=$B425)*
      ('Golf Log'!$C$2:$C$73=$C425),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Log'!$E$2:$V$73,
    MATCH(1,
      ('Putt Log'!$A$2:$A$73=$A425)*
      ('Putt Log'!$B$2:$B$73=$B425)*
      ('Putt Log'!$C$2:$C$73=$C425),
    0),
    MATCH($G425,'Putt Log'!$E$1:$V$1,0)
  ),
"")</f>
        <v>2</v>
      </c>
      <c r="P425" t="str" cm="1">
        <f t="array" ref="P425">IF(K425=3,"",
  IFERROR(
    INDEX('Fairway Log'!$E$2:$V$73,
      MATCH(1,
        ('Fairway Log'!$A$2:$A$73=$A425)*
        ('Fairway Log'!$B$2:$B$73=$B425)*
        ('Fairway Log'!$C$2:$C496=$C425),
      0),
      MATCH($G425,'Fairway Log'!$E$1:$V$1,0)
    ),
  "")
)</f>
        <v>→</v>
      </c>
      <c r="Q425" cm="1">
        <f t="array" ref="Q425">IFERROR(
  INDEX('GIR Log'!$E$2:$V$73,
    MATCH(1,
      ('GIR Log'!$A$2:$A$73=$A425)*
      ('GIR Log'!$B$2:$B$73=$B425)*
      ('GIR Log'!$C$2:$C$73=$C425),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Log'!$E$2:$V$73,
    MATCH(1,
      ('Golf Log'!$A$2:$A$73=$A426)*
      ('Golf Log'!$B$2:$B$73=$B426)*
      ('Golf Log'!$C$2:$C$73=$C426),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Log'!$E$2:$V$73,
    MATCH(1,
      ('Putt Log'!$A$2:$A$73=$A426)*
      ('Putt Log'!$B$2:$B$73=$B426)*
      ('Putt Log'!$C$2:$C$73=$C426),
    0),
    MATCH($G426,'Putt Log'!$E$1:$V$1,0)
  ),
"")</f>
        <v>2</v>
      </c>
      <c r="P426" t="str" cm="1">
        <f t="array" ref="P426">IF(K426=3,"",
  IFERROR(
    INDEX('Fairway Log'!$E$2:$V$73,
      MATCH(1,
        ('Fairway Log'!$A$2:$A$73=$A426)*
        ('Fairway Log'!$B$2:$B$73=$B426)*
        ('Fairway Log'!$C$2:$C497=$C426),
      0),
      MATCH($G426,'Fairway Log'!$E$1:$V$1,0)
    ),
  "")
)</f>
        <v>→</v>
      </c>
      <c r="Q426" cm="1">
        <f t="array" ref="Q426">IFERROR(
  INDEX('GIR Log'!$E$2:$V$73,
    MATCH(1,
      ('GIR Log'!$A$2:$A$73=$A426)*
      ('GIR Log'!$B$2:$B$73=$B426)*
      ('GIR Log'!$C$2:$C$73=$C426),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Log'!$E$2:$V$73,
    MATCH(1,
      ('Golf Log'!$A$2:$A$73=$A427)*
      ('Golf Log'!$B$2:$B$73=$B427)*
      ('Golf Log'!$C$2:$C$73=$C427),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Log'!$E$2:$V$73,
    MATCH(1,
      ('Putt Log'!$A$2:$A$73=$A427)*
      ('Putt Log'!$B$2:$B$73=$B427)*
      ('Putt Log'!$C$2:$C$73=$C427),
    0),
    MATCH($G427,'Putt Log'!$E$1:$V$1,0)
  ),
"")</f>
        <v>2</v>
      </c>
      <c r="P427" cm="1">
        <f t="array" ref="P427">IF(K427=3,"",
  IFERROR(
    INDEX('Fairway Log'!$E$2:$V$73,
      MATCH(1,
        ('Fairway Log'!$A$2:$A$73=$A427)*
        ('Fairway Log'!$B$2:$B$73=$B427)*
        ('Fairway Log'!$C$2:$C498=$C427),
      0),
      MATCH($G427,'Fairway Log'!$E$1:$V$1,0)
    ),
  "")
)</f>
        <v>1</v>
      </c>
      <c r="Q427" cm="1">
        <f t="array" ref="Q427">IFERROR(
  INDEX('GIR Log'!$E$2:$V$73,
    MATCH(1,
      ('GIR Log'!$A$2:$A$73=$A427)*
      ('GIR Log'!$B$2:$B$73=$B427)*
      ('GIR Log'!$C$2:$C$73=$C427),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Log'!$E$2:$V$73,
    MATCH(1,
      ('Golf Log'!$A$2:$A$73=$A428)*
      ('Golf Log'!$B$2:$B$73=$B428)*
      ('Golf Log'!$C$2:$C$73=$C428),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Log'!$E$2:$V$73,
    MATCH(1,
      ('Putt Log'!$A$2:$A$73=$A428)*
      ('Putt Log'!$B$2:$B$73=$B428)*
      ('Putt Log'!$C$2:$C$73=$C428),
    0),
    MATCH($G428,'Putt Log'!$E$1:$V$1,0)
  ),
"")</f>
        <v>1</v>
      </c>
      <c r="P428" cm="1">
        <f t="array" ref="P428">IF(K428=3,"",
  IFERROR(
    INDEX('Fairway Log'!$E$2:$V$73,
      MATCH(1,
        ('Fairway Log'!$A$2:$A$73=$A428)*
        ('Fairway Log'!$B$2:$B$73=$B428)*
        ('Fairway Log'!$C$2:$C499=$C428),
      0),
      MATCH($G428,'Fairway Log'!$E$1:$V$1,0)
    ),
  "")
)</f>
        <v>1</v>
      </c>
      <c r="Q428" cm="1">
        <f t="array" ref="Q428">IFERROR(
  INDEX('GIR Log'!$E$2:$V$73,
    MATCH(1,
      ('GIR Log'!$A$2:$A$73=$A428)*
      ('GIR Log'!$B$2:$B$73=$B428)*
      ('GIR Log'!$C$2:$C$73=$C428),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Log'!$E$2:$V$73,
    MATCH(1,
      ('Golf Log'!$A$2:$A$73=$A429)*
      ('Golf Log'!$B$2:$B$73=$B429)*
      ('Golf Log'!$C$2:$C$73=$C429),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Log'!$E$2:$V$73,
    MATCH(1,
      ('Putt Log'!$A$2:$A$73=$A429)*
      ('Putt Log'!$B$2:$B$73=$B429)*
      ('Putt Log'!$C$2:$C$73=$C429),
    0),
    MATCH($G429,'Putt Log'!$E$1:$V$1,0)
  ),
"")</f>
        <v>1</v>
      </c>
      <c r="P429" t="str" cm="1">
        <f t="array" ref="P429">IF(K429=3,"",
  IFERROR(
    INDEX('Fairway Log'!$E$2:$V$73,
      MATCH(1,
        ('Fairway Log'!$A$2:$A$73=$A429)*
        ('Fairway Log'!$B$2:$B$73=$B429)*
        ('Fairway Log'!$C$2:$C500=$C429),
      0),
      MATCH($G429,'Fairway Log'!$E$1:$V$1,0)
    ),
  "")
)</f>
        <v/>
      </c>
      <c r="Q429" cm="1">
        <f t="array" ref="Q429">IFERROR(
  INDEX('GIR Log'!$E$2:$V$73,
    MATCH(1,
      ('GIR Log'!$A$2:$A$73=$A429)*
      ('GIR Log'!$B$2:$B$73=$B429)*
      ('GIR Log'!$C$2:$C$73=$C429),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Log'!$E$2:$V$73,
    MATCH(1,
      ('Golf Log'!$A$2:$A$73=$A430)*
      ('Golf Log'!$B$2:$B$73=$B430)*
      ('Golf Log'!$C$2:$C$73=$C430),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Log'!$E$2:$V$73,
    MATCH(1,
      ('Putt Log'!$A$2:$A$73=$A430)*
      ('Putt Log'!$B$2:$B$73=$B430)*
      ('Putt Log'!$C$2:$C$73=$C430),
    0),
    MATCH($G430,'Putt Log'!$E$1:$V$1,0)
  ),
"")</f>
        <v>1</v>
      </c>
      <c r="P430" t="str" cm="1">
        <f t="array" ref="P430">IF(K430=3,"",
  IFERROR(
    INDEX('Fairway Log'!$E$2:$V$73,
      MATCH(1,
        ('Fairway Log'!$A$2:$A$73=$A430)*
        ('Fairway Log'!$B$2:$B$73=$B430)*
        ('Fairway Log'!$C$2:$C501=$C430),
      0),
      MATCH($G430,'Fairway Log'!$E$1:$V$1,0)
    ),
  "")
)</f>
        <v>→</v>
      </c>
      <c r="Q430" cm="1">
        <f t="array" ref="Q430">IFERROR(
  INDEX('GIR Log'!$E$2:$V$73,
    MATCH(1,
      ('GIR Log'!$A$2:$A$73=$A430)*
      ('GIR Log'!$B$2:$B$73=$B430)*
      ('GIR Log'!$C$2:$C$73=$C430),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Log'!$E$2:$V$73,
    MATCH(1,
      ('Golf Log'!$A$2:$A$73=$A431)*
      ('Golf Log'!$B$2:$B$73=$B431)*
      ('Golf Log'!$C$2:$C$73=$C431),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Log'!$E$2:$V$73,
    MATCH(1,
      ('Putt Log'!$A$2:$A$73=$A431)*
      ('Putt Log'!$B$2:$B$73=$B431)*
      ('Putt Log'!$C$2:$C$73=$C431),
    0),
    MATCH($G431,'Putt Log'!$E$1:$V$1,0)
  ),
"")</f>
        <v>1</v>
      </c>
      <c r="P431" cm="1">
        <f t="array" ref="P431">IF(K431=3,"",
  IFERROR(
    INDEX('Fairway Log'!$E$2:$V$73,
      MATCH(1,
        ('Fairway Log'!$A$2:$A$73=$A431)*
        ('Fairway Log'!$B$2:$B$73=$B431)*
        ('Fairway Log'!$C$2:$C502=$C431),
      0),
      MATCH($G431,'Fairway Log'!$E$1:$V$1,0)
    ),
  "")
)</f>
        <v>1</v>
      </c>
      <c r="Q431" cm="1">
        <f t="array" ref="Q431">IFERROR(
  INDEX('GIR Log'!$E$2:$V$73,
    MATCH(1,
      ('GIR Log'!$A$2:$A$73=$A431)*
      ('GIR Log'!$B$2:$B$73=$B431)*
      ('GIR Log'!$C$2:$C$73=$C431),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Log'!$E$2:$V$73,
    MATCH(1,
      ('Golf Log'!$A$2:$A$73=$A432)*
      ('Golf Log'!$B$2:$B$73=$B432)*
      ('Golf Log'!$C$2:$C$73=$C432),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Log'!$E$2:$V$73,
    MATCH(1,
      ('Putt Log'!$A$2:$A$73=$A432)*
      ('Putt Log'!$B$2:$B$73=$B432)*
      ('Putt Log'!$C$2:$C$73=$C432),
    0),
    MATCH($G432,'Putt Log'!$E$1:$V$1,0)
  ),
"")</f>
        <v>3</v>
      </c>
      <c r="P432" t="str" cm="1">
        <f t="array" ref="P432">IF(K432=3,"",
  IFERROR(
    INDEX('Fairway Log'!$E$2:$V$73,
      MATCH(1,
        ('Fairway Log'!$A$2:$A$73=$A432)*
        ('Fairway Log'!$B$2:$B$73=$B432)*
        ('Fairway Log'!$C$2:$C503=$C432),
      0),
      MATCH($G432,'Fairway Log'!$E$1:$V$1,0)
    ),
  "")
)</f>
        <v/>
      </c>
      <c r="Q432" cm="1">
        <f t="array" ref="Q432">IFERROR(
  INDEX('GIR Log'!$E$2:$V$73,
    MATCH(1,
      ('GIR Log'!$A$2:$A$73=$A432)*
      ('GIR Log'!$B$2:$B$73=$B432)*
      ('GIR Log'!$C$2:$C$73=$C432),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Log'!$E$2:$V$73,
    MATCH(1,
      ('Golf Log'!$A$2:$A$73=$A433)*
      ('Golf Log'!$B$2:$B$73=$B433)*
      ('Golf Log'!$C$2:$C$73=$C433),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Log'!$E$2:$V$73,
    MATCH(1,
      ('Putt Log'!$A$2:$A$73=$A433)*
      ('Putt Log'!$B$2:$B$73=$B433)*
      ('Putt Log'!$C$2:$C$73=$C433),
    0),
    MATCH($G433,'Putt Log'!$E$1:$V$1,0)
  ),
"")</f>
        <v>2</v>
      </c>
      <c r="P433" cm="1">
        <f t="array" ref="P433">IF(K433=3,"",
  IFERROR(
    INDEX('Fairway Log'!$E$2:$V$73,
      MATCH(1,
        ('Fairway Log'!$A$2:$A$73=$A433)*
        ('Fairway Log'!$B$2:$B$73=$B433)*
        ('Fairway Log'!$C$2:$C504=$C433),
      0),
      MATCH($G433,'Fairway Log'!$E$1:$V$1,0)
    ),
  "")
)</f>
        <v>1</v>
      </c>
      <c r="Q433" cm="1">
        <f t="array" ref="Q433">IFERROR(
  INDEX('GIR Log'!$E$2:$V$73,
    MATCH(1,
      ('GIR Log'!$A$2:$A$73=$A433)*
      ('GIR Log'!$B$2:$B$73=$B433)*
      ('GIR Log'!$C$2:$C$73=$C433),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Log'!$E$2:$V$73,
    MATCH(1,
      ('Golf Log'!$A$2:$A$73=$A434)*
      ('Golf Log'!$B$2:$B$73=$B434)*
      ('Golf Log'!$C$2:$C$73=$C434),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Log'!$E$2:$V$73,
    MATCH(1,
      ('Putt Log'!$A$2:$A$73=$A434)*
      ('Putt Log'!$B$2:$B$73=$B434)*
      ('Putt Log'!$C$2:$C$73=$C434),
    0),
    MATCH($G434,'Putt Log'!$E$1:$V$1,0)
  ),
"")</f>
        <v>2</v>
      </c>
      <c r="P434" cm="1">
        <f t="array" ref="P434">IF(K434=3,"",
  IFERROR(
    INDEX('Fairway Log'!$E$2:$V$73,
      MATCH(1,
        ('Fairway Log'!$A$2:$A$73=$A434)*
        ('Fairway Log'!$B$2:$B$73=$B434)*
        ('Fairway Log'!$C$2:$C505=$C434),
      0),
      MATCH($G434,'Fairway Log'!$E$1:$V$1,0)
    ),
  "")
)</f>
        <v>1</v>
      </c>
      <c r="Q434" cm="1">
        <f t="array" ref="Q434">IFERROR(
  INDEX('GIR Log'!$E$2:$V$73,
    MATCH(1,
      ('GIR Log'!$A$2:$A$73=$A434)*
      ('GIR Log'!$B$2:$B$73=$B434)*
      ('GIR Log'!$C$2:$C$73=$C434),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Log'!$E$2:$V$73,
    MATCH(1,
      ('Golf Log'!$A$2:$A$73=$A435)*
      ('Golf Log'!$B$2:$B$73=$B435)*
      ('Golf Log'!$C$2:$C$73=$C435),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Log'!$E$2:$V$73,
    MATCH(1,
      ('Putt Log'!$A$2:$A$73=$A435)*
      ('Putt Log'!$B$2:$B$73=$B435)*
      ('Putt Log'!$C$2:$C$73=$C435),
    0),
    MATCH($G435,'Putt Log'!$E$1:$V$1,0)
  ),
"")</f>
        <v>3</v>
      </c>
      <c r="P435" t="str" cm="1">
        <f t="array" ref="P435">IF(K435=3,"",
  IFERROR(
    INDEX('Fairway Log'!$E$2:$V$73,
      MATCH(1,
        ('Fairway Log'!$A$2:$A$73=$A435)*
        ('Fairway Log'!$B$2:$B$73=$B435)*
        ('Fairway Log'!$C$2:$C506=$C435),
      0),
      MATCH($G435,'Fairway Log'!$E$1:$V$1,0)
    ),
  "")
)</f>
        <v>→</v>
      </c>
      <c r="Q435" cm="1">
        <f t="array" ref="Q435">IFERROR(
  INDEX('GIR Log'!$E$2:$V$73,
    MATCH(1,
      ('GIR Log'!$A$2:$A$73=$A435)*
      ('GIR Log'!$B$2:$B$73=$B435)*
      ('GIR Log'!$C$2:$C$73=$C435),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Log'!$E$2:$V$73,
    MATCH(1,
      ('Golf Log'!$A$2:$A$73=$A436)*
      ('Golf Log'!$B$2:$B$73=$B436)*
      ('Golf Log'!$C$2:$C$73=$C436),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Log'!$E$2:$V$73,
    MATCH(1,
      ('Putt Log'!$A$2:$A$73=$A436)*
      ('Putt Log'!$B$2:$B$73=$B436)*
      ('Putt Log'!$C$2:$C$73=$C436),
    0),
    MATCH($G436,'Putt Log'!$E$1:$V$1,0)
  ),
"")</f>
        <v>2</v>
      </c>
      <c r="P436" cm="1">
        <f t="array" ref="P436">IF(K436=3,"",
  IFERROR(
    INDEX('Fairway Log'!$E$2:$V$73,
      MATCH(1,
        ('Fairway Log'!$A$2:$A$73=$A436)*
        ('Fairway Log'!$B$2:$B$73=$B436)*
        ('Fairway Log'!$C$2:$C507=$C436),
      0),
      MATCH($G436,'Fairway Log'!$E$1:$V$1,0)
    ),
  "")
)</f>
        <v>1</v>
      </c>
      <c r="Q436" cm="1">
        <f t="array" ref="Q436">IFERROR(
  INDEX('GIR Log'!$E$2:$V$73,
    MATCH(1,
      ('GIR Log'!$A$2:$A$73=$A436)*
      ('GIR Log'!$B$2:$B$73=$B436)*
      ('GIR Log'!$C$2:$C$73=$C436),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Log'!$E$2:$V$73,
    MATCH(1,
      ('Golf Log'!$A$2:$A$73=$A437)*
      ('Golf Log'!$B$2:$B$73=$B437)*
      ('Golf Log'!$C$2:$C$73=$C437),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Log'!$E$2:$V$73,
    MATCH(1,
      ('Putt Log'!$A$2:$A$73=$A437)*
      ('Putt Log'!$B$2:$B$73=$B437)*
      ('Putt Log'!$C$2:$C$73=$C437),
    0),
    MATCH($G437,'Putt Log'!$E$1:$V$1,0)
  ),
"")</f>
        <v>2</v>
      </c>
      <c r="P437" t="str" cm="1">
        <f t="array" ref="P437">IF(K437=3,"",
  IFERROR(
    INDEX('Fairway Log'!$E$2:$V$73,
      MATCH(1,
        ('Fairway Log'!$A$2:$A$73=$A437)*
        ('Fairway Log'!$B$2:$B$73=$B437)*
        ('Fairway Log'!$C$2:$C508=$C437),
      0),
      MATCH($G437,'Fairway Log'!$E$1:$V$1,0)
    ),
  "")
)</f>
        <v/>
      </c>
      <c r="Q437" cm="1">
        <f t="array" ref="Q437">IFERROR(
  INDEX('GIR Log'!$E$2:$V$73,
    MATCH(1,
      ('GIR Log'!$A$2:$A$73=$A437)*
      ('GIR Log'!$B$2:$B$73=$B437)*
      ('GIR Log'!$C$2:$C$73=$C437),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Log'!$E$2:$V$73,
    MATCH(1,
      ('Golf Log'!$A$2:$A$73=$A438)*
      ('Golf Log'!$B$2:$B$73=$B438)*
      ('Golf Log'!$C$2:$C$73=$C438),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Log'!$E$2:$V$73,
    MATCH(1,
      ('Putt Log'!$A$2:$A$73=$A438)*
      ('Putt Log'!$B$2:$B$73=$B438)*
      ('Putt Log'!$C$2:$C$73=$C438),
    0),
    MATCH($G438,'Putt Log'!$E$1:$V$1,0)
  ),
"")</f>
        <v>2</v>
      </c>
      <c r="P438" t="str" cm="1">
        <f t="array" ref="P438">IF(K438=3,"",
  IFERROR(
    INDEX('Fairway Log'!$E$2:$V$73,
      MATCH(1,
        ('Fairway Log'!$A$2:$A$73=$A438)*
        ('Fairway Log'!$B$2:$B$73=$B438)*
        ('Fairway Log'!$C$2:$C509=$C438),
      0),
      MATCH($G438,'Fairway Log'!$E$1:$V$1,0)
    ),
  "")
)</f>
        <v>←</v>
      </c>
      <c r="Q438" cm="1">
        <f t="array" ref="Q438">IFERROR(
  INDEX('GIR Log'!$E$2:$V$73,
    MATCH(1,
      ('GIR Log'!$A$2:$A$73=$A438)*
      ('GIR Log'!$B$2:$B$73=$B438)*
      ('GIR Log'!$C$2:$C$73=$C438),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Log'!$E$2:$V$73,
    MATCH(1,
      ('Golf Log'!$A$2:$A$73=$A439)*
      ('Golf Log'!$B$2:$B$73=$B439)*
      ('Golf Log'!$C$2:$C$73=$C439),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Log'!$E$2:$V$73,
    MATCH(1,
      ('Putt Log'!$A$2:$A$73=$A439)*
      ('Putt Log'!$B$2:$B$73=$B439)*
      ('Putt Log'!$C$2:$C$73=$C439),
    0),
    MATCH($G439,'Putt Log'!$E$1:$V$1,0)
  ),
"")</f>
        <v>3</v>
      </c>
      <c r="P439" cm="1">
        <f t="array" ref="P439">IF(K439=3,"",
  IFERROR(
    INDEX('Fairway Log'!$E$2:$V$73,
      MATCH(1,
        ('Fairway Log'!$A$2:$A$73=$A439)*
        ('Fairway Log'!$B$2:$B$73=$B439)*
        ('Fairway Log'!$C$2:$C510=$C439),
      0),
      MATCH($G439,'Fairway Log'!$E$1:$V$1,0)
    ),
  "")
)</f>
        <v>1</v>
      </c>
      <c r="Q439" cm="1">
        <f t="array" ref="Q439">IFERROR(
  INDEX('GIR Log'!$E$2:$V$73,
    MATCH(1,
      ('GIR Log'!$A$2:$A$73=$A439)*
      ('GIR Log'!$B$2:$B$73=$B439)*
      ('GIR Log'!$C$2:$C$73=$C439),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Log'!$E$2:$V$73,
    MATCH(1,
      ('Golf Log'!$A$2:$A$73=$A440)*
      ('Golf Log'!$B$2:$B$73=$B440)*
      ('Golf Log'!$C$2:$C$73=$C440),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Log'!$E$2:$V$73,
    MATCH(1,
      ('Putt Log'!$A$2:$A$73=$A440)*
      ('Putt Log'!$B$2:$B$73=$B440)*
      ('Putt Log'!$C$2:$C$73=$C440),
    0),
    MATCH($G440,'Putt Log'!$E$1:$V$1,0)
  ),
"")</f>
        <v>3</v>
      </c>
      <c r="P440" t="str" cm="1">
        <f t="array" ref="P440">IF(K440=3,"",
  IFERROR(
    INDEX('Fairway Log'!$E$2:$V$73,
      MATCH(1,
        ('Fairway Log'!$A$2:$A$73=$A440)*
        ('Fairway Log'!$B$2:$B$73=$B440)*
        ('Fairway Log'!$C$2:$C511=$C440),
      0),
      MATCH($G440,'Fairway Log'!$E$1:$V$1,0)
    ),
  "")
)</f>
        <v/>
      </c>
      <c r="Q440" cm="1">
        <f t="array" ref="Q440">IFERROR(
  INDEX('GIR Log'!$E$2:$V$73,
    MATCH(1,
      ('GIR Log'!$A$2:$A$73=$A440)*
      ('GIR Log'!$B$2:$B$73=$B440)*
      ('GIR Log'!$C$2:$C$73=$C440),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Log'!$E$2:$V$73,
    MATCH(1,
      ('Golf Log'!$A$2:$A$73=$A441)*
      ('Golf Log'!$B$2:$B$73=$B441)*
      ('Golf Log'!$C$2:$C$73=$C441),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Log'!$E$2:$V$73,
    MATCH(1,
      ('Putt Log'!$A$2:$A$73=$A441)*
      ('Putt Log'!$B$2:$B$73=$B441)*
      ('Putt Log'!$C$2:$C$73=$C441),
    0),
    MATCH($G441,'Putt Log'!$E$1:$V$1,0)
  ),
"")</f>
        <v>2</v>
      </c>
      <c r="P441" t="str" cm="1">
        <f t="array" ref="P441">IF(K441=3,"",
  IFERROR(
    INDEX('Fairway Log'!$E$2:$V$73,
      MATCH(1,
        ('Fairway Log'!$A$2:$A$73=$A441)*
        ('Fairway Log'!$B$2:$B$73=$B441)*
        ('Fairway Log'!$C$2:$C512=$C441),
      0),
      MATCH($G441,'Fairway Log'!$E$1:$V$1,0)
    ),
  "")
)</f>
        <v>←</v>
      </c>
      <c r="Q441" cm="1">
        <f t="array" ref="Q441">IFERROR(
  INDEX('GIR Log'!$E$2:$V$73,
    MATCH(1,
      ('GIR Log'!$A$2:$A$73=$A441)*
      ('GIR Log'!$B$2:$B$73=$B441)*
      ('GIR Log'!$C$2:$C$73=$C441),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Log'!$E$2:$V$73,
    MATCH(1,
      ('Golf Log'!$A$2:$A$73=$A442)*
      ('Golf Log'!$B$2:$B$73=$B442)*
      ('Golf Log'!$C$2:$C$73=$C442),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Log'!$E$2:$V$73,
    MATCH(1,
      ('Putt Log'!$A$2:$A$73=$A442)*
      ('Putt Log'!$B$2:$B$73=$B442)*
      ('Putt Log'!$C$2:$C$73=$C442),
    0),
    MATCH($G442,'Putt Log'!$E$1:$V$1,0)
  ),
"")</f>
        <v>2</v>
      </c>
      <c r="P442" cm="1">
        <f t="array" ref="P442">IF(K442=3,"",
  IFERROR(
    INDEX('Fairway Log'!$E$2:$V$73,
      MATCH(1,
        ('Fairway Log'!$A$2:$A$73=$A442)*
        ('Fairway Log'!$B$2:$B$73=$B442)*
        ('Fairway Log'!$C$2:$C513=$C442),
      0),
      MATCH($G442,'Fairway Log'!$E$1:$V$1,0)
    ),
  "")
)</f>
        <v>0</v>
      </c>
      <c r="Q442" cm="1">
        <f t="array" ref="Q442">IFERROR(
  INDEX('GIR Log'!$E$2:$V$73,
    MATCH(1,
      ('GIR Log'!$A$2:$A$73=$A442)*
      ('GIR Log'!$B$2:$B$73=$B442)*
      ('GIR Log'!$C$2:$C$73=$C442),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Log'!$E$2:$V$73,
    MATCH(1,
      ('Golf Log'!$A$2:$A$73=$A443)*
      ('Golf Log'!$B$2:$B$73=$B443)*
      ('Golf Log'!$C$2:$C$73=$C443),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Log'!$E$2:$V$73,
    MATCH(1,
      ('Putt Log'!$A$2:$A$73=$A443)*
      ('Putt Log'!$B$2:$B$73=$B443)*
      ('Putt Log'!$C$2:$C$73=$C443),
    0),
    MATCH($G443,'Putt Log'!$E$1:$V$1,0)
  ),
"")</f>
        <v>2</v>
      </c>
      <c r="P443" t="str" cm="1">
        <f t="array" ref="P443">IF(K443=3,"",
  IFERROR(
    INDEX('Fairway Log'!$E$2:$V$73,
      MATCH(1,
        ('Fairway Log'!$A$2:$A$73=$A443)*
        ('Fairway Log'!$B$2:$B$73=$B443)*
        ('Fairway Log'!$C$2:$C514=$C443),
      0),
      MATCH($G443,'Fairway Log'!$E$1:$V$1,0)
    ),
  "")
)</f>
        <v>→</v>
      </c>
      <c r="Q443" cm="1">
        <f t="array" ref="Q443">IFERROR(
  INDEX('GIR Log'!$E$2:$V$73,
    MATCH(1,
      ('GIR Log'!$A$2:$A$73=$A443)*
      ('GIR Log'!$B$2:$B$73=$B443)*
      ('GIR Log'!$C$2:$C$73=$C443),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Log'!$E$2:$V$73,
    MATCH(1,
      ('Golf Log'!$A$2:$A$73=$A444)*
      ('Golf Log'!$B$2:$B$73=$B444)*
      ('Golf Log'!$C$2:$C$73=$C444),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Log'!$E$2:$V$73,
    MATCH(1,
      ('Putt Log'!$A$2:$A$73=$A444)*
      ('Putt Log'!$B$2:$B$73=$B444)*
      ('Putt Log'!$C$2:$C$73=$C444),
    0),
    MATCH($G444,'Putt Log'!$E$1:$V$1,0)
  ),
"")</f>
        <v>2</v>
      </c>
      <c r="P444" t="str" cm="1">
        <f t="array" ref="P444">IF(K444=3,"",
  IFERROR(
    INDEX('Fairway Log'!$E$2:$V$73,
      MATCH(1,
        ('Fairway Log'!$A$2:$A$73=$A444)*
        ('Fairway Log'!$B$2:$B$73=$B444)*
        ('Fairway Log'!$C$2:$C515=$C444),
      0),
      MATCH($G444,'Fairway Log'!$E$1:$V$1,0)
    ),
  "")
)</f>
        <v/>
      </c>
      <c r="Q444" cm="1">
        <f t="array" ref="Q444">IFERROR(
  INDEX('GIR Log'!$E$2:$V$73,
    MATCH(1,
      ('GIR Log'!$A$2:$A$73=$A444)*
      ('GIR Log'!$B$2:$B$73=$B444)*
      ('GIR Log'!$C$2:$C$73=$C444),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Log'!$E$2:$V$73,
    MATCH(1,
      ('Golf Log'!$A$2:$A$73=$A445)*
      ('Golf Log'!$B$2:$B$73=$B445)*
      ('Golf Log'!$C$2:$C$73=$C445),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Log'!$E$2:$V$73,
    MATCH(1,
      ('Putt Log'!$A$2:$A$73=$A445)*
      ('Putt Log'!$B$2:$B$73=$B445)*
      ('Putt Log'!$C$2:$C$73=$C445),
    0),
    MATCH($G445,'Putt Log'!$E$1:$V$1,0)
  ),
"")</f>
        <v>2</v>
      </c>
      <c r="P445" t="str" cm="1">
        <f t="array" ref="P445">IF(K445=3,"",
  IFERROR(
    INDEX('Fairway Log'!$E$2:$V$73,
      MATCH(1,
        ('Fairway Log'!$A$2:$A$73=$A445)*
        ('Fairway Log'!$B$2:$B$73=$B445)*
        ('Fairway Log'!$C$2:$C516=$C445),
      0),
      MATCH($G445,'Fairway Log'!$E$1:$V$1,0)
    ),
  "")
)</f>
        <v>→</v>
      </c>
      <c r="Q445" cm="1">
        <f t="array" ref="Q445">IFERROR(
  INDEX('GIR Log'!$E$2:$V$73,
    MATCH(1,
      ('GIR Log'!$A$2:$A$73=$A445)*
      ('GIR Log'!$B$2:$B$73=$B445)*
      ('GIR Log'!$C$2:$C$73=$C445),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Log'!$E$2:$V$73,
    MATCH(1,
      ('Golf Log'!$A$2:$A$73=$A446)*
      ('Golf Log'!$B$2:$B$73=$B446)*
      ('Golf Log'!$C$2:$C$73=$C446),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Log'!$E$2:$V$73,
    MATCH(1,
      ('Putt Log'!$A$2:$A$73=$A446)*
      ('Putt Log'!$B$2:$B$73=$B446)*
      ('Putt Log'!$C$2:$C$73=$C446),
    0),
    MATCH($G446,'Putt Log'!$E$1:$V$1,0)
  ),
"")</f>
        <v>2</v>
      </c>
      <c r="P446" t="str" cm="1">
        <f t="array" ref="P446">IF(K446=3,"",
  IFERROR(
    INDEX('Fairway Log'!$E$2:$V$73,
      MATCH(1,
        ('Fairway Log'!$A$2:$A$73=$A446)*
        ('Fairway Log'!$B$2:$B$73=$B446)*
        ('Fairway Log'!$C$2:$C517=$C446),
      0),
      MATCH($G446,'Fairway Log'!$E$1:$V$1,0)
    ),
  "")
)</f>
        <v>→</v>
      </c>
      <c r="Q446" cm="1">
        <f t="array" ref="Q446">IFERROR(
  INDEX('GIR Log'!$E$2:$V$73,
    MATCH(1,
      ('GIR Log'!$A$2:$A$73=$A446)*
      ('GIR Log'!$B$2:$B$73=$B446)*
      ('GIR Log'!$C$2:$C$73=$C446),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Log'!$E$2:$V$73,
    MATCH(1,
      ('Golf Log'!$A$2:$A$73=$A447)*
      ('Golf Log'!$B$2:$B$73=$B447)*
      ('Golf Log'!$C$2:$C$73=$C447),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Log'!$E$2:$V$73,
    MATCH(1,
      ('Putt Log'!$A$2:$A$73=$A447)*
      ('Putt Log'!$B$2:$B$73=$B447)*
      ('Putt Log'!$C$2:$C$73=$C447),
    0),
    MATCH($G447,'Putt Log'!$E$1:$V$1,0)
  ),
"")</f>
        <v>2</v>
      </c>
      <c r="P447" t="str" cm="1">
        <f t="array" ref="P447">IF(K447=3,"",
  IFERROR(
    INDEX('Fairway Log'!$E$2:$V$73,
      MATCH(1,
        ('Fairway Log'!$A$2:$A$73=$A447)*
        ('Fairway Log'!$B$2:$B$73=$B447)*
        ('Fairway Log'!$C$2:$C518=$C447),
      0),
      MATCH($G447,'Fairway Log'!$E$1:$V$1,0)
    ),
  "")
)</f>
        <v/>
      </c>
      <c r="Q447" cm="1">
        <f t="array" ref="Q447">IFERROR(
  INDEX('GIR Log'!$E$2:$V$73,
    MATCH(1,
      ('GIR Log'!$A$2:$A$73=$A447)*
      ('GIR Log'!$B$2:$B$73=$B447)*
      ('GIR Log'!$C$2:$C$73=$C447),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Log'!$E$2:$V$73,
    MATCH(1,
      ('Golf Log'!$A$2:$A$73=$A448)*
      ('Golf Log'!$B$2:$B$73=$B448)*
      ('Golf Log'!$C$2:$C$73=$C448),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Log'!$E$2:$V$73,
    MATCH(1,
      ('Putt Log'!$A$2:$A$73=$A448)*
      ('Putt Log'!$B$2:$B$73=$B448)*
      ('Putt Log'!$C$2:$C$73=$C448),
    0),
    MATCH($G448,'Putt Log'!$E$1:$V$1,0)
  ),
"")</f>
        <v>2</v>
      </c>
      <c r="P448" cm="1">
        <f t="array" ref="P448">IF(K448=3,"",
  IFERROR(
    INDEX('Fairway Log'!$E$2:$V$73,
      MATCH(1,
        ('Fairway Log'!$A$2:$A$73=$A448)*
        ('Fairway Log'!$B$2:$B$73=$B448)*
        ('Fairway Log'!$C$2:$C519=$C448),
      0),
      MATCH($G448,'Fairway Log'!$E$1:$V$1,0)
    ),
  "")
)</f>
        <v>1</v>
      </c>
      <c r="Q448" cm="1">
        <f t="array" ref="Q448">IFERROR(
  INDEX('GIR Log'!$E$2:$V$73,
    MATCH(1,
      ('GIR Log'!$A$2:$A$73=$A448)*
      ('GIR Log'!$B$2:$B$73=$B448)*
      ('GIR Log'!$C$2:$C$73=$C448),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Log'!$E$2:$V$73,
    MATCH(1,
      ('Golf Log'!$A$2:$A$73=$A449)*
      ('Golf Log'!$B$2:$B$73=$B449)*
      ('Golf Log'!$C$2:$C$73=$C449),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Log'!$E$2:$V$73,
    MATCH(1,
      ('Putt Log'!$A$2:$A$73=$A449)*
      ('Putt Log'!$B$2:$B$73=$B449)*
      ('Putt Log'!$C$2:$C$73=$C449),
    0),
    MATCH($G449,'Putt Log'!$E$1:$V$1,0)
  ),
"")</f>
        <v>2</v>
      </c>
      <c r="P449" cm="1">
        <f t="array" ref="P449">IF(K449=3,"",
  IFERROR(
    INDEX('Fairway Log'!$E$2:$V$73,
      MATCH(1,
        ('Fairway Log'!$A$2:$A$73=$A449)*
        ('Fairway Log'!$B$2:$B$73=$B449)*
        ('Fairway Log'!$C$2:$C520=$C449),
      0),
      MATCH($G449,'Fairway Log'!$E$1:$V$1,0)
    ),
  "")
)</f>
        <v>1</v>
      </c>
      <c r="Q449" cm="1">
        <f t="array" ref="Q449">IFERROR(
  INDEX('GIR Log'!$E$2:$V$73,
    MATCH(1,
      ('GIR Log'!$A$2:$A$73=$A449)*
      ('GIR Log'!$B$2:$B$73=$B449)*
      ('GIR Log'!$C$2:$C$73=$C449),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Log'!$E$2:$V$73,
    MATCH(1,
      ('Golf Log'!$A$2:$A$73=$A450)*
      ('Golf Log'!$B$2:$B$73=$B450)*
      ('Golf Log'!$C$2:$C$73=$C450),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Log'!$E$2:$V$73,
    MATCH(1,
      ('Putt Log'!$A$2:$A$73=$A450)*
      ('Putt Log'!$B$2:$B$73=$B450)*
      ('Putt Log'!$C$2:$C$73=$C450),
    0),
    MATCH($G450,'Putt Log'!$E$1:$V$1,0)
  ),
"")</f>
        <v>2</v>
      </c>
      <c r="P450" cm="1">
        <f t="array" ref="P450">IF(K450=3,"",
  IFERROR(
    INDEX('Fairway Log'!$E$2:$V$73,
      MATCH(1,
        ('Fairway Log'!$A$2:$A$73=$A450)*
        ('Fairway Log'!$B$2:$B$73=$B450)*
        ('Fairway Log'!$C$2:$C521=$C450),
      0),
      MATCH($G450,'Fairway Log'!$E$1:$V$1,0)
    ),
  "")
)</f>
        <v>1</v>
      </c>
      <c r="Q450" cm="1">
        <f t="array" ref="Q450">IFERROR(
  INDEX('GIR Log'!$E$2:$V$73,
    MATCH(1,
      ('GIR Log'!$A$2:$A$73=$A450)*
      ('GIR Log'!$B$2:$B$73=$B450)*
      ('GIR Log'!$C$2:$C$73=$C450),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Log'!$E$2:$V$73,
    MATCH(1,
      ('Golf Log'!$A$2:$A$73=$A451)*
      ('Golf Log'!$B$2:$B$73=$B451)*
      ('Golf Log'!$C$2:$C$73=$C451),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Log'!$E$2:$V$73,
    MATCH(1,
      ('Putt Log'!$A$2:$A$73=$A451)*
      ('Putt Log'!$B$2:$B$73=$B451)*
      ('Putt Log'!$C$2:$C$73=$C451),
    0),
    MATCH($G451,'Putt Log'!$E$1:$V$1,0)
  ),
"")</f>
        <v>2</v>
      </c>
      <c r="P451" t="str" cm="1">
        <f t="array" ref="P451">IF(K451=3,"",
  IFERROR(
    INDEX('Fairway Log'!$E$2:$V$73,
      MATCH(1,
        ('Fairway Log'!$A$2:$A$73=$A451)*
        ('Fairway Log'!$B$2:$B$73=$B451)*
        ('Fairway Log'!$C$2:$C522=$C451),
      0),
      MATCH($G451,'Fairway Log'!$E$1:$V$1,0)
    ),
  "")
)</f>
        <v>→</v>
      </c>
      <c r="Q451" cm="1">
        <f t="array" ref="Q451">IFERROR(
  INDEX('GIR Log'!$E$2:$V$73,
    MATCH(1,
      ('GIR Log'!$A$2:$A$73=$A451)*
      ('GIR Log'!$B$2:$B$73=$B451)*
      ('GIR Log'!$C$2:$C$73=$C451),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Log'!$E$2:$V$73,
    MATCH(1,
      ('Golf Log'!$A$2:$A$73=$A452)*
      ('Golf Log'!$B$2:$B$73=$B452)*
      ('Golf Log'!$C$2:$C$73=$C452),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Log'!$E$2:$V$73,
    MATCH(1,
      ('Putt Log'!$A$2:$A$73=$A452)*
      ('Putt Log'!$B$2:$B$73=$B452)*
      ('Putt Log'!$C$2:$C$73=$C452),
    0),
    MATCH($G452,'Putt Log'!$E$1:$V$1,0)
  ),
"")</f>
        <v>2</v>
      </c>
      <c r="P452" t="str" cm="1">
        <f t="array" ref="P452">IF(K452=3,"",
  IFERROR(
    INDEX('Fairway Log'!$E$2:$V$73,
      MATCH(1,
        ('Fairway Log'!$A$2:$A$73=$A452)*
        ('Fairway Log'!$B$2:$B$73=$B452)*
        ('Fairway Log'!$C$2:$C523=$C452),
      0),
      MATCH($G452,'Fairway Log'!$E$1:$V$1,0)
    ),
  "")
)</f>
        <v>↑</v>
      </c>
      <c r="Q452" cm="1">
        <f t="array" ref="Q452">IFERROR(
  INDEX('GIR Log'!$E$2:$V$73,
    MATCH(1,
      ('GIR Log'!$A$2:$A$73=$A452)*
      ('GIR Log'!$B$2:$B$73=$B452)*
      ('GIR Log'!$C$2:$C$73=$C452),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Log'!$E$2:$V$73,
    MATCH(1,
      ('Golf Log'!$A$2:$A$73=$A453)*
      ('Golf Log'!$B$2:$B$73=$B453)*
      ('Golf Log'!$C$2:$C$73=$C453),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Log'!$E$2:$V$73,
    MATCH(1,
      ('Putt Log'!$A$2:$A$73=$A453)*
      ('Putt Log'!$B$2:$B$73=$B453)*
      ('Putt Log'!$C$2:$C$73=$C453),
    0),
    MATCH($G453,'Putt Log'!$E$1:$V$1,0)
  ),
"")</f>
        <v>2</v>
      </c>
      <c r="P453" cm="1">
        <f t="array" ref="P453">IF(K453=3,"",
  IFERROR(
    INDEX('Fairway Log'!$E$2:$V$73,
      MATCH(1,
        ('Fairway Log'!$A$2:$A$73=$A453)*
        ('Fairway Log'!$B$2:$B$73=$B453)*
        ('Fairway Log'!$C$2:$C524=$C453),
      0),
      MATCH($G453,'Fairway Log'!$E$1:$V$1,0)
    ),
  "")
)</f>
        <v>1</v>
      </c>
      <c r="Q453" cm="1">
        <f t="array" ref="Q453">IFERROR(
  INDEX('GIR Log'!$E$2:$V$73,
    MATCH(1,
      ('GIR Log'!$A$2:$A$73=$A453)*
      ('GIR Log'!$B$2:$B$73=$B453)*
      ('GIR Log'!$C$2:$C$73=$C453),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Log'!$E$2:$V$73,
    MATCH(1,
      ('Golf Log'!$A$2:$A$73=$A454)*
      ('Golf Log'!$B$2:$B$73=$B454)*
      ('Golf Log'!$C$2:$C$73=$C454),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Log'!$E$2:$V$73,
    MATCH(1,
      ('Putt Log'!$A$2:$A$73=$A454)*
      ('Putt Log'!$B$2:$B$73=$B454)*
      ('Putt Log'!$C$2:$C$73=$C454),
    0),
    MATCH($G454,'Putt Log'!$E$1:$V$1,0)
  ),
"")</f>
        <v>2</v>
      </c>
      <c r="P454" t="str" cm="1">
        <f t="array" ref="P454">IF(K454=3,"",
  IFERROR(
    INDEX('Fairway Log'!$E$2:$V$73,
      MATCH(1,
        ('Fairway Log'!$A$2:$A$73=$A454)*
        ('Fairway Log'!$B$2:$B$73=$B454)*
        ('Fairway Log'!$C$2:$C525=$C454),
      0),
      MATCH($G454,'Fairway Log'!$E$1:$V$1,0)
    ),
  "")
)</f>
        <v>→</v>
      </c>
      <c r="Q454" cm="1">
        <f t="array" ref="Q454">IFERROR(
  INDEX('GIR Log'!$E$2:$V$73,
    MATCH(1,
      ('GIR Log'!$A$2:$A$73=$A454)*
      ('GIR Log'!$B$2:$B$73=$B454)*
      ('GIR Log'!$C$2:$C$73=$C454),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Log'!$E$2:$V$73,
    MATCH(1,
      ('Golf Log'!$A$2:$A$73=$A455)*
      ('Golf Log'!$B$2:$B$73=$B455)*
      ('Golf Log'!$C$2:$C$73=$C455),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Log'!$E$2:$V$73,
    MATCH(1,
      ('Putt Log'!$A$2:$A$73=$A455)*
      ('Putt Log'!$B$2:$B$73=$B455)*
      ('Putt Log'!$C$2:$C$73=$C455),
    0),
    MATCH($G455,'Putt Log'!$E$1:$V$1,0)
  ),
"")</f>
        <v>1</v>
      </c>
      <c r="P455" t="str" cm="1">
        <f t="array" ref="P455">IF(K455=3,"",
  IFERROR(
    INDEX('Fairway Log'!$E$2:$V$73,
      MATCH(1,
        ('Fairway Log'!$A$2:$A$73=$A455)*
        ('Fairway Log'!$B$2:$B$73=$B455)*
        ('Fairway Log'!$C$2:$C526=$C455),
      0),
      MATCH($G455,'Fairway Log'!$E$1:$V$1,0)
    ),
  "")
)</f>
        <v/>
      </c>
      <c r="Q455" cm="1">
        <f t="array" ref="Q455">IFERROR(
  INDEX('GIR Log'!$E$2:$V$73,
    MATCH(1,
      ('GIR Log'!$A$2:$A$73=$A455)*
      ('GIR Log'!$B$2:$B$73=$B455)*
      ('GIR Log'!$C$2:$C$73=$C455),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Log'!$E$2:$V$73,
    MATCH(1,
      ('Golf Log'!$A$2:$A$73=$A456)*
      ('Golf Log'!$B$2:$B$73=$B456)*
      ('Golf Log'!$C$2:$C$73=$C456),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Log'!$E$2:$V$73,
    MATCH(1,
      ('Putt Log'!$A$2:$A$73=$A456)*
      ('Putt Log'!$B$2:$B$73=$B456)*
      ('Putt Log'!$C$2:$C$73=$C456),
    0),
    MATCH($G456,'Putt Log'!$E$1:$V$1,0)
  ),
"")</f>
        <v>2</v>
      </c>
      <c r="P456" t="str" cm="1">
        <f t="array" ref="P456">IF(K456=3,"",
  IFERROR(
    INDEX('Fairway Log'!$E$2:$V$73,
      MATCH(1,
        ('Fairway Log'!$A$2:$A$73=$A456)*
        ('Fairway Log'!$B$2:$B$73=$B456)*
        ('Fairway Log'!$C$2:$C527=$C456),
      0),
      MATCH($G456,'Fairway Log'!$E$1:$V$1,0)
    ),
  "")
)</f>
        <v>→</v>
      </c>
      <c r="Q456" cm="1">
        <f t="array" ref="Q456">IFERROR(
  INDEX('GIR Log'!$E$2:$V$73,
    MATCH(1,
      ('GIR Log'!$A$2:$A$73=$A456)*
      ('GIR Log'!$B$2:$B$73=$B456)*
      ('GIR Log'!$C$2:$C$73=$C456),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Log'!$E$2:$V$73,
    MATCH(1,
      ('Golf Log'!$A$2:$A$73=$A457)*
      ('Golf Log'!$B$2:$B$73=$B457)*
      ('Golf Log'!$C$2:$C$73=$C457),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Log'!$E$2:$V$73,
    MATCH(1,
      ('Putt Log'!$A$2:$A$73=$A457)*
      ('Putt Log'!$B$2:$B$73=$B457)*
      ('Putt Log'!$C$2:$C$73=$C457),
    0),
    MATCH($G457,'Putt Log'!$E$1:$V$1,0)
  ),
"")</f>
        <v>1</v>
      </c>
      <c r="P457" t="str" cm="1">
        <f t="array" ref="P457">IF(K457=3,"",
  IFERROR(
    INDEX('Fairway Log'!$E$2:$V$73,
      MATCH(1,
        ('Fairway Log'!$A$2:$A$73=$A457)*
        ('Fairway Log'!$B$2:$B$73=$B457)*
        ('Fairway Log'!$C$2:$C528=$C457),
      0),
      MATCH($G457,'Fairway Log'!$E$1:$V$1,0)
    ),
  "")
)</f>
        <v>→</v>
      </c>
      <c r="Q457" cm="1">
        <f t="array" ref="Q457">IFERROR(
  INDEX('GIR Log'!$E$2:$V$73,
    MATCH(1,
      ('GIR Log'!$A$2:$A$73=$A457)*
      ('GIR Log'!$B$2:$B$73=$B457)*
      ('GIR Log'!$C$2:$C$73=$C457),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Log'!$E$2:$V$73,
    MATCH(1,
      ('Golf Log'!$A$2:$A$73=$A458)*
      ('Golf Log'!$B$2:$B$73=$B458)*
      ('Golf Log'!$C$2:$C$73=$C458),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Log'!$E$2:$V$73,
    MATCH(1,
      ('Putt Log'!$A$2:$A$73=$A458)*
      ('Putt Log'!$B$2:$B$73=$B458)*
      ('Putt Log'!$C$2:$C$73=$C458),
    0),
    MATCH($G458,'Putt Log'!$E$1:$V$1,0)
  ),
"")</f>
        <v>3</v>
      </c>
      <c r="P458" t="str" cm="1">
        <f t="array" ref="P458">IF(K458=3,"",
  IFERROR(
    INDEX('Fairway Log'!$E$2:$V$73,
      MATCH(1,
        ('Fairway Log'!$A$2:$A$73=$A458)*
        ('Fairway Log'!$B$2:$B$73=$B458)*
        ('Fairway Log'!$C$2:$C529=$C458),
      0),
      MATCH($G458,'Fairway Log'!$E$1:$V$1,0)
    ),
  "")
)</f>
        <v/>
      </c>
      <c r="Q458" cm="1">
        <f t="array" ref="Q458">IFERROR(
  INDEX('GIR Log'!$E$2:$V$73,
    MATCH(1,
      ('GIR Log'!$A$2:$A$73=$A458)*
      ('GIR Log'!$B$2:$B$73=$B458)*
      ('GIR Log'!$C$2:$C$73=$C458),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Log'!$E$2:$V$73,
    MATCH(1,
      ('Golf Log'!$A$2:$A$73=$A459)*
      ('Golf Log'!$B$2:$B$73=$B459)*
      ('Golf Log'!$C$2:$C$73=$C459),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Log'!$E$2:$V$73,
    MATCH(1,
      ('Putt Log'!$A$2:$A$73=$A459)*
      ('Putt Log'!$B$2:$B$73=$B459)*
      ('Putt Log'!$C$2:$C$73=$C459),
    0),
    MATCH($G459,'Putt Log'!$E$1:$V$1,0)
  ),
"")</f>
        <v>2</v>
      </c>
      <c r="P459" t="str" cm="1">
        <f t="array" ref="P459">IF(K459=3,"",
  IFERROR(
    INDEX('Fairway Log'!$E$2:$V$73,
      MATCH(1,
        ('Fairway Log'!$A$2:$A$73=$A459)*
        ('Fairway Log'!$B$2:$B$73=$B459)*
        ('Fairway Log'!$C$2:$C530=$C459),
      0),
      MATCH($G459,'Fairway Log'!$E$1:$V$1,0)
    ),
  "")
)</f>
        <v>→</v>
      </c>
      <c r="Q459" cm="1">
        <f t="array" ref="Q459">IFERROR(
  INDEX('GIR Log'!$E$2:$V$73,
    MATCH(1,
      ('GIR Log'!$A$2:$A$73=$A459)*
      ('GIR Log'!$B$2:$B$73=$B459)*
      ('GIR Log'!$C$2:$C$73=$C459),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Log'!$E$2:$V$73,
    MATCH(1,
      ('Golf Log'!$A$2:$A$73=$A460)*
      ('Golf Log'!$B$2:$B$73=$B460)*
      ('Golf Log'!$C$2:$C$73=$C460),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Log'!$E$2:$V$73,
    MATCH(1,
      ('Putt Log'!$A$2:$A$73=$A460)*
      ('Putt Log'!$B$2:$B$73=$B460)*
      ('Putt Log'!$C$2:$C$73=$C460),
    0),
    MATCH($G460,'Putt Log'!$E$1:$V$1,0)
  ),
"")</f>
        <v>2</v>
      </c>
      <c r="P460" t="str" cm="1">
        <f t="array" ref="P460">IF(K460=3,"",
  IFERROR(
    INDEX('Fairway Log'!$E$2:$V$73,
      MATCH(1,
        ('Fairway Log'!$A$2:$A$73=$A460)*
        ('Fairway Log'!$B$2:$B$73=$B460)*
        ('Fairway Log'!$C$2:$C531=$C460),
      0),
      MATCH($G460,'Fairway Log'!$E$1:$V$1,0)
    ),
  "")
)</f>
        <v>↑</v>
      </c>
      <c r="Q460" cm="1">
        <f t="array" ref="Q460">IFERROR(
  INDEX('GIR Log'!$E$2:$V$73,
    MATCH(1,
      ('GIR Log'!$A$2:$A$73=$A460)*
      ('GIR Log'!$B$2:$B$73=$B460)*
      ('GIR Log'!$C$2:$C$73=$C460),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Log'!$E$2:$V$73,
    MATCH(1,
      ('Golf Log'!$A$2:$A$73=$A461)*
      ('Golf Log'!$B$2:$B$73=$B461)*
      ('Golf Log'!$C$2:$C$73=$C461),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Log'!$E$2:$V$73,
    MATCH(1,
      ('Putt Log'!$A$2:$A$73=$A461)*
      ('Putt Log'!$B$2:$B$73=$B461)*
      ('Putt Log'!$C$2:$C$73=$C461),
    0),
    MATCH($G461,'Putt Log'!$E$1:$V$1,0)
  ),
"")</f>
        <v>1</v>
      </c>
      <c r="P461" cm="1">
        <f t="array" ref="P461">IF(K461=3,"",
  IFERROR(
    INDEX('Fairway Log'!$E$2:$V$73,
      MATCH(1,
        ('Fairway Log'!$A$2:$A$73=$A461)*
        ('Fairway Log'!$B$2:$B$73=$B461)*
        ('Fairway Log'!$C$2:$C532=$C461),
      0),
      MATCH($G461,'Fairway Log'!$E$1:$V$1,0)
    ),
  "")
)</f>
        <v>1</v>
      </c>
      <c r="Q461" cm="1">
        <f t="array" ref="Q461">IFERROR(
  INDEX('GIR Log'!$E$2:$V$73,
    MATCH(1,
      ('GIR Log'!$A$2:$A$73=$A461)*
      ('GIR Log'!$B$2:$B$73=$B461)*
      ('GIR Log'!$C$2:$C$73=$C461),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Log'!$E$2:$V$73,
    MATCH(1,
      ('Golf Log'!$A$2:$A$73=$A462)*
      ('Golf Log'!$B$2:$B$73=$B462)*
      ('Golf Log'!$C$2:$C$73=$C462),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Log'!$E$2:$V$73,
    MATCH(1,
      ('Putt Log'!$A$2:$A$73=$A462)*
      ('Putt Log'!$B$2:$B$73=$B462)*
      ('Putt Log'!$C$2:$C$73=$C462),
    0),
    MATCH($G462,'Putt Log'!$E$1:$V$1,0)
  ),
"")</f>
        <v>1</v>
      </c>
      <c r="P462" t="str" cm="1">
        <f t="array" ref="P462">IF(K462=3,"",
  IFERROR(
    INDEX('Fairway Log'!$E$2:$V$73,
      MATCH(1,
        ('Fairway Log'!$A$2:$A$73=$A462)*
        ('Fairway Log'!$B$2:$B$73=$B462)*
        ('Fairway Log'!$C$2:$C533=$C462),
      0),
      MATCH($G462,'Fairway Log'!$E$1:$V$1,0)
    ),
  "")
)</f>
        <v/>
      </c>
      <c r="Q462" cm="1">
        <f t="array" ref="Q462">IFERROR(
  INDEX('GIR Log'!$E$2:$V$73,
    MATCH(1,
      ('GIR Log'!$A$2:$A$73=$A462)*
      ('GIR Log'!$B$2:$B$73=$B462)*
      ('GIR Log'!$C$2:$C$73=$C462),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Log'!$E$2:$V$73,
    MATCH(1,
      ('Golf Log'!$A$2:$A$73=$A463)*
      ('Golf Log'!$B$2:$B$73=$B463)*
      ('Golf Log'!$C$2:$C$73=$C463),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Log'!$E$2:$V$73,
    MATCH(1,
      ('Putt Log'!$A$2:$A$73=$A463)*
      ('Putt Log'!$B$2:$B$73=$B463)*
      ('Putt Log'!$C$2:$C$73=$C463),
    0),
    MATCH($G463,'Putt Log'!$E$1:$V$1,0)
  ),
"")</f>
        <v>2</v>
      </c>
      <c r="P463" t="str" cm="1">
        <f t="array" ref="P463">IF(K463=3,"",
  IFERROR(
    INDEX('Fairway Log'!$E$2:$V$73,
      MATCH(1,
        ('Fairway Log'!$A$2:$A$73=$A463)*
        ('Fairway Log'!$B$2:$B$73=$B463)*
        ('Fairway Log'!$C$2:$C534=$C463),
      0),
      MATCH($G463,'Fairway Log'!$E$1:$V$1,0)
    ),
  "")
)</f>
        <v>←</v>
      </c>
      <c r="Q463" cm="1">
        <f t="array" ref="Q463">IFERROR(
  INDEX('GIR Log'!$E$2:$V$73,
    MATCH(1,
      ('GIR Log'!$A$2:$A$73=$A463)*
      ('GIR Log'!$B$2:$B$73=$B463)*
      ('GIR Log'!$C$2:$C$73=$C463),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Log'!$E$2:$V$73,
    MATCH(1,
      ('Golf Log'!$A$2:$A$73=$A464)*
      ('Golf Log'!$B$2:$B$73=$B464)*
      ('Golf Log'!$C$2:$C$73=$C464),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Log'!$E$2:$V$73,
    MATCH(1,
      ('Putt Log'!$A$2:$A$73=$A464)*
      ('Putt Log'!$B$2:$B$73=$B464)*
      ('Putt Log'!$C$2:$C$73=$C464),
    0),
    MATCH($G464,'Putt Log'!$E$1:$V$1,0)
  ),
"")</f>
        <v>2</v>
      </c>
      <c r="P464" t="str" cm="1">
        <f t="array" ref="P464">IF(K464=3,"",
  IFERROR(
    INDEX('Fairway Log'!$E$2:$V$73,
      MATCH(1,
        ('Fairway Log'!$A$2:$A$73=$A464)*
        ('Fairway Log'!$B$2:$B$73=$B464)*
        ('Fairway Log'!$C$2:$C535=$C464),
      0),
      MATCH($G464,'Fairway Log'!$E$1:$V$1,0)
    ),
  "")
)</f>
        <v>↑</v>
      </c>
      <c r="Q464" cm="1">
        <f t="array" ref="Q464">IFERROR(
  INDEX('GIR Log'!$E$2:$V$73,
    MATCH(1,
      ('GIR Log'!$A$2:$A$73=$A464)*
      ('GIR Log'!$B$2:$B$73=$B464)*
      ('GIR Log'!$C$2:$C$73=$C464),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Log'!$E$2:$V$73,
    MATCH(1,
      ('Golf Log'!$A$2:$A$73=$A465)*
      ('Golf Log'!$B$2:$B$73=$B465)*
      ('Golf Log'!$C$2:$C$73=$C465),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Log'!$E$2:$V$73,
    MATCH(1,
      ('Putt Log'!$A$2:$A$73=$A465)*
      ('Putt Log'!$B$2:$B$73=$B465)*
      ('Putt Log'!$C$2:$C$73=$C465),
    0),
    MATCH($G465,'Putt Log'!$E$1:$V$1,0)
  ),
"")</f>
        <v>1</v>
      </c>
      <c r="P465" t="str" cm="1">
        <f t="array" ref="P465">IF(K465=3,"",
  IFERROR(
    INDEX('Fairway Log'!$E$2:$V$73,
      MATCH(1,
        ('Fairway Log'!$A$2:$A$73=$A465)*
        ('Fairway Log'!$B$2:$B$73=$B465)*
        ('Fairway Log'!$C$2:$C536=$C465),
      0),
      MATCH($G465,'Fairway Log'!$E$1:$V$1,0)
    ),
  "")
)</f>
        <v/>
      </c>
      <c r="Q465" cm="1">
        <f t="array" ref="Q465">IFERROR(
  INDEX('GIR Log'!$E$2:$V$73,
    MATCH(1,
      ('GIR Log'!$A$2:$A$73=$A465)*
      ('GIR Log'!$B$2:$B$73=$B465)*
      ('GIR Log'!$C$2:$C$73=$C465),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Log'!$E$2:$V$73,
    MATCH(1,
      ('Golf Log'!$A$2:$A$73=$A466)*
      ('Golf Log'!$B$2:$B$73=$B466)*
      ('Golf Log'!$C$2:$C$73=$C466),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Log'!$E$2:$V$73,
    MATCH(1,
      ('Putt Log'!$A$2:$A$73=$A466)*
      ('Putt Log'!$B$2:$B$73=$B466)*
      ('Putt Log'!$C$2:$C$73=$C466),
    0),
    MATCH($G466,'Putt Log'!$E$1:$V$1,0)
  ),
"")</f>
        <v>2</v>
      </c>
      <c r="P466" cm="1">
        <f t="array" ref="P466">IF(K466=3,"",
  IFERROR(
    INDEX('Fairway Log'!$E$2:$V$73,
      MATCH(1,
        ('Fairway Log'!$A$2:$A$73=$A466)*
        ('Fairway Log'!$B$2:$B$73=$B466)*
        ('Fairway Log'!$C$2:$C537=$C466),
      0),
      MATCH($G466,'Fairway Log'!$E$1:$V$1,0)
    ),
  "")
)</f>
        <v>1</v>
      </c>
      <c r="Q466" cm="1">
        <f t="array" ref="Q466">IFERROR(
  INDEX('GIR Log'!$E$2:$V$73,
    MATCH(1,
      ('GIR Log'!$A$2:$A$73=$A466)*
      ('GIR Log'!$B$2:$B$73=$B466)*
      ('GIR Log'!$C$2:$C$73=$C466),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Log'!$E$2:$V$73,
    MATCH(1,
      ('Golf Log'!$A$2:$A$73=$A467)*
      ('Golf Log'!$B$2:$B$73=$B467)*
      ('Golf Log'!$C$2:$C$73=$C467),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Log'!$E$2:$V$73,
    MATCH(1,
      ('Putt Log'!$A$2:$A$73=$A467)*
      ('Putt Log'!$B$2:$B$73=$B467)*
      ('Putt Log'!$C$2:$C$73=$C467),
    0),
    MATCH($G467,'Putt Log'!$E$1:$V$1,0)
  ),
"")</f>
        <v>2</v>
      </c>
      <c r="P467" cm="1">
        <f t="array" ref="P467">IF(K467=3,"",
  IFERROR(
    INDEX('Fairway Log'!$E$2:$V$73,
      MATCH(1,
        ('Fairway Log'!$A$2:$A$73=$A467)*
        ('Fairway Log'!$B$2:$B$73=$B467)*
        ('Fairway Log'!$C$2:$C538=$C467),
      0),
      MATCH($G467,'Fairway Log'!$E$1:$V$1,0)
    ),
  "")
)</f>
        <v>1</v>
      </c>
      <c r="Q467" cm="1">
        <f t="array" ref="Q467">IFERROR(
  INDEX('GIR Log'!$E$2:$V$73,
    MATCH(1,
      ('GIR Log'!$A$2:$A$73=$A467)*
      ('GIR Log'!$B$2:$B$73=$B467)*
      ('GIR Log'!$C$2:$C$73=$C467),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Log'!$E$2:$V$73,
    MATCH(1,
      ('Golf Log'!$A$2:$A$73=$A468)*
      ('Golf Log'!$B$2:$B$73=$B468)*
      ('Golf Log'!$C$2:$C$73=$C468),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Log'!$E$2:$V$73,
    MATCH(1,
      ('Putt Log'!$A$2:$A$73=$A468)*
      ('Putt Log'!$B$2:$B$73=$B468)*
      ('Putt Log'!$C$2:$C$73=$C468),
    0),
    MATCH($G468,'Putt Log'!$E$1:$V$1,0)
  ),
"")</f>
        <v>2</v>
      </c>
      <c r="P468" t="str" cm="1">
        <f t="array" ref="P468">IF(K468=3,"",
  IFERROR(
    INDEX('Fairway Log'!$E$2:$V$73,
      MATCH(1,
        ('Fairway Log'!$A$2:$A$73=$A468)*
        ('Fairway Log'!$B$2:$B$73=$B468)*
        ('Fairway Log'!$C$2:$C539=$C468),
      0),
      MATCH($G468,'Fairway Log'!$E$1:$V$1,0)
    ),
  "")
)</f>
        <v>→</v>
      </c>
      <c r="Q468" cm="1">
        <f t="array" ref="Q468">IFERROR(
  INDEX('GIR Log'!$E$2:$V$73,
    MATCH(1,
      ('GIR Log'!$A$2:$A$73=$A468)*
      ('GIR Log'!$B$2:$B$73=$B468)*
      ('GIR Log'!$C$2:$C$73=$C468),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Log'!$E$2:$V$73,
    MATCH(1,
      ('Golf Log'!$A$2:$A$73=$A469)*
      ('Golf Log'!$B$2:$B$73=$B469)*
      ('Golf Log'!$C$2:$C$73=$C469),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Log'!$E$2:$V$73,
    MATCH(1,
      ('Putt Log'!$A$2:$A$73=$A469)*
      ('Putt Log'!$B$2:$B$73=$B469)*
      ('Putt Log'!$C$2:$C$73=$C469),
    0),
    MATCH($G469,'Putt Log'!$E$1:$V$1,0)
  ),
"")</f>
        <v>2</v>
      </c>
      <c r="P469" t="str" cm="1">
        <f t="array" ref="P469">IF(K469=3,"",
  IFERROR(
    INDEX('Fairway Log'!$E$2:$V$73,
      MATCH(1,
        ('Fairway Log'!$A$2:$A$73=$A469)*
        ('Fairway Log'!$B$2:$B$73=$B469)*
        ('Fairway Log'!$C$2:$C540=$C469),
      0),
      MATCH($G469,'Fairway Log'!$E$1:$V$1,0)
    ),
  "")
)</f>
        <v>→</v>
      </c>
      <c r="Q469" cm="1">
        <f t="array" ref="Q469">IFERROR(
  INDEX('GIR Log'!$E$2:$V$73,
    MATCH(1,
      ('GIR Log'!$A$2:$A$73=$A469)*
      ('GIR Log'!$B$2:$B$73=$B469)*
      ('GIR Log'!$C$2:$C$73=$C469),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Log'!$E$2:$V$73,
    MATCH(1,
      ('Golf Log'!$A$2:$A$73=$A470)*
      ('Golf Log'!$B$2:$B$73=$B470)*
      ('Golf Log'!$C$2:$C$73=$C470),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Log'!$E$2:$V$73,
    MATCH(1,
      ('Putt Log'!$A$2:$A$73=$A470)*
      ('Putt Log'!$B$2:$B$73=$B470)*
      ('Putt Log'!$C$2:$C$73=$C470),
    0),
    MATCH($G470,'Putt Log'!$E$1:$V$1,0)
  ),
"")</f>
        <v>2</v>
      </c>
      <c r="P470" t="str" cm="1">
        <f t="array" ref="P470">IF(K470=3,"",
  IFERROR(
    INDEX('Fairway Log'!$E$2:$V$73,
      MATCH(1,
        ('Fairway Log'!$A$2:$A$73=$A470)*
        ('Fairway Log'!$B$2:$B$73=$B470)*
        ('Fairway Log'!$C$2:$C541=$C470),
      0),
      MATCH($G470,'Fairway Log'!$E$1:$V$1,0)
    ),
  "")
)</f>
        <v>→</v>
      </c>
      <c r="Q470" cm="1">
        <f t="array" ref="Q470">IFERROR(
  INDEX('GIR Log'!$E$2:$V$73,
    MATCH(1,
      ('GIR Log'!$A$2:$A$73=$A470)*
      ('GIR Log'!$B$2:$B$73=$B470)*
      ('GIR Log'!$C$2:$C$73=$C470),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Log'!$E$2:$V$73,
    MATCH(1,
      ('Golf Log'!$A$2:$A$73=$A471)*
      ('Golf Log'!$B$2:$B$73=$B471)*
      ('Golf Log'!$C$2:$C$73=$C471),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Log'!$E$2:$V$73,
    MATCH(1,
      ('Putt Log'!$A$2:$A$73=$A471)*
      ('Putt Log'!$B$2:$B$73=$B471)*
      ('Putt Log'!$C$2:$C$73=$C471),
    0),
    MATCH($G471,'Putt Log'!$E$1:$V$1,0)
  ),
"")</f>
        <v>2</v>
      </c>
      <c r="P471" t="str" cm="1">
        <f t="array" ref="P471">IF(K471=3,"",
  IFERROR(
    INDEX('Fairway Log'!$E$2:$V$73,
      MATCH(1,
        ('Fairway Log'!$A$2:$A$73=$A471)*
        ('Fairway Log'!$B$2:$B$73=$B471)*
        ('Fairway Log'!$C$2:$C542=$C471),
      0),
      MATCH($G471,'Fairway Log'!$E$1:$V$1,0)
    ),
  "")
)</f>
        <v>←</v>
      </c>
      <c r="Q471" cm="1">
        <f t="array" ref="Q471">IFERROR(
  INDEX('GIR Log'!$E$2:$V$73,
    MATCH(1,
      ('GIR Log'!$A$2:$A$73=$A471)*
      ('GIR Log'!$B$2:$B$73=$B471)*
      ('GIR Log'!$C$2:$C$73=$C471),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Log'!$E$2:$V$73,
    MATCH(1,
      ('Golf Log'!$A$2:$A$73=$A472)*
      ('Golf Log'!$B$2:$B$73=$B472)*
      ('Golf Log'!$C$2:$C$73=$C472),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Log'!$E$2:$V$73,
    MATCH(1,
      ('Putt Log'!$A$2:$A$73=$A472)*
      ('Putt Log'!$B$2:$B$73=$B472)*
      ('Putt Log'!$C$2:$C$73=$C472),
    0),
    MATCH($G472,'Putt Log'!$E$1:$V$1,0)
  ),
"")</f>
        <v>2</v>
      </c>
      <c r="P472" t="str" cm="1">
        <f t="array" ref="P472">IF(K472=3,"",
  IFERROR(
    INDEX('Fairway Log'!$E$2:$V$73,
      MATCH(1,
        ('Fairway Log'!$A$2:$A$73=$A472)*
        ('Fairway Log'!$B$2:$B$73=$B472)*
        ('Fairway Log'!$C$2:$C543=$C472),
      0),
      MATCH($G472,'Fairway Log'!$E$1:$V$1,0)
    ),
  "")
)</f>
        <v/>
      </c>
      <c r="Q472" cm="1">
        <f t="array" ref="Q472">IFERROR(
  INDEX('GIR Log'!$E$2:$V$73,
    MATCH(1,
      ('GIR Log'!$A$2:$A$73=$A472)*
      ('GIR Log'!$B$2:$B$73=$B472)*
      ('GIR Log'!$C$2:$C$73=$C472),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Log'!$E$2:$V$73,
    MATCH(1,
      ('Golf Log'!$A$2:$A$73=$A473)*
      ('Golf Log'!$B$2:$B$73=$B473)*
      ('Golf Log'!$C$2:$C$73=$C473),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Log'!$E$2:$V$73,
    MATCH(1,
      ('Putt Log'!$A$2:$A$73=$A473)*
      ('Putt Log'!$B$2:$B$73=$B473)*
      ('Putt Log'!$C$2:$C$73=$C473),
    0),
    MATCH($G473,'Putt Log'!$E$1:$V$1,0)
  ),
"")</f>
        <v>2</v>
      </c>
      <c r="P473" cm="1">
        <f t="array" ref="P473">IF(K473=3,"",
  IFERROR(
    INDEX('Fairway Log'!$E$2:$V$73,
      MATCH(1,
        ('Fairway Log'!$A$2:$A$73=$A473)*
        ('Fairway Log'!$B$2:$B$73=$B473)*
        ('Fairway Log'!$C$2:$C544=$C473),
      0),
      MATCH($G473,'Fairway Log'!$E$1:$V$1,0)
    ),
  "")
)</f>
        <v>1</v>
      </c>
      <c r="Q473" cm="1">
        <f t="array" ref="Q473">IFERROR(
  INDEX('GIR Log'!$E$2:$V$73,
    MATCH(1,
      ('GIR Log'!$A$2:$A$73=$A473)*
      ('GIR Log'!$B$2:$B$73=$B473)*
      ('GIR Log'!$C$2:$C$73=$C473),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Log'!$E$2:$V$73,
    MATCH(1,
      ('Golf Log'!$A$2:$A$73=$A474)*
      ('Golf Log'!$B$2:$B$73=$B474)*
      ('Golf Log'!$C$2:$C$73=$C474),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Log'!$E$2:$V$73,
    MATCH(1,
      ('Putt Log'!$A$2:$A$73=$A474)*
      ('Putt Log'!$B$2:$B$73=$B474)*
      ('Putt Log'!$C$2:$C$73=$C474),
    0),
    MATCH($G474,'Putt Log'!$E$1:$V$1,0)
  ),
"")</f>
        <v>2</v>
      </c>
      <c r="P474" t="str" cm="1">
        <f t="array" ref="P474">IF(K474=3,"",
  IFERROR(
    INDEX('Fairway Log'!$E$2:$V$73,
      MATCH(1,
        ('Fairway Log'!$A$2:$A$73=$A474)*
        ('Fairway Log'!$B$2:$B$73=$B474)*
        ('Fairway Log'!$C$2:$C545=$C474),
      0),
      MATCH($G474,'Fairway Log'!$E$1:$V$1,0)
    ),
  "")
)</f>
        <v>↑</v>
      </c>
      <c r="Q474" cm="1">
        <f t="array" ref="Q474">IFERROR(
  INDEX('GIR Log'!$E$2:$V$73,
    MATCH(1,
      ('GIR Log'!$A$2:$A$73=$A474)*
      ('GIR Log'!$B$2:$B$73=$B474)*
      ('GIR Log'!$C$2:$C$73=$C474),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Log'!$E$2:$V$73,
    MATCH(1,
      ('Golf Log'!$A$2:$A$73=$A475)*
      ('Golf Log'!$B$2:$B$73=$B475)*
      ('Golf Log'!$C$2:$C$73=$C475),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Log'!$E$2:$V$73,
    MATCH(1,
      ('Putt Log'!$A$2:$A$73=$A475)*
      ('Putt Log'!$B$2:$B$73=$B475)*
      ('Putt Log'!$C$2:$C$73=$C475),
    0),
    MATCH($G475,'Putt Log'!$E$1:$V$1,0)
  ),
"")</f>
        <v>2</v>
      </c>
      <c r="P475" cm="1">
        <f t="array" ref="P475">IF(K475=3,"",
  IFERROR(
    INDEX('Fairway Log'!$E$2:$V$73,
      MATCH(1,
        ('Fairway Log'!$A$2:$A$73=$A475)*
        ('Fairway Log'!$B$2:$B$73=$B475)*
        ('Fairway Log'!$C$2:$C546=$C475),
      0),
      MATCH($G475,'Fairway Log'!$E$1:$V$1,0)
    ),
  "")
)</f>
        <v>1</v>
      </c>
      <c r="Q475" cm="1">
        <f t="array" ref="Q475">IFERROR(
  INDEX('GIR Log'!$E$2:$V$73,
    MATCH(1,
      ('GIR Log'!$A$2:$A$73=$A475)*
      ('GIR Log'!$B$2:$B$73=$B475)*
      ('GIR Log'!$C$2:$C$73=$C475),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Log'!$E$2:$V$73,
    MATCH(1,
      ('Golf Log'!$A$2:$A$73=$A476)*
      ('Golf Log'!$B$2:$B$73=$B476)*
      ('Golf Log'!$C$2:$C$73=$C476),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Log'!$E$2:$V$73,
    MATCH(1,
      ('Putt Log'!$A$2:$A$73=$A476)*
      ('Putt Log'!$B$2:$B$73=$B476)*
      ('Putt Log'!$C$2:$C$73=$C476),
    0),
    MATCH($G476,'Putt Log'!$E$1:$V$1,0)
  ),
"")</f>
        <v>2</v>
      </c>
      <c r="P476" t="str" cm="1">
        <f t="array" ref="P476">IF(K476=3,"",
  IFERROR(
    INDEX('Fairway Log'!$E$2:$V$73,
      MATCH(1,
        ('Fairway Log'!$A$2:$A$73=$A476)*
        ('Fairway Log'!$B$2:$B$73=$B476)*
        ('Fairway Log'!$C$2:$C547=$C476),
      0),
      MATCH($G476,'Fairway Log'!$E$1:$V$1,0)
    ),
  "")
)</f>
        <v/>
      </c>
      <c r="Q476" cm="1">
        <f t="array" ref="Q476">IFERROR(
  INDEX('GIR Log'!$E$2:$V$73,
    MATCH(1,
      ('GIR Log'!$A$2:$A$73=$A476)*
      ('GIR Log'!$B$2:$B$73=$B476)*
      ('GIR Log'!$C$2:$C$73=$C476),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Log'!$E$2:$V$73,
    MATCH(1,
      ('Golf Log'!$A$2:$A$73=$A477)*
      ('Golf Log'!$B$2:$B$73=$B477)*
      ('Golf Log'!$C$2:$C$73=$C477),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Log'!$E$2:$V$73,
    MATCH(1,
      ('Putt Log'!$A$2:$A$73=$A477)*
      ('Putt Log'!$B$2:$B$73=$B477)*
      ('Putt Log'!$C$2:$C$73=$C477),
    0),
    MATCH($G477,'Putt Log'!$E$1:$V$1,0)
  ),
"")</f>
        <v>2</v>
      </c>
      <c r="P477" t="str" cm="1">
        <f t="array" ref="P477">IF(K477=3,"",
  IFERROR(
    INDEX('Fairway Log'!$E$2:$V$73,
      MATCH(1,
        ('Fairway Log'!$A$2:$A$73=$A477)*
        ('Fairway Log'!$B$2:$B$73=$B477)*
        ('Fairway Log'!$C$2:$C548=$C477),
      0),
      MATCH($G477,'Fairway Log'!$E$1:$V$1,0)
    ),
  "")
)</f>
        <v>↑</v>
      </c>
      <c r="Q477" cm="1">
        <f t="array" ref="Q477">IFERROR(
  INDEX('GIR Log'!$E$2:$V$73,
    MATCH(1,
      ('GIR Log'!$A$2:$A$73=$A477)*
      ('GIR Log'!$B$2:$B$73=$B477)*
      ('GIR Log'!$C$2:$C$73=$C477),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Log'!$E$2:$V$73,
    MATCH(1,
      ('Golf Log'!$A$2:$A$73=$A478)*
      ('Golf Log'!$B$2:$B$73=$B478)*
      ('Golf Log'!$C$2:$C$73=$C478),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Log'!$E$2:$V$73,
    MATCH(1,
      ('Putt Log'!$A$2:$A$73=$A478)*
      ('Putt Log'!$B$2:$B$73=$B478)*
      ('Putt Log'!$C$2:$C$73=$C478),
    0),
    MATCH($G478,'Putt Log'!$E$1:$V$1,0)
  ),
"")</f>
        <v>2</v>
      </c>
      <c r="P478" t="str" cm="1">
        <f t="array" ref="P478">IF(K478=3,"",
  IFERROR(
    INDEX('Fairway Log'!$E$2:$V$73,
      MATCH(1,
        ('Fairway Log'!$A$2:$A$73=$A478)*
        ('Fairway Log'!$B$2:$B$73=$B478)*
        ('Fairway Log'!$C$2:$C549=$C478),
      0),
      MATCH($G478,'Fairway Log'!$E$1:$V$1,0)
    ),
  "")
)</f>
        <v>→</v>
      </c>
      <c r="Q478" cm="1">
        <f t="array" ref="Q478">IFERROR(
  INDEX('GIR Log'!$E$2:$V$73,
    MATCH(1,
      ('GIR Log'!$A$2:$A$73=$A478)*
      ('GIR Log'!$B$2:$B$73=$B478)*
      ('GIR Log'!$C$2:$C$73=$C478),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Log'!$E$2:$V$73,
    MATCH(1,
      ('Golf Log'!$A$2:$A$73=$A479)*
      ('Golf Log'!$B$2:$B$73=$B479)*
      ('Golf Log'!$C$2:$C$73=$C479),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Log'!$E$2:$V$73,
    MATCH(1,
      ('Putt Log'!$A$2:$A$73=$A479)*
      ('Putt Log'!$B$2:$B$73=$B479)*
      ('Putt Log'!$C$2:$C$73=$C479),
    0),
    MATCH($G479,'Putt Log'!$E$1:$V$1,0)
  ),
"")</f>
        <v>2</v>
      </c>
      <c r="P479" t="str" cm="1">
        <f t="array" ref="P479">IF(K479=3,"",
  IFERROR(
    INDEX('Fairway Log'!$E$2:$V$73,
      MATCH(1,
        ('Fairway Log'!$A$2:$A$73=$A479)*
        ('Fairway Log'!$B$2:$B$73=$B479)*
        ('Fairway Log'!$C$2:$C550=$C479),
      0),
      MATCH($G479,'Fairway Log'!$E$1:$V$1,0)
    ),
  "")
)</f>
        <v>→</v>
      </c>
      <c r="Q479" cm="1">
        <f t="array" ref="Q479">IFERROR(
  INDEX('GIR Log'!$E$2:$V$73,
    MATCH(1,
      ('GIR Log'!$A$2:$A$73=$A479)*
      ('GIR Log'!$B$2:$B$73=$B479)*
      ('GIR Log'!$C$2:$C$73=$C479),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Log'!$E$2:$V$73,
    MATCH(1,
      ('Golf Log'!$A$2:$A$73=$A480)*
      ('Golf Log'!$B$2:$B$73=$B480)*
      ('Golf Log'!$C$2:$C$73=$C480),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Log'!$E$2:$V$73,
    MATCH(1,
      ('Putt Log'!$A$2:$A$73=$A480)*
      ('Putt Log'!$B$2:$B$73=$B480)*
      ('Putt Log'!$C$2:$C$73=$C480),
    0),
    MATCH($G480,'Putt Log'!$E$1:$V$1,0)
  ),
"")</f>
        <v>1</v>
      </c>
      <c r="P480" t="str" cm="1">
        <f t="array" ref="P480">IF(K480=3,"",
  IFERROR(
    INDEX('Fairway Log'!$E$2:$V$73,
      MATCH(1,
        ('Fairway Log'!$A$2:$A$73=$A480)*
        ('Fairway Log'!$B$2:$B$73=$B480)*
        ('Fairway Log'!$C$2:$C551=$C480),
      0),
      MATCH($G480,'Fairway Log'!$E$1:$V$1,0)
    ),
  "")
)</f>
        <v/>
      </c>
      <c r="Q480" cm="1">
        <f t="array" ref="Q480">IFERROR(
  INDEX('GIR Log'!$E$2:$V$73,
    MATCH(1,
      ('GIR Log'!$A$2:$A$73=$A480)*
      ('GIR Log'!$B$2:$B$73=$B480)*
      ('GIR Log'!$C$2:$C$73=$C480),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Log'!$E$2:$V$73,
    MATCH(1,
      ('Golf Log'!$A$2:$A$73=$A481)*
      ('Golf Log'!$B$2:$B$73=$B481)*
      ('Golf Log'!$C$2:$C$73=$C481),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Log'!$E$2:$V$73,
    MATCH(1,
      ('Putt Log'!$A$2:$A$73=$A481)*
      ('Putt Log'!$B$2:$B$73=$B481)*
      ('Putt Log'!$C$2:$C$73=$C481),
    0),
    MATCH($G481,'Putt Log'!$E$1:$V$1,0)
  ),
"")</f>
        <v>3</v>
      </c>
      <c r="P481" t="str" cm="1">
        <f t="array" ref="P481">IF(K481=3,"",
  IFERROR(
    INDEX('Fairway Log'!$E$2:$V$73,
      MATCH(1,
        ('Fairway Log'!$A$2:$A$73=$A481)*
        ('Fairway Log'!$B$2:$B$73=$B481)*
        ('Fairway Log'!$C$2:$C552=$C481),
      0),
      MATCH($G481,'Fairway Log'!$E$1:$V$1,0)
    ),
  "")
)</f>
        <v>→</v>
      </c>
      <c r="Q481" cm="1">
        <f t="array" ref="Q481">IFERROR(
  INDEX('GIR Log'!$E$2:$V$73,
    MATCH(1,
      ('GIR Log'!$A$2:$A$73=$A481)*
      ('GIR Log'!$B$2:$B$73=$B481)*
      ('GIR Log'!$C$2:$C$73=$C481),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Log'!$E$2:$V$73,
    MATCH(1,
      ('Golf Log'!$A$2:$A$73=$A482)*
      ('Golf Log'!$B$2:$B$73=$B482)*
      ('Golf Log'!$C$2:$C$73=$C482),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Log'!$E$2:$V$73,
    MATCH(1,
      ('Putt Log'!$A$2:$A$73=$A482)*
      ('Putt Log'!$B$2:$B$73=$B482)*
      ('Putt Log'!$C$2:$C$73=$C482),
    0),
    MATCH($G482,'Putt Log'!$E$1:$V$1,0)
  ),
"")</f>
        <v>1</v>
      </c>
      <c r="P482" t="str" cm="1">
        <f t="array" ref="P482">IF(K482=3,"",
  IFERROR(
    INDEX('Fairway Log'!$E$2:$V$73,
      MATCH(1,
        ('Fairway Log'!$A$2:$A$73=$A482)*
        ('Fairway Log'!$B$2:$B$73=$B482)*
        ('Fairway Log'!$C$2:$C553=$C482),
      0),
      MATCH($G482,'Fairway Log'!$E$1:$V$1,0)
    ),
  "")
)</f>
        <v>↑</v>
      </c>
      <c r="Q482" cm="1">
        <f t="array" ref="Q482">IFERROR(
  INDEX('GIR Log'!$E$2:$V$73,
    MATCH(1,
      ('GIR Log'!$A$2:$A$73=$A482)*
      ('GIR Log'!$B$2:$B$73=$B482)*
      ('GIR Log'!$C$2:$C$73=$C482),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Log'!$E$2:$V$73,
    MATCH(1,
      ('Golf Log'!$A$2:$A$73=$A483)*
      ('Golf Log'!$B$2:$B$73=$B483)*
      ('Golf Log'!$C$2:$C$73=$C483),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Log'!$E$2:$V$73,
    MATCH(1,
      ('Putt Log'!$A$2:$A$73=$A483)*
      ('Putt Log'!$B$2:$B$73=$B483)*
      ('Putt Log'!$C$2:$C$73=$C483),
    0),
    MATCH($G483,'Putt Log'!$E$1:$V$1,0)
  ),
"")</f>
        <v>1</v>
      </c>
      <c r="P483" t="str" cm="1">
        <f t="array" ref="P483">IF(K483=3,"",
  IFERROR(
    INDEX('Fairway Log'!$E$2:$V$73,
      MATCH(1,
        ('Fairway Log'!$A$2:$A$73=$A483)*
        ('Fairway Log'!$B$2:$B$73=$B483)*
        ('Fairway Log'!$C$2:$C554=$C483),
      0),
      MATCH($G483,'Fairway Log'!$E$1:$V$1,0)
    ),
  "")
)</f>
        <v>→</v>
      </c>
      <c r="Q483" cm="1">
        <f t="array" ref="Q483">IFERROR(
  INDEX('GIR Log'!$E$2:$V$73,
    MATCH(1,
      ('GIR Log'!$A$2:$A$73=$A483)*
      ('GIR Log'!$B$2:$B$73=$B483)*
      ('GIR Log'!$C$2:$C$73=$C483),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Log'!$E$2:$V$73,
    MATCH(1,
      ('Golf Log'!$A$2:$A$73=$A484)*
      ('Golf Log'!$B$2:$B$73=$B484)*
      ('Golf Log'!$C$2:$C$73=$C484),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Log'!$E$2:$V$73,
    MATCH(1,
      ('Putt Log'!$A$2:$A$73=$A484)*
      ('Putt Log'!$B$2:$B$73=$B484)*
      ('Putt Log'!$C$2:$C$73=$C484),
    0),
    MATCH($G484,'Putt Log'!$E$1:$V$1,0)
  ),
"")</f>
        <v>2</v>
      </c>
      <c r="P484" cm="1">
        <f t="array" ref="P484">IF(K484=3,"",
  IFERROR(
    INDEX('Fairway Log'!$E$2:$V$73,
      MATCH(1,
        ('Fairway Log'!$A$2:$A$73=$A484)*
        ('Fairway Log'!$B$2:$B$73=$B484)*
        ('Fairway Log'!$C$2:$C555=$C484),
      0),
      MATCH($G484,'Fairway Log'!$E$1:$V$1,0)
    ),
  "")
)</f>
        <v>1</v>
      </c>
      <c r="Q484" cm="1">
        <f t="array" ref="Q484">IFERROR(
  INDEX('GIR Log'!$E$2:$V$73,
    MATCH(1,
      ('GIR Log'!$A$2:$A$73=$A484)*
      ('GIR Log'!$B$2:$B$73=$B484)*
      ('GIR Log'!$C$2:$C$73=$C484),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Log'!$E$2:$V$73,
    MATCH(1,
      ('Golf Log'!$A$2:$A$73=$A485)*
      ('Golf Log'!$B$2:$B$73=$B485)*
      ('Golf Log'!$C$2:$C$73=$C485),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Log'!$E$2:$V$73,
    MATCH(1,
      ('Putt Log'!$A$2:$A$73=$A485)*
      ('Putt Log'!$B$2:$B$73=$B485)*
      ('Putt Log'!$C$2:$C$73=$C485),
    0),
    MATCH($G485,'Putt Log'!$E$1:$V$1,0)
  ),
"")</f>
        <v>2</v>
      </c>
      <c r="P485" t="str" cm="1">
        <f t="array" ref="P485">IF(K485=3,"",
  IFERROR(
    INDEX('Fairway Log'!$E$2:$V$73,
      MATCH(1,
        ('Fairway Log'!$A$2:$A$73=$A485)*
        ('Fairway Log'!$B$2:$B$73=$B485)*
        ('Fairway Log'!$C$2:$C556=$C485),
      0),
      MATCH($G485,'Fairway Log'!$E$1:$V$1,0)
    ),
  "")
)</f>
        <v>←</v>
      </c>
      <c r="Q485" cm="1">
        <f t="array" ref="Q485">IFERROR(
  INDEX('GIR Log'!$E$2:$V$73,
    MATCH(1,
      ('GIR Log'!$A$2:$A$73=$A485)*
      ('GIR Log'!$B$2:$B$73=$B485)*
      ('GIR Log'!$C$2:$C$73=$C485),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Log'!$E$2:$V$73,
    MATCH(1,
      ('Golf Log'!$A$2:$A$73=$A486)*
      ('Golf Log'!$B$2:$B$73=$B486)*
      ('Golf Log'!$C$2:$C$73=$C486),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Log'!$E$2:$V$73,
    MATCH(1,
      ('Putt Log'!$A$2:$A$73=$A486)*
      ('Putt Log'!$B$2:$B$73=$B486)*
      ('Putt Log'!$C$2:$C$73=$C486),
    0),
    MATCH($G486,'Putt Log'!$E$1:$V$1,0)
  ),
"")</f>
        <v>2</v>
      </c>
      <c r="P486" t="str" cm="1">
        <f t="array" ref="P486">IF(K486=3,"",
  IFERROR(
    INDEX('Fairway Log'!$E$2:$V$73,
      MATCH(1,
        ('Fairway Log'!$A$2:$A$73=$A486)*
        ('Fairway Log'!$B$2:$B$73=$B486)*
        ('Fairway Log'!$C$2:$C557=$C486),
      0),
      MATCH($G486,'Fairway Log'!$E$1:$V$1,0)
    ),
  "")
)</f>
        <v/>
      </c>
      <c r="Q486" cm="1">
        <f t="array" ref="Q486">IFERROR(
  INDEX('GIR Log'!$E$2:$V$73,
    MATCH(1,
      ('GIR Log'!$A$2:$A$73=$A486)*
      ('GIR Log'!$B$2:$B$73=$B486)*
      ('GIR Log'!$C$2:$C$73=$C486),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Log'!$E$2:$V$73,
    MATCH(1,
      ('Golf Log'!$A$2:$A$73=$A487)*
      ('Golf Log'!$B$2:$B$73=$B487)*
      ('Golf Log'!$C$2:$C$73=$C487),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Log'!$E$2:$V$73,
    MATCH(1,
      ('Putt Log'!$A$2:$A$73=$A487)*
      ('Putt Log'!$B$2:$B$73=$B487)*
      ('Putt Log'!$C$2:$C$73=$C487),
    0),
    MATCH($G487,'Putt Log'!$E$1:$V$1,0)
  ),
"")</f>
        <v>1</v>
      </c>
      <c r="P487" t="str" cm="1">
        <f t="array" ref="P487">IF(K487=3,"",
  IFERROR(
    INDEX('Fairway Log'!$E$2:$V$73,
      MATCH(1,
        ('Fairway Log'!$A$2:$A$73=$A487)*
        ('Fairway Log'!$B$2:$B$73=$B487)*
        ('Fairway Log'!$C$2:$C558=$C487),
      0),
      MATCH($G487,'Fairway Log'!$E$1:$V$1,0)
    ),
  "")
)</f>
        <v>→</v>
      </c>
      <c r="Q487" cm="1">
        <f t="array" ref="Q487">IFERROR(
  INDEX('GIR Log'!$E$2:$V$73,
    MATCH(1,
      ('GIR Log'!$A$2:$A$73=$A487)*
      ('GIR Log'!$B$2:$B$73=$B487)*
      ('GIR Log'!$C$2:$C$73=$C487),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Log'!$E$2:$V$73,
    MATCH(1,
      ('Golf Log'!$A$2:$A$73=$A488)*
      ('Golf Log'!$B$2:$B$73=$B488)*
      ('Golf Log'!$C$2:$C$73=$C488),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Log'!$E$2:$V$73,
    MATCH(1,
      ('Putt Log'!$A$2:$A$73=$A488)*
      ('Putt Log'!$B$2:$B$73=$B488)*
      ('Putt Log'!$C$2:$C$73=$C488),
    0),
    MATCH($G488,'Putt Log'!$E$1:$V$1,0)
  ),
"")</f>
        <v>2</v>
      </c>
      <c r="P488" t="str" cm="1">
        <f t="array" ref="P488">IF(K488=3,"",
  IFERROR(
    INDEX('Fairway Log'!$E$2:$V$73,
      MATCH(1,
        ('Fairway Log'!$A$2:$A$73=$A488)*
        ('Fairway Log'!$B$2:$B$73=$B488)*
        ('Fairway Log'!$C$2:$C559=$C488),
      0),
      MATCH($G488,'Fairway Log'!$E$1:$V$1,0)
    ),
  "")
)</f>
        <v>→</v>
      </c>
      <c r="Q488" cm="1">
        <f t="array" ref="Q488">IFERROR(
  INDEX('GIR Log'!$E$2:$V$73,
    MATCH(1,
      ('GIR Log'!$A$2:$A$73=$A488)*
      ('GIR Log'!$B$2:$B$73=$B488)*
      ('GIR Log'!$C$2:$C$73=$C488),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Log'!$E$2:$V$73,
    MATCH(1,
      ('Golf Log'!$A$2:$A$73=$A489)*
      ('Golf Log'!$B$2:$B$73=$B489)*
      ('Golf Log'!$C$2:$C$73=$C489),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Log'!$E$2:$V$73,
    MATCH(1,
      ('Putt Log'!$A$2:$A$73=$A489)*
      ('Putt Log'!$B$2:$B$73=$B489)*
      ('Putt Log'!$C$2:$C$73=$C489),
    0),
    MATCH($G489,'Putt Log'!$E$1:$V$1,0)
  ),
"")</f>
        <v>2</v>
      </c>
      <c r="P489" t="str" cm="1">
        <f t="array" ref="P489">IF(K489=3,"",
  IFERROR(
    INDEX('Fairway Log'!$E$2:$V$73,
      MATCH(1,
        ('Fairway Log'!$A$2:$A$73=$A489)*
        ('Fairway Log'!$B$2:$B$73=$B489)*
        ('Fairway Log'!$C$2:$C560=$C489),
      0),
      MATCH($G489,'Fairway Log'!$E$1:$V$1,0)
    ),
  "")
)</f>
        <v>→</v>
      </c>
      <c r="Q489" cm="1">
        <f t="array" ref="Q489">IFERROR(
  INDEX('GIR Log'!$E$2:$V$73,
    MATCH(1,
      ('GIR Log'!$A$2:$A$73=$A489)*
      ('GIR Log'!$B$2:$B$73=$B489)*
      ('GIR Log'!$C$2:$C$73=$C489),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Log'!$E$2:$V$73,
    MATCH(1,
      ('Golf Log'!$A$2:$A$73=$A490)*
      ('Golf Log'!$B$2:$B$73=$B490)*
      ('Golf Log'!$C$2:$C$73=$C490),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Log'!$E$2:$V$73,
    MATCH(1,
      ('Putt Log'!$A$2:$A$73=$A490)*
      ('Putt Log'!$B$2:$B$73=$B490)*
      ('Putt Log'!$C$2:$C$73=$C490),
    0),
    MATCH($G490,'Putt Log'!$E$1:$V$1,0)
  ),
"")</f>
        <v>2</v>
      </c>
      <c r="P490" t="str" cm="1">
        <f t="array" ref="P490">IF(K490=3,"",
  IFERROR(
    INDEX('Fairway Log'!$E$2:$V$73,
      MATCH(1,
        ('Fairway Log'!$A$2:$A$73=$A490)*
        ('Fairway Log'!$B$2:$B$73=$B490)*
        ('Fairway Log'!$C$2:$C561=$C490),
      0),
      MATCH($G490,'Fairway Log'!$E$1:$V$1,0)
    ),
  "")
)</f>
        <v/>
      </c>
      <c r="Q490" cm="1">
        <f t="array" ref="Q490">IFERROR(
  INDEX('GIR Log'!$E$2:$V$73,
    MATCH(1,
      ('GIR Log'!$A$2:$A$73=$A490)*
      ('GIR Log'!$B$2:$B$73=$B490)*
      ('GIR Log'!$C$2:$C$73=$C490),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Log'!$E$2:$V$73,
    MATCH(1,
      ('Golf Log'!$A$2:$A$73=$A491)*
      ('Golf Log'!$B$2:$B$73=$B491)*
      ('Golf Log'!$C$2:$C$73=$C491),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Log'!$E$2:$V$73,
    MATCH(1,
      ('Putt Log'!$A$2:$A$73=$A491)*
      ('Putt Log'!$B$2:$B$73=$B491)*
      ('Putt Log'!$C$2:$C$73=$C491),
    0),
    MATCH($G491,'Putt Log'!$E$1:$V$1,0)
  ),
"")</f>
        <v>3</v>
      </c>
      <c r="P491" cm="1">
        <f t="array" ref="P491">IF(K491=3,"",
  IFERROR(
    INDEX('Fairway Log'!$E$2:$V$73,
      MATCH(1,
        ('Fairway Log'!$A$2:$A$73=$A491)*
        ('Fairway Log'!$B$2:$B$73=$B491)*
        ('Fairway Log'!$C$2:$C562=$C491),
      0),
      MATCH($G491,'Fairway Log'!$E$1:$V$1,0)
    ),
  "")
)</f>
        <v>1</v>
      </c>
      <c r="Q491" cm="1">
        <f t="array" ref="Q491">IFERROR(
  INDEX('GIR Log'!$E$2:$V$73,
    MATCH(1,
      ('GIR Log'!$A$2:$A$73=$A491)*
      ('GIR Log'!$B$2:$B$73=$B491)*
      ('GIR Log'!$C$2:$C$73=$C491),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Log'!$E$2:$V$73,
    MATCH(1,
      ('Golf Log'!$A$2:$A$73=$A492)*
      ('Golf Log'!$B$2:$B$73=$B492)*
      ('Golf Log'!$C$2:$C$73=$C492),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Log'!$E$2:$V$73,
    MATCH(1,
      ('Putt Log'!$A$2:$A$73=$A492)*
      ('Putt Log'!$B$2:$B$73=$B492)*
      ('Putt Log'!$C$2:$C$73=$C492),
    0),
    MATCH($G492,'Putt Log'!$E$1:$V$1,0)
  ),
"")</f>
        <v>2</v>
      </c>
      <c r="P492" t="str" cm="1">
        <f t="array" ref="P492">IF(K492=3,"",
  IFERROR(
    INDEX('Fairway Log'!$E$2:$V$73,
      MATCH(1,
        ('Fairway Log'!$A$2:$A$73=$A492)*
        ('Fairway Log'!$B$2:$B$73=$B492)*
        ('Fairway Log'!$C$2:$C563=$C492),
      0),
      MATCH($G492,'Fairway Log'!$E$1:$V$1,0)
    ),
  "")
)</f>
        <v>→</v>
      </c>
      <c r="Q492" cm="1">
        <f t="array" ref="Q492">IFERROR(
  INDEX('GIR Log'!$E$2:$V$73,
    MATCH(1,
      ('GIR Log'!$A$2:$A$73=$A492)*
      ('GIR Log'!$B$2:$B$73=$B492)*
      ('GIR Log'!$C$2:$C$73=$C492),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Log'!$E$2:$V$73,
    MATCH(1,
      ('Golf Log'!$A$2:$A$73=$A493)*
      ('Golf Log'!$B$2:$B$73=$B493)*
      ('Golf Log'!$C$2:$C$73=$C493),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Log'!$E$2:$V$73,
    MATCH(1,
      ('Putt Log'!$A$2:$A$73=$A493)*
      ('Putt Log'!$B$2:$B$73=$B493)*
      ('Putt Log'!$C$2:$C$73=$C493),
    0),
    MATCH($G493,'Putt Log'!$E$1:$V$1,0)
  ),
"")</f>
        <v>2</v>
      </c>
      <c r="P493" t="str" cm="1">
        <f t="array" ref="P493">IF(K493=3,"",
  IFERROR(
    INDEX('Fairway Log'!$E$2:$V$73,
      MATCH(1,
        ('Fairway Log'!$A$2:$A$73=$A493)*
        ('Fairway Log'!$B$2:$B$73=$B493)*
        ('Fairway Log'!$C$2:$C564=$C493),
      0),
      MATCH($G493,'Fairway Log'!$E$1:$V$1,0)
    ),
  "")
)</f>
        <v>↑</v>
      </c>
      <c r="Q493" cm="1">
        <f t="array" ref="Q493">IFERROR(
  INDEX('GIR Log'!$E$2:$V$73,
    MATCH(1,
      ('GIR Log'!$A$2:$A$73=$A493)*
      ('GIR Log'!$B$2:$B$73=$B493)*
      ('GIR Log'!$C$2:$C$73=$C493),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Log'!$E$2:$V$73,
    MATCH(1,
      ('Golf Log'!$A$2:$A$73=$A494)*
      ('Golf Log'!$B$2:$B$73=$B494)*
      ('Golf Log'!$C$2:$C$73=$C494),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Log'!$E$2:$V$73,
    MATCH(1,
      ('Putt Log'!$A$2:$A$73=$A494)*
      ('Putt Log'!$B$2:$B$73=$B494)*
      ('Putt Log'!$C$2:$C$73=$C494),
    0),
    MATCH($G494,'Putt Log'!$E$1:$V$1,0)
  ),
"")</f>
        <v>2</v>
      </c>
      <c r="P494" t="str" cm="1">
        <f t="array" ref="P494">IF(K494=3,"",
  IFERROR(
    INDEX('Fairway Log'!$E$2:$V$73,
      MATCH(1,
        ('Fairway Log'!$A$2:$A$73=$A494)*
        ('Fairway Log'!$B$2:$B$73=$B494)*
        ('Fairway Log'!$C$2:$C565=$C494),
      0),
      MATCH($G494,'Fairway Log'!$E$1:$V$1,0)
    ),
  "")
)</f>
        <v/>
      </c>
      <c r="Q494" cm="1">
        <f t="array" ref="Q494">IFERROR(
  INDEX('GIR Log'!$E$2:$V$73,
    MATCH(1,
      ('GIR Log'!$A$2:$A$73=$A494)*
      ('GIR Log'!$B$2:$B$73=$B494)*
      ('GIR Log'!$C$2:$C$73=$C494),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Log'!$E$2:$V$73,
    MATCH(1,
      ('Golf Log'!$A$2:$A$73=$A495)*
      ('Golf Log'!$B$2:$B$73=$B495)*
      ('Golf Log'!$C$2:$C$73=$C495),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Log'!$E$2:$V$73,
    MATCH(1,
      ('Putt Log'!$A$2:$A$73=$A495)*
      ('Putt Log'!$B$2:$B$73=$B495)*
      ('Putt Log'!$C$2:$C$73=$C495),
    0),
    MATCH($G495,'Putt Log'!$E$1:$V$1,0)
  ),
"")</f>
        <v>3</v>
      </c>
      <c r="P495" t="str" cm="1">
        <f t="array" ref="P495">IF(K495=3,"",
  IFERROR(
    INDEX('Fairway Log'!$E$2:$V$73,
      MATCH(1,
        ('Fairway Log'!$A$2:$A$73=$A495)*
        ('Fairway Log'!$B$2:$B$73=$B495)*
        ('Fairway Log'!$C$2:$C566=$C495),
      0),
      MATCH($G495,'Fairway Log'!$E$1:$V$1,0)
    ),
  "")
)</f>
        <v>→</v>
      </c>
      <c r="Q495" cm="1">
        <f t="array" ref="Q495">IFERROR(
  INDEX('GIR Log'!$E$2:$V$73,
    MATCH(1,
      ('GIR Log'!$A$2:$A$73=$A495)*
      ('GIR Log'!$B$2:$B$73=$B495)*
      ('GIR Log'!$C$2:$C$73=$C495),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Log'!$E$2:$V$73,
    MATCH(1,
      ('Golf Log'!$A$2:$A$73=$A496)*
      ('Golf Log'!$B$2:$B$73=$B496)*
      ('Golf Log'!$C$2:$C$73=$C496),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Log'!$E$2:$V$73,
    MATCH(1,
      ('Putt Log'!$A$2:$A$73=$A496)*
      ('Putt Log'!$B$2:$B$73=$B496)*
      ('Putt Log'!$C$2:$C$73=$C496),
    0),
    MATCH($G496,'Putt Log'!$E$1:$V$1,0)
  ),
"")</f>
        <v>2</v>
      </c>
      <c r="P496" cm="1">
        <f t="array" ref="P496">IF(K496=3,"",
  IFERROR(
    INDEX('Fairway Log'!$E$2:$V$73,
      MATCH(1,
        ('Fairway Log'!$A$2:$A$73=$A496)*
        ('Fairway Log'!$B$2:$B$73=$B496)*
        ('Fairway Log'!$C$2:$C567=$C496),
      0),
      MATCH($G496,'Fairway Log'!$E$1:$V$1,0)
    ),
  "")
)</f>
        <v>1</v>
      </c>
      <c r="Q496" cm="1">
        <f t="array" ref="Q496">IFERROR(
  INDEX('GIR Log'!$E$2:$V$73,
    MATCH(1,
      ('GIR Log'!$A$2:$A$73=$A496)*
      ('GIR Log'!$B$2:$B$73=$B496)*
      ('GIR Log'!$C$2:$C$73=$C496),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Log'!$E$2:$V$73,
    MATCH(1,
      ('Golf Log'!$A$2:$A$73=$A497)*
      ('Golf Log'!$B$2:$B$73=$B497)*
      ('Golf Log'!$C$2:$C$73=$C497),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Log'!$E$2:$V$73,
    MATCH(1,
      ('Putt Log'!$A$2:$A$73=$A497)*
      ('Putt Log'!$B$2:$B$73=$B497)*
      ('Putt Log'!$C$2:$C$73=$C497),
    0),
    MATCH($G497,'Putt Log'!$E$1:$V$1,0)
  ),
"")</f>
        <v>3</v>
      </c>
      <c r="P497" t="str" cm="1">
        <f t="array" ref="P497">IF(K497=3,"",
  IFERROR(
    INDEX('Fairway Log'!$E$2:$V$73,
      MATCH(1,
        ('Fairway Log'!$A$2:$A$73=$A497)*
        ('Fairway Log'!$B$2:$B$73=$B497)*
        ('Fairway Log'!$C$2:$C568=$C497),
      0),
      MATCH($G497,'Fairway Log'!$E$1:$V$1,0)
    ),
  "")
)</f>
        <v>→</v>
      </c>
      <c r="Q497" cm="1">
        <f t="array" ref="Q497">IFERROR(
  INDEX('GIR Log'!$E$2:$V$73,
    MATCH(1,
      ('GIR Log'!$A$2:$A$73=$A497)*
      ('GIR Log'!$B$2:$B$73=$B497)*
      ('GIR Log'!$C$2:$C$73=$C497),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Log'!$E$2:$V$73,
    MATCH(1,
      ('Golf Log'!$A$2:$A$73=$A498)*
      ('Golf Log'!$B$2:$B$73=$B498)*
      ('Golf Log'!$C$2:$C$73=$C498),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Log'!$E$2:$V$73,
    MATCH(1,
      ('Putt Log'!$A$2:$A$73=$A498)*
      ('Putt Log'!$B$2:$B$73=$B498)*
      ('Putt Log'!$C$2:$C$73=$C498),
    0),
    MATCH($G498,'Putt Log'!$E$1:$V$1,0)
  ),
"")</f>
        <v>1</v>
      </c>
      <c r="P498" t="str" cm="1">
        <f t="array" ref="P498">IF(K498=3,"",
  IFERROR(
    INDEX('Fairway Log'!$E$2:$V$73,
      MATCH(1,
        ('Fairway Log'!$A$2:$A$73=$A498)*
        ('Fairway Log'!$B$2:$B$73=$B498)*
        ('Fairway Log'!$C$2:$C569=$C498),
      0),
      MATCH($G498,'Fairway Log'!$E$1:$V$1,0)
    ),
  "")
)</f>
        <v/>
      </c>
      <c r="Q498" cm="1">
        <f t="array" ref="Q498">IFERROR(
  INDEX('GIR Log'!$E$2:$V$73,
    MATCH(1,
      ('GIR Log'!$A$2:$A$73=$A498)*
      ('GIR Log'!$B$2:$B$73=$B498)*
      ('GIR Log'!$C$2:$C$73=$C498),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Log'!$E$2:$V$73,
    MATCH(1,
      ('Golf Log'!$A$2:$A$73=$A499)*
      ('Golf Log'!$B$2:$B$73=$B499)*
      ('Golf Log'!$C$2:$C$73=$C499),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Log'!$E$2:$V$73,
    MATCH(1,
      ('Putt Log'!$A$2:$A$73=$A499)*
      ('Putt Log'!$B$2:$B$73=$B499)*
      ('Putt Log'!$C$2:$C$73=$C499),
    0),
    MATCH($G499,'Putt Log'!$E$1:$V$1,0)
  ),
"")</f>
        <v>2</v>
      </c>
      <c r="P499" cm="1">
        <f t="array" ref="P499">IF(K499=3,"",
  IFERROR(
    INDEX('Fairway Log'!$E$2:$V$73,
      MATCH(1,
        ('Fairway Log'!$A$2:$A$73=$A499)*
        ('Fairway Log'!$B$2:$B$73=$B499)*
        ('Fairway Log'!$C$2:$C570=$C499),
      0),
      MATCH($G499,'Fairway Log'!$E$1:$V$1,0)
    ),
  "")
)</f>
        <v>1</v>
      </c>
      <c r="Q499" cm="1">
        <f t="array" ref="Q499">IFERROR(
  INDEX('GIR Log'!$E$2:$V$73,
    MATCH(1,
      ('GIR Log'!$A$2:$A$73=$A499)*
      ('GIR Log'!$B$2:$B$73=$B499)*
      ('GIR Log'!$C$2:$C$73=$C499),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Log'!$E$2:$V$73,
    MATCH(1,
      ('Golf Log'!$A$2:$A$73=$A500)*
      ('Golf Log'!$B$2:$B$73=$B500)*
      ('Golf Log'!$C$2:$C$73=$C500),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Log'!$E$2:$V$73,
    MATCH(1,
      ('Putt Log'!$A$2:$A$73=$A500)*
      ('Putt Log'!$B$2:$B$73=$B500)*
      ('Putt Log'!$C$2:$C$73=$C500),
    0),
    MATCH($G500,'Putt Log'!$E$1:$V$1,0)
  ),
"")</f>
        <v>3</v>
      </c>
      <c r="P500" t="str" cm="1">
        <f t="array" ref="P500">IF(K500=3,"",
  IFERROR(
    INDEX('Fairway Log'!$E$2:$V$73,
      MATCH(1,
        ('Fairway Log'!$A$2:$A$73=$A500)*
        ('Fairway Log'!$B$2:$B$73=$B500)*
        ('Fairway Log'!$C$2:$C571=$C500),
      0),
      MATCH($G500,'Fairway Log'!$E$1:$V$1,0)
    ),
  "")
)</f>
        <v>↑</v>
      </c>
      <c r="Q500" cm="1">
        <f t="array" ref="Q500">IFERROR(
  INDEX('GIR Log'!$E$2:$V$73,
    MATCH(1,
      ('GIR Log'!$A$2:$A$73=$A500)*
      ('GIR Log'!$B$2:$B$73=$B500)*
      ('GIR Log'!$C$2:$C$73=$C500),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Log'!$E$2:$V$73,
    MATCH(1,
      ('Golf Log'!$A$2:$A$73=$A501)*
      ('Golf Log'!$B$2:$B$73=$B501)*
      ('Golf Log'!$C$2:$C$73=$C501),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Log'!$E$2:$V$73,
    MATCH(1,
      ('Putt Log'!$A$2:$A$73=$A501)*
      ('Putt Log'!$B$2:$B$73=$B501)*
      ('Putt Log'!$C$2:$C$73=$C501),
    0),
    MATCH($G501,'Putt Log'!$E$1:$V$1,0)
  ),
"")</f>
        <v>2</v>
      </c>
      <c r="P501" cm="1">
        <f t="array" ref="P501">IF(K501=3,"",
  IFERROR(
    INDEX('Fairway Log'!$E$2:$V$73,
      MATCH(1,
        ('Fairway Log'!$A$2:$A$73=$A501)*
        ('Fairway Log'!$B$2:$B$73=$B501)*
        ('Fairway Log'!$C$2:$C572=$C501),
      0),
      MATCH($G501,'Fairway Log'!$E$1:$V$1,0)
    ),
  "")
)</f>
        <v>1</v>
      </c>
      <c r="Q501" cm="1">
        <f t="array" ref="Q501">IFERROR(
  INDEX('GIR Log'!$E$2:$V$73,
    MATCH(1,
      ('GIR Log'!$A$2:$A$73=$A501)*
      ('GIR Log'!$B$2:$B$73=$B501)*
      ('GIR Log'!$C$2:$C$73=$C501),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Log'!$E$2:$V$73,
    MATCH(1,
      ('Golf Log'!$A$2:$A$73=$A502)*
      ('Golf Log'!$B$2:$B$73=$B502)*
      ('Golf Log'!$C$2:$C$73=$C502),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Log'!$E$2:$V$73,
    MATCH(1,
      ('Putt Log'!$A$2:$A$73=$A502)*
      ('Putt Log'!$B$2:$B$73=$B502)*
      ('Putt Log'!$C$2:$C$73=$C502),
    0),
    MATCH($G502,'Putt Log'!$E$1:$V$1,0)
  ),
"")</f>
        <v>1</v>
      </c>
      <c r="P502" cm="1">
        <f t="array" ref="P502">IF(K502=3,"",
  IFERROR(
    INDEX('Fairway Log'!$E$2:$V$73,
      MATCH(1,
        ('Fairway Log'!$A$2:$A$73=$A502)*
        ('Fairway Log'!$B$2:$B$73=$B502)*
        ('Fairway Log'!$C$2:$C573=$C502),
      0),
      MATCH($G502,'Fairway Log'!$E$1:$V$1,0)
    ),
  "")
)</f>
        <v>1</v>
      </c>
      <c r="Q502" cm="1">
        <f t="array" ref="Q502">IFERROR(
  INDEX('GIR Log'!$E$2:$V$73,
    MATCH(1,
      ('GIR Log'!$A$2:$A$73=$A502)*
      ('GIR Log'!$B$2:$B$73=$B502)*
      ('GIR Log'!$C$2:$C$73=$C502),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Log'!$E$2:$V$73,
    MATCH(1,
      ('Golf Log'!$A$2:$A$73=$A503)*
      ('Golf Log'!$B$2:$B$73=$B503)*
      ('Golf Log'!$C$2:$C$73=$C503),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Log'!$E$2:$V$73,
    MATCH(1,
      ('Putt Log'!$A$2:$A$73=$A503)*
      ('Putt Log'!$B$2:$B$73=$B503)*
      ('Putt Log'!$C$2:$C$73=$C503),
    0),
    MATCH($G503,'Putt Log'!$E$1:$V$1,0)
  ),
"")</f>
        <v>2</v>
      </c>
      <c r="P503" cm="1">
        <f t="array" ref="P503">IF(K503=3,"",
  IFERROR(
    INDEX('Fairway Log'!$E$2:$V$73,
      MATCH(1,
        ('Fairway Log'!$A$2:$A$73=$A503)*
        ('Fairway Log'!$B$2:$B$73=$B503)*
        ('Fairway Log'!$C$2:$C574=$C503),
      0),
      MATCH($G503,'Fairway Log'!$E$1:$V$1,0)
    ),
  "")
)</f>
        <v>1</v>
      </c>
      <c r="Q503" cm="1">
        <f t="array" ref="Q503">IFERROR(
  INDEX('GIR Log'!$E$2:$V$73,
    MATCH(1,
      ('GIR Log'!$A$2:$A$73=$A503)*
      ('GIR Log'!$B$2:$B$73=$B503)*
      ('GIR Log'!$C$2:$C$73=$C503),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Log'!$E$2:$V$73,
    MATCH(1,
      ('Golf Log'!$A$2:$A$73=$A504)*
      ('Golf Log'!$B$2:$B$73=$B504)*
      ('Golf Log'!$C$2:$C$73=$C504),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Log'!$E$2:$V$73,
    MATCH(1,
      ('Putt Log'!$A$2:$A$73=$A504)*
      ('Putt Log'!$B$2:$B$73=$B504)*
      ('Putt Log'!$C$2:$C$73=$C504),
    0),
    MATCH($G504,'Putt Log'!$E$1:$V$1,0)
  ),
"")</f>
        <v>1</v>
      </c>
      <c r="P504" t="str" cm="1">
        <f t="array" ref="P504">IF(K504=3,"",
  IFERROR(
    INDEX('Fairway Log'!$E$2:$V$73,
      MATCH(1,
        ('Fairway Log'!$A$2:$A$73=$A504)*
        ('Fairway Log'!$B$2:$B$73=$B504)*
        ('Fairway Log'!$C$2:$C575=$C504),
      0),
      MATCH($G504,'Fairway Log'!$E$1:$V$1,0)
    ),
  "")
)</f>
        <v/>
      </c>
      <c r="Q504" cm="1">
        <f t="array" ref="Q504">IFERROR(
  INDEX('GIR Log'!$E$2:$V$73,
    MATCH(1,
      ('GIR Log'!$A$2:$A$73=$A504)*
      ('GIR Log'!$B$2:$B$73=$B504)*
      ('GIR Log'!$C$2:$C$73=$C504),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Log'!$E$2:$V$73,
    MATCH(1,
      ('Golf Log'!$A$2:$A$73=$A505)*
      ('Golf Log'!$B$2:$B$73=$B505)*
      ('Golf Log'!$C$2:$C$73=$C505),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Log'!$E$2:$V$73,
    MATCH(1,
      ('Putt Log'!$A$2:$A$73=$A505)*
      ('Putt Log'!$B$2:$B$73=$B505)*
      ('Putt Log'!$C$2:$C$73=$C505),
    0),
    MATCH($G505,'Putt Log'!$E$1:$V$1,0)
  ),
"")</f>
        <v>2</v>
      </c>
      <c r="P505" t="str" cm="1">
        <f t="array" ref="P505">IF(K505=3,"",
  IFERROR(
    INDEX('Fairway Log'!$E$2:$V$73,
      MATCH(1,
        ('Fairway Log'!$A$2:$A$73=$A505)*
        ('Fairway Log'!$B$2:$B$73=$B505)*
        ('Fairway Log'!$C$2:$C576=$C505),
      0),
      MATCH($G505,'Fairway Log'!$E$1:$V$1,0)
    ),
  "")
)</f>
        <v>→</v>
      </c>
      <c r="Q505" cm="1">
        <f t="array" ref="Q505">IFERROR(
  INDEX('GIR Log'!$E$2:$V$73,
    MATCH(1,
      ('GIR Log'!$A$2:$A$73=$A505)*
      ('GIR Log'!$B$2:$B$73=$B505)*
      ('GIR Log'!$C$2:$C$73=$C505),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Log'!$E$2:$V$73,
    MATCH(1,
      ('Golf Log'!$A$2:$A$73=$A506)*
      ('Golf Log'!$B$2:$B$73=$B506)*
      ('Golf Log'!$C$2:$C$73=$C506),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Log'!$E$2:$V$73,
    MATCH(1,
      ('Putt Log'!$A$2:$A$73=$A506)*
      ('Putt Log'!$B$2:$B$73=$B506)*
      ('Putt Log'!$C$2:$C$73=$C506),
    0),
    MATCH($G506,'Putt Log'!$E$1:$V$1,0)
  ),
"")</f>
        <v>2</v>
      </c>
      <c r="P506" cm="1">
        <f t="array" ref="P506">IF(K506=3,"",
  IFERROR(
    INDEX('Fairway Log'!$E$2:$V$73,
      MATCH(1,
        ('Fairway Log'!$A$2:$A$73=$A506)*
        ('Fairway Log'!$B$2:$B$73=$B506)*
        ('Fairway Log'!$C$2:$C577=$C506),
      0),
      MATCH($G506,'Fairway Log'!$E$1:$V$1,0)
    ),
  "")
)</f>
        <v>1</v>
      </c>
      <c r="Q506" cm="1">
        <f t="array" ref="Q506">IFERROR(
  INDEX('GIR Log'!$E$2:$V$73,
    MATCH(1,
      ('GIR Log'!$A$2:$A$73=$A506)*
      ('GIR Log'!$B$2:$B$73=$B506)*
      ('GIR Log'!$C$2:$C$73=$C506),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Log'!$E$2:$V$73,
    MATCH(1,
      ('Golf Log'!$A$2:$A$73=$A507)*
      ('Golf Log'!$B$2:$B$73=$B507)*
      ('Golf Log'!$C$2:$C$73=$C507),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Log'!$E$2:$V$73,
    MATCH(1,
      ('Putt Log'!$A$2:$A$73=$A507)*
      ('Putt Log'!$B$2:$B$73=$B507)*
      ('Putt Log'!$C$2:$C$73=$C507),
    0),
    MATCH($G507,'Putt Log'!$E$1:$V$1,0)
  ),
"")</f>
        <v>2</v>
      </c>
      <c r="P507" cm="1">
        <f t="array" ref="P507">IF(K507=3,"",
  IFERROR(
    INDEX('Fairway Log'!$E$2:$V$73,
      MATCH(1,
        ('Fairway Log'!$A$2:$A$73=$A507)*
        ('Fairway Log'!$B$2:$B$73=$B507)*
        ('Fairway Log'!$C$2:$C578=$C507),
      0),
      MATCH($G507,'Fairway Log'!$E$1:$V$1,0)
    ),
  "")
)</f>
        <v>1</v>
      </c>
      <c r="Q507" cm="1">
        <f t="array" ref="Q507">IFERROR(
  INDEX('GIR Log'!$E$2:$V$73,
    MATCH(1,
      ('GIR Log'!$A$2:$A$73=$A507)*
      ('GIR Log'!$B$2:$B$73=$B507)*
      ('GIR Log'!$C$2:$C$73=$C507),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Log'!$E$2:$V$73,
    MATCH(1,
      ('Golf Log'!$A$2:$A$73=$A508)*
      ('Golf Log'!$B$2:$B$73=$B508)*
      ('Golf Log'!$C$2:$C$73=$C508),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Log'!$E$2:$V$73,
    MATCH(1,
      ('Putt Log'!$A$2:$A$73=$A508)*
      ('Putt Log'!$B$2:$B$73=$B508)*
      ('Putt Log'!$C$2:$C$73=$C508),
    0),
    MATCH($G508,'Putt Log'!$E$1:$V$1,0)
  ),
"")</f>
        <v>2</v>
      </c>
      <c r="P508" t="str" cm="1">
        <f t="array" ref="P508">IF(K508=3,"",
  IFERROR(
    INDEX('Fairway Log'!$E$2:$V$73,
      MATCH(1,
        ('Fairway Log'!$A$2:$A$73=$A508)*
        ('Fairway Log'!$B$2:$B$73=$B508)*
        ('Fairway Log'!$C$2:$C579=$C508),
      0),
      MATCH($G508,'Fairway Log'!$E$1:$V$1,0)
    ),
  "")
)</f>
        <v/>
      </c>
      <c r="Q508" cm="1">
        <f t="array" ref="Q508">IFERROR(
  INDEX('GIR Log'!$E$2:$V$73,
    MATCH(1,
      ('GIR Log'!$A$2:$A$73=$A508)*
      ('GIR Log'!$B$2:$B$73=$B508)*
      ('GIR Log'!$C$2:$C$73=$C508),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Log'!$E$2:$V$73,
    MATCH(1,
      ('Golf Log'!$A$2:$A$73=$A509)*
      ('Golf Log'!$B$2:$B$73=$B509)*
      ('Golf Log'!$C$2:$C$73=$C509),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Log'!$E$2:$V$73,
    MATCH(1,
      ('Putt Log'!$A$2:$A$73=$A509)*
      ('Putt Log'!$B$2:$B$73=$B509)*
      ('Putt Log'!$C$2:$C$73=$C509),
    0),
    MATCH($G509,'Putt Log'!$E$1:$V$1,0)
  ),
"")</f>
        <v>2</v>
      </c>
      <c r="P509" cm="1">
        <f t="array" ref="P509">IF(K509=3,"",
  IFERROR(
    INDEX('Fairway Log'!$E$2:$V$73,
      MATCH(1,
        ('Fairway Log'!$A$2:$A$73=$A509)*
        ('Fairway Log'!$B$2:$B$73=$B509)*
        ('Fairway Log'!$C$2:$C580=$C509),
      0),
      MATCH($G509,'Fairway Log'!$E$1:$V$1,0)
    ),
  "")
)</f>
        <v>1</v>
      </c>
      <c r="Q509" cm="1">
        <f t="array" ref="Q509">IFERROR(
  INDEX('GIR Log'!$E$2:$V$73,
    MATCH(1,
      ('GIR Log'!$A$2:$A$73=$A509)*
      ('GIR Log'!$B$2:$B$73=$B509)*
      ('GIR Log'!$C$2:$C$73=$C509),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Log'!$E$2:$V$73,
    MATCH(1,
      ('Golf Log'!$A$2:$A$73=$A510)*
      ('Golf Log'!$B$2:$B$73=$B510)*
      ('Golf Log'!$C$2:$C$73=$C510),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Log'!$E$2:$V$73,
    MATCH(1,
      ('Putt Log'!$A$2:$A$73=$A510)*
      ('Putt Log'!$B$2:$B$73=$B510)*
      ('Putt Log'!$C$2:$C$73=$C510),
    0),
    MATCH($G510,'Putt Log'!$E$1:$V$1,0)
  ),
"")</f>
        <v>2</v>
      </c>
      <c r="P510" cm="1">
        <f t="array" ref="P510">IF(K510=3,"",
  IFERROR(
    INDEX('Fairway Log'!$E$2:$V$73,
      MATCH(1,
        ('Fairway Log'!$A$2:$A$73=$A510)*
        ('Fairway Log'!$B$2:$B$73=$B510)*
        ('Fairway Log'!$C$2:$C581=$C510),
      0),
      MATCH($G510,'Fairway Log'!$E$1:$V$1,0)
    ),
  "")
)</f>
        <v>1</v>
      </c>
      <c r="Q510" cm="1">
        <f t="array" ref="Q510">IFERROR(
  INDEX('GIR Log'!$E$2:$V$73,
    MATCH(1,
      ('GIR Log'!$A$2:$A$73=$A510)*
      ('GIR Log'!$B$2:$B$73=$B510)*
      ('GIR Log'!$C$2:$C$73=$C510),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Log'!$E$2:$V$73,
    MATCH(1,
      ('Golf Log'!$A$2:$A$73=$A511)*
      ('Golf Log'!$B$2:$B$73=$B511)*
      ('Golf Log'!$C$2:$C$73=$C511),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Log'!$E$2:$V$73,
    MATCH(1,
      ('Putt Log'!$A$2:$A$73=$A511)*
      ('Putt Log'!$B$2:$B$73=$B511)*
      ('Putt Log'!$C$2:$C$73=$C511),
    0),
    MATCH($G511,'Putt Log'!$E$1:$V$1,0)
  ),
"")</f>
        <v>2</v>
      </c>
      <c r="P511" t="str" cm="1">
        <f t="array" ref="P511">IF(K511=3,"",
  IFERROR(
    INDEX('Fairway Log'!$E$2:$V$73,
      MATCH(1,
        ('Fairway Log'!$A$2:$A$73=$A511)*
        ('Fairway Log'!$B$2:$B$73=$B511)*
        ('Fairway Log'!$C$2:$C582=$C511),
      0),
      MATCH($G511,'Fairway Log'!$E$1:$V$1,0)
    ),
  "")
)</f>
        <v/>
      </c>
      <c r="Q511" cm="1">
        <f t="array" ref="Q511">IFERROR(
  INDEX('GIR Log'!$E$2:$V$73,
    MATCH(1,
      ('GIR Log'!$A$2:$A$73=$A511)*
      ('GIR Log'!$B$2:$B$73=$B511)*
      ('GIR Log'!$C$2:$C$73=$C511),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Log'!$E$2:$V$73,
    MATCH(1,
      ('Golf Log'!$A$2:$A$73=$A512)*
      ('Golf Log'!$B$2:$B$73=$B512)*
      ('Golf Log'!$C$2:$C$73=$C512),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Log'!$E$2:$V$73,
    MATCH(1,
      ('Putt Log'!$A$2:$A$73=$A512)*
      ('Putt Log'!$B$2:$B$73=$B512)*
      ('Putt Log'!$C$2:$C$73=$C512),
    0),
    MATCH($G512,'Putt Log'!$E$1:$V$1,0)
  ),
"")</f>
        <v>2</v>
      </c>
      <c r="P512" cm="1">
        <f t="array" ref="P512">IF(K512=3,"",
  IFERROR(
    INDEX('Fairway Log'!$E$2:$V$73,
      MATCH(1,
        ('Fairway Log'!$A$2:$A$73=$A512)*
        ('Fairway Log'!$B$2:$B$73=$B512)*
        ('Fairway Log'!$C$2:$C583=$C512),
      0),
      MATCH($G512,'Fairway Log'!$E$1:$V$1,0)
    ),
  "")
)</f>
        <v>1</v>
      </c>
      <c r="Q512" cm="1">
        <f t="array" ref="Q512">IFERROR(
  INDEX('GIR Log'!$E$2:$V$73,
    MATCH(1,
      ('GIR Log'!$A$2:$A$73=$A512)*
      ('GIR Log'!$B$2:$B$73=$B512)*
      ('GIR Log'!$C$2:$C$73=$C512),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Log'!$E$2:$V$73,
    MATCH(1,
      ('Golf Log'!$A$2:$A$73=$A513)*
      ('Golf Log'!$B$2:$B$73=$B513)*
      ('Golf Log'!$C$2:$C$73=$C513),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Log'!$E$2:$V$73,
    MATCH(1,
      ('Putt Log'!$A$2:$A$73=$A513)*
      ('Putt Log'!$B$2:$B$73=$B513)*
      ('Putt Log'!$C$2:$C$73=$C513),
    0),
    MATCH($G513,'Putt Log'!$E$1:$V$1,0)
  ),
"")</f>
        <v>1</v>
      </c>
      <c r="P513" cm="1">
        <f t="array" ref="P513">IF(K513=3,"",
  IFERROR(
    INDEX('Fairway Log'!$E$2:$V$73,
      MATCH(1,
        ('Fairway Log'!$A$2:$A$73=$A513)*
        ('Fairway Log'!$B$2:$B$73=$B513)*
        ('Fairway Log'!$C$2:$C584=$C513),
      0),
      MATCH($G513,'Fairway Log'!$E$1:$V$1,0)
    ),
  "")
)</f>
        <v>1</v>
      </c>
      <c r="Q513" cm="1">
        <f t="array" ref="Q513">IFERROR(
  INDEX('GIR Log'!$E$2:$V$73,
    MATCH(1,
      ('GIR Log'!$A$2:$A$73=$A513)*
      ('GIR Log'!$B$2:$B$73=$B513)*
      ('GIR Log'!$C$2:$C$73=$C513),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Log'!$E$2:$V$73,
    MATCH(1,
      ('Golf Log'!$A$2:$A$73=$A514)*
      ('Golf Log'!$B$2:$B$73=$B514)*
      ('Golf Log'!$C$2:$C$73=$C514),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Log'!$E$2:$V$73,
    MATCH(1,
      ('Putt Log'!$A$2:$A$73=$A514)*
      ('Putt Log'!$B$2:$B$73=$B514)*
      ('Putt Log'!$C$2:$C$73=$C514),
    0),
    MATCH($G514,'Putt Log'!$E$1:$V$1,0)
  ),
"")</f>
        <v>3</v>
      </c>
      <c r="P514" t="str" cm="1">
        <f t="array" ref="P514">IF(K514=3,"",
  IFERROR(
    INDEX('Fairway Log'!$E$2:$V$73,
      MATCH(1,
        ('Fairway Log'!$A$2:$A$73=$A514)*
        ('Fairway Log'!$B$2:$B$73=$B514)*
        ('Fairway Log'!$C$2:$C585=$C514),
      0),
      MATCH($G514,'Fairway Log'!$E$1:$V$1,0)
    ),
  "")
)</f>
        <v>→</v>
      </c>
      <c r="Q514" cm="1">
        <f t="array" ref="Q514">IFERROR(
  INDEX('GIR Log'!$E$2:$V$73,
    MATCH(1,
      ('GIR Log'!$A$2:$A$73=$A514)*
      ('GIR Log'!$B$2:$B$73=$B514)*
      ('GIR Log'!$C$2:$C$73=$C514),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Log'!$E$2:$V$73,
    MATCH(1,
      ('Golf Log'!$A$2:$A$73=$A515)*
      ('Golf Log'!$B$2:$B$73=$B515)*
      ('Golf Log'!$C$2:$C$73=$C515),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Log'!$E$2:$V$73,
    MATCH(1,
      ('Putt Log'!$A$2:$A$73=$A515)*
      ('Putt Log'!$B$2:$B$73=$B515)*
      ('Putt Log'!$C$2:$C$73=$C515),
    0),
    MATCH($G515,'Putt Log'!$E$1:$V$1,0)
  ),
"")</f>
        <v>1</v>
      </c>
      <c r="P515" cm="1">
        <f t="array" ref="P515">IF(K515=3,"",
  IFERROR(
    INDEX('Fairway Log'!$E$2:$V$73,
      MATCH(1,
        ('Fairway Log'!$A$2:$A$73=$A515)*
        ('Fairway Log'!$B$2:$B$73=$B515)*
        ('Fairway Log'!$C$2:$C586=$C515),
      0),
      MATCH($G515,'Fairway Log'!$E$1:$V$1,0)
    ),
  "")
)</f>
        <v>0</v>
      </c>
      <c r="Q515" cm="1">
        <f t="array" ref="Q515">IFERROR(
  INDEX('GIR Log'!$E$2:$V$73,
    MATCH(1,
      ('GIR Log'!$A$2:$A$73=$A515)*
      ('GIR Log'!$B$2:$B$73=$B515)*
      ('GIR Log'!$C$2:$C$73=$C515),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Log'!$E$2:$V$73,
    MATCH(1,
      ('Golf Log'!$A$2:$A$73=$A516)*
      ('Golf Log'!$B$2:$B$73=$B516)*
      ('Golf Log'!$C$2:$C$73=$C516),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Log'!$E$2:$V$73,
    MATCH(1,
      ('Putt Log'!$A$2:$A$73=$A516)*
      ('Putt Log'!$B$2:$B$73=$B516)*
      ('Putt Log'!$C$2:$C$73=$C516),
    0),
    MATCH($G516,'Putt Log'!$E$1:$V$1,0)
  ),
"")</f>
        <v>2</v>
      </c>
      <c r="P516" t="str" cm="1">
        <f t="array" ref="P516">IF(K516=3,"",
  IFERROR(
    INDEX('Fairway Log'!$E$2:$V$73,
      MATCH(1,
        ('Fairway Log'!$A$2:$A$73=$A516)*
        ('Fairway Log'!$B$2:$B$73=$B516)*
        ('Fairway Log'!$C$2:$C587=$C516),
      0),
      MATCH($G516,'Fairway Log'!$E$1:$V$1,0)
    ),
  "")
)</f>
        <v/>
      </c>
      <c r="Q516" cm="1">
        <f t="array" ref="Q516">IFERROR(
  INDEX('GIR Log'!$E$2:$V$73,
    MATCH(1,
      ('GIR Log'!$A$2:$A$73=$A516)*
      ('GIR Log'!$B$2:$B$73=$B516)*
      ('GIR Log'!$C$2:$C$73=$C516),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Log'!$E$2:$V$73,
    MATCH(1,
      ('Golf Log'!$A$2:$A$73=$A517)*
      ('Golf Log'!$B$2:$B$73=$B517)*
      ('Golf Log'!$C$2:$C$73=$C517),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Log'!$E$2:$V$73,
    MATCH(1,
      ('Putt Log'!$A$2:$A$73=$A517)*
      ('Putt Log'!$B$2:$B$73=$B517)*
      ('Putt Log'!$C$2:$C$73=$C517),
    0),
    MATCH($G517,'Putt Log'!$E$1:$V$1,0)
  ),
"")</f>
        <v>2</v>
      </c>
      <c r="P517" t="str" cm="1">
        <f t="array" ref="P517">IF(K517=3,"",
  IFERROR(
    INDEX('Fairway Log'!$E$2:$V$73,
      MATCH(1,
        ('Fairway Log'!$A$2:$A$73=$A517)*
        ('Fairway Log'!$B$2:$B$73=$B517)*
        ('Fairway Log'!$C$2:$C588=$C517),
      0),
      MATCH($G517,'Fairway Log'!$E$1:$V$1,0)
    ),
  "")
)</f>
        <v>↓</v>
      </c>
      <c r="Q517" cm="1">
        <f t="array" ref="Q517">IFERROR(
  INDEX('GIR Log'!$E$2:$V$73,
    MATCH(1,
      ('GIR Log'!$A$2:$A$73=$A517)*
      ('GIR Log'!$B$2:$B$73=$B517)*
      ('GIR Log'!$C$2:$C$73=$C517),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Log'!$E$2:$V$73,
    MATCH(1,
      ('Golf Log'!$A$2:$A$73=$A518)*
      ('Golf Log'!$B$2:$B$73=$B518)*
      ('Golf Log'!$C$2:$C$73=$C518),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Log'!$E$2:$V$73,
    MATCH(1,
      ('Putt Log'!$A$2:$A$73=$A518)*
      ('Putt Log'!$B$2:$B$73=$B518)*
      ('Putt Log'!$C$2:$C$73=$C518),
    0),
    MATCH($G518,'Putt Log'!$E$1:$V$1,0)
  ),
"")</f>
        <v>2</v>
      </c>
      <c r="P518" t="str" cm="1">
        <f t="array" ref="P518">IF(K518=3,"",
  IFERROR(
    INDEX('Fairway Log'!$E$2:$V$73,
      MATCH(1,
        ('Fairway Log'!$A$2:$A$73=$A518)*
        ('Fairway Log'!$B$2:$B$73=$B518)*
        ('Fairway Log'!$C$2:$C589=$C518),
      0),
      MATCH($G518,'Fairway Log'!$E$1:$V$1,0)
    ),
  "")
)</f>
        <v>→</v>
      </c>
      <c r="Q518" cm="1">
        <f t="array" ref="Q518">IFERROR(
  INDEX('GIR Log'!$E$2:$V$73,
    MATCH(1,
      ('GIR Log'!$A$2:$A$73=$A518)*
      ('GIR Log'!$B$2:$B$73=$B518)*
      ('GIR Log'!$C$2:$C$73=$C518),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Log'!$E$2:$V$73,
    MATCH(1,
      ('Golf Log'!$A$2:$A$73=$A519)*
      ('Golf Log'!$B$2:$B$73=$B519)*
      ('Golf Log'!$C$2:$C$73=$C519),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Log'!$E$2:$V$73,
    MATCH(1,
      ('Putt Log'!$A$2:$A$73=$A519)*
      ('Putt Log'!$B$2:$B$73=$B519)*
      ('Putt Log'!$C$2:$C$73=$C519),
    0),
    MATCH($G519,'Putt Log'!$E$1:$V$1,0)
  ),
"")</f>
        <v>3</v>
      </c>
      <c r="P519" t="str" cm="1">
        <f t="array" ref="P519">IF(K519=3,"",
  IFERROR(
    INDEX('Fairway Log'!$E$2:$V$73,
      MATCH(1,
        ('Fairway Log'!$A$2:$A$73=$A519)*
        ('Fairway Log'!$B$2:$B$73=$B519)*
        ('Fairway Log'!$C$2:$C590=$C519),
      0),
      MATCH($G519,'Fairway Log'!$E$1:$V$1,0)
    ),
  "")
)</f>
        <v>→</v>
      </c>
      <c r="Q519" cm="1">
        <f t="array" ref="Q519">IFERROR(
  INDEX('GIR Log'!$E$2:$V$73,
    MATCH(1,
      ('GIR Log'!$A$2:$A$73=$A519)*
      ('GIR Log'!$B$2:$B$73=$B519)*
      ('GIR Log'!$C$2:$C$73=$C519),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Log'!$E$2:$V$73,
    MATCH(1,
      ('Golf Log'!$A$2:$A$73=$A520)*
      ('Golf Log'!$B$2:$B$73=$B520)*
      ('Golf Log'!$C$2:$C$73=$C520),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Log'!$E$2:$V$73,
    MATCH(1,
      ('Putt Log'!$A$2:$A$73=$A520)*
      ('Putt Log'!$B$2:$B$73=$B520)*
      ('Putt Log'!$C$2:$C$73=$C520),
    0),
    MATCH($G520,'Putt Log'!$E$1:$V$1,0)
  ),
"")</f>
        <v>2</v>
      </c>
      <c r="P520" t="str" cm="1">
        <f t="array" ref="P520">IF(K520=3,"",
  IFERROR(
    INDEX('Fairway Log'!$E$2:$V$73,
      MATCH(1,
        ('Fairway Log'!$A$2:$A$73=$A520)*
        ('Fairway Log'!$B$2:$B$73=$B520)*
        ('Fairway Log'!$C$2:$C591=$C520),
      0),
      MATCH($G520,'Fairway Log'!$E$1:$V$1,0)
    ),
  "")
)</f>
        <v/>
      </c>
      <c r="Q520" cm="1">
        <f t="array" ref="Q520">IFERROR(
  INDEX('GIR Log'!$E$2:$V$73,
    MATCH(1,
      ('GIR Log'!$A$2:$A$73=$A520)*
      ('GIR Log'!$B$2:$B$73=$B520)*
      ('GIR Log'!$C$2:$C$73=$C520),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Log'!$E$2:$V$73,
    MATCH(1,
      ('Golf Log'!$A$2:$A$73=$A521)*
      ('Golf Log'!$B$2:$B$73=$B521)*
      ('Golf Log'!$C$2:$C$73=$C521),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Log'!$E$2:$V$73,
    MATCH(1,
      ('Putt Log'!$A$2:$A$73=$A521)*
      ('Putt Log'!$B$2:$B$73=$B521)*
      ('Putt Log'!$C$2:$C$73=$C521),
    0),
    MATCH($G521,'Putt Log'!$E$1:$V$1,0)
  ),
"")</f>
        <v>3</v>
      </c>
      <c r="P521" cm="1">
        <f t="array" ref="P521">IF(K521=3,"",
  IFERROR(
    INDEX('Fairway Log'!$E$2:$V$73,
      MATCH(1,
        ('Fairway Log'!$A$2:$A$73=$A521)*
        ('Fairway Log'!$B$2:$B$73=$B521)*
        ('Fairway Log'!$C$2:$C592=$C521),
      0),
      MATCH($G521,'Fairway Log'!$E$1:$V$1,0)
    ),
  "")
)</f>
        <v>1</v>
      </c>
      <c r="Q521" cm="1">
        <f t="array" ref="Q521">IFERROR(
  INDEX('GIR Log'!$E$2:$V$73,
    MATCH(1,
      ('GIR Log'!$A$2:$A$73=$A521)*
      ('GIR Log'!$B$2:$B$73=$B521)*
      ('GIR Log'!$C$2:$C$73=$C521),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Log'!$E$2:$V$73,
    MATCH(1,
      ('Golf Log'!$A$2:$A$73=$A522)*
      ('Golf Log'!$B$2:$B$73=$B522)*
      ('Golf Log'!$C$2:$C$73=$C522),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Log'!$E$2:$V$73,
    MATCH(1,
      ('Putt Log'!$A$2:$A$73=$A522)*
      ('Putt Log'!$B$2:$B$73=$B522)*
      ('Putt Log'!$C$2:$C$73=$C522),
    0),
    MATCH($G522,'Putt Log'!$E$1:$V$1,0)
  ),
"")</f>
        <v>2</v>
      </c>
      <c r="P522" t="str" cm="1">
        <f t="array" ref="P522">IF(K522=3,"",
  IFERROR(
    INDEX('Fairway Log'!$E$2:$V$73,
      MATCH(1,
        ('Fairway Log'!$A$2:$A$73=$A522)*
        ('Fairway Log'!$B$2:$B$73=$B522)*
        ('Fairway Log'!$C$2:$C593=$C522),
      0),
      MATCH($G522,'Fairway Log'!$E$1:$V$1,0)
    ),
  "")
)</f>
        <v>→</v>
      </c>
      <c r="Q522" cm="1">
        <f t="array" ref="Q522">IFERROR(
  INDEX('GIR Log'!$E$2:$V$73,
    MATCH(1,
      ('GIR Log'!$A$2:$A$73=$A522)*
      ('GIR Log'!$B$2:$B$73=$B522)*
      ('GIR Log'!$C$2:$C$73=$C522),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Log'!$E$2:$V$73,
    MATCH(1,
      ('Golf Log'!$A$2:$A$73=$A523)*
      ('Golf Log'!$B$2:$B$73=$B523)*
      ('Golf Log'!$C$2:$C$73=$C523),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Log'!$E$2:$V$73,
    MATCH(1,
      ('Putt Log'!$A$2:$A$73=$A523)*
      ('Putt Log'!$B$2:$B$73=$B523)*
      ('Putt Log'!$C$2:$C$73=$C523),
    0),
    MATCH($G523,'Putt Log'!$E$1:$V$1,0)
  ),
"")</f>
        <v>2</v>
      </c>
      <c r="P523" t="str" cm="1">
        <f t="array" ref="P523">IF(K523=3,"",
  IFERROR(
    INDEX('Fairway Log'!$E$2:$V$73,
      MATCH(1,
        ('Fairway Log'!$A$2:$A$73=$A523)*
        ('Fairway Log'!$B$2:$B$73=$B523)*
        ('Fairway Log'!$C$2:$C594=$C523),
      0),
      MATCH($G523,'Fairway Log'!$E$1:$V$1,0)
    ),
  "")
)</f>
        <v>→</v>
      </c>
      <c r="Q523" cm="1">
        <f t="array" ref="Q523">IFERROR(
  INDEX('GIR Log'!$E$2:$V$73,
    MATCH(1,
      ('GIR Log'!$A$2:$A$73=$A523)*
      ('GIR Log'!$B$2:$B$73=$B523)*
      ('GIR Log'!$C$2:$C$73=$C523),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Log'!$E$2:$V$73,
    MATCH(1,
      ('Golf Log'!$A$2:$A$73=$A524)*
      ('Golf Log'!$B$2:$B$73=$B524)*
      ('Golf Log'!$C$2:$C$73=$C524),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Log'!$E$2:$V$73,
    MATCH(1,
      ('Putt Log'!$A$2:$A$73=$A524)*
      ('Putt Log'!$B$2:$B$73=$B524)*
      ('Putt Log'!$C$2:$C$73=$C524),
    0),
    MATCH($G524,'Putt Log'!$E$1:$V$1,0)
  ),
"")</f>
        <v>3</v>
      </c>
      <c r="P524" cm="1">
        <f t="array" ref="P524">IF(K524=3,"",
  IFERROR(
    INDEX('Fairway Log'!$E$2:$V$73,
      MATCH(1,
        ('Fairway Log'!$A$2:$A$73=$A524)*
        ('Fairway Log'!$B$2:$B$73=$B524)*
        ('Fairway Log'!$C$2:$C595=$C524),
      0),
      MATCH($G524,'Fairway Log'!$E$1:$V$1,0)
    ),
  "")
)</f>
        <v>1</v>
      </c>
      <c r="Q524" cm="1">
        <f t="array" ref="Q524">IFERROR(
  INDEX('GIR Log'!$E$2:$V$73,
    MATCH(1,
      ('GIR Log'!$A$2:$A$73=$A524)*
      ('GIR Log'!$B$2:$B$73=$B524)*
      ('GIR Log'!$C$2:$C$73=$C524),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Log'!$E$2:$V$73,
    MATCH(1,
      ('Golf Log'!$A$2:$A$73=$A525)*
      ('Golf Log'!$B$2:$B$73=$B525)*
      ('Golf Log'!$C$2:$C$73=$C525),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Log'!$E$2:$V$73,
    MATCH(1,
      ('Putt Log'!$A$2:$A$73=$A525)*
      ('Putt Log'!$B$2:$B$73=$B525)*
      ('Putt Log'!$C$2:$C$73=$C525),
    0),
    MATCH($G525,'Putt Log'!$E$1:$V$1,0)
  ),
"")</f>
        <v>3</v>
      </c>
      <c r="P525" cm="1">
        <f t="array" ref="P525">IF(K525=3,"",
  IFERROR(
    INDEX('Fairway Log'!$E$2:$V$73,
      MATCH(1,
        ('Fairway Log'!$A$2:$A$73=$A525)*
        ('Fairway Log'!$B$2:$B$73=$B525)*
        ('Fairway Log'!$C$2:$C596=$C525),
      0),
      MATCH($G525,'Fairway Log'!$E$1:$V$1,0)
    ),
  "")
)</f>
        <v>1</v>
      </c>
      <c r="Q525" cm="1">
        <f t="array" ref="Q525">IFERROR(
  INDEX('GIR Log'!$E$2:$V$73,
    MATCH(1,
      ('GIR Log'!$A$2:$A$73=$A525)*
      ('GIR Log'!$B$2:$B$73=$B525)*
      ('GIR Log'!$C$2:$C$73=$C525),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Log'!$E$2:$V$73,
    MATCH(1,
      ('Golf Log'!$A$2:$A$73=$A526)*
      ('Golf Log'!$B$2:$B$73=$B526)*
      ('Golf Log'!$C$2:$C$73=$C526),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Log'!$E$2:$V$73,
    MATCH(1,
      ('Putt Log'!$A$2:$A$73=$A526)*
      ('Putt Log'!$B$2:$B$73=$B526)*
      ('Putt Log'!$C$2:$C$73=$C526),
    0),
    MATCH($G526,'Putt Log'!$E$1:$V$1,0)
  ),
"")</f>
        <v>2</v>
      </c>
      <c r="P526" t="str" cm="1">
        <f t="array" ref="P526">IF(K526=3,"",
  IFERROR(
    INDEX('Fairway Log'!$E$2:$V$73,
      MATCH(1,
        ('Fairway Log'!$A$2:$A$73=$A526)*
        ('Fairway Log'!$B$2:$B$73=$B526)*
        ('Fairway Log'!$C$2:$C597=$C526),
      0),
      MATCH($G526,'Fairway Log'!$E$1:$V$1,0)
    ),
  "")
)</f>
        <v>→</v>
      </c>
      <c r="Q526" cm="1">
        <f t="array" ref="Q526">IFERROR(
  INDEX('GIR Log'!$E$2:$V$73,
    MATCH(1,
      ('GIR Log'!$A$2:$A$73=$A526)*
      ('GIR Log'!$B$2:$B$73=$B526)*
      ('GIR Log'!$C$2:$C$73=$C526),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Log'!$E$2:$V$73,
    MATCH(1,
      ('Golf Log'!$A$2:$A$73=$A527)*
      ('Golf Log'!$B$2:$B$73=$B527)*
      ('Golf Log'!$C$2:$C$73=$C527),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Log'!$E$2:$V$73,
    MATCH(1,
      ('Putt Log'!$A$2:$A$73=$A527)*
      ('Putt Log'!$B$2:$B$73=$B527)*
      ('Putt Log'!$C$2:$C$73=$C527),
    0),
    MATCH($G527,'Putt Log'!$E$1:$V$1,0)
  ),
"")</f>
        <v>1</v>
      </c>
      <c r="P527" t="str" cm="1">
        <f t="array" ref="P527">IF(K527=3,"",
  IFERROR(
    INDEX('Fairway Log'!$E$2:$V$73,
      MATCH(1,
        ('Fairway Log'!$A$2:$A$73=$A527)*
        ('Fairway Log'!$B$2:$B$73=$B527)*
        ('Fairway Log'!$C$2:$C598=$C527),
      0),
      MATCH($G527,'Fairway Log'!$E$1:$V$1,0)
    ),
  "")
)</f>
        <v/>
      </c>
      <c r="Q527" cm="1">
        <f t="array" ref="Q527">IFERROR(
  INDEX('GIR Log'!$E$2:$V$73,
    MATCH(1,
      ('GIR Log'!$A$2:$A$73=$A527)*
      ('GIR Log'!$B$2:$B$73=$B527)*
      ('GIR Log'!$C$2:$C$73=$C527),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Log'!$E$2:$V$73,
    MATCH(1,
      ('Golf Log'!$A$2:$A$73=$A528)*
      ('Golf Log'!$B$2:$B$73=$B528)*
      ('Golf Log'!$C$2:$C$73=$C528),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Log'!$E$2:$V$73,
    MATCH(1,
      ('Putt Log'!$A$2:$A$73=$A528)*
      ('Putt Log'!$B$2:$B$73=$B528)*
      ('Putt Log'!$C$2:$C$73=$C528),
    0),
    MATCH($G528,'Putt Log'!$E$1:$V$1,0)
  ),
"")</f>
        <v>2</v>
      </c>
      <c r="P528" t="str" cm="1">
        <f t="array" ref="P528">IF(K528=3,"",
  IFERROR(
    INDEX('Fairway Log'!$E$2:$V$73,
      MATCH(1,
        ('Fairway Log'!$A$2:$A$73=$A528)*
        ('Fairway Log'!$B$2:$B$73=$B528)*
        ('Fairway Log'!$C$2:$C599=$C528),
      0),
      MATCH($G528,'Fairway Log'!$E$1:$V$1,0)
    ),
  "")
)</f>
        <v>←</v>
      </c>
      <c r="Q528" cm="1">
        <f t="array" ref="Q528">IFERROR(
  INDEX('GIR Log'!$E$2:$V$73,
    MATCH(1,
      ('GIR Log'!$A$2:$A$73=$A528)*
      ('GIR Log'!$B$2:$B$73=$B528)*
      ('GIR Log'!$C$2:$C$73=$C528),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Log'!$E$2:$V$73,
    MATCH(1,
      ('Golf Log'!$A$2:$A$73=$A529)*
      ('Golf Log'!$B$2:$B$73=$B529)*
      ('Golf Log'!$C$2:$C$73=$C529),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Log'!$E$2:$V$73,
    MATCH(1,
      ('Putt Log'!$A$2:$A$73=$A529)*
      ('Putt Log'!$B$2:$B$73=$B529)*
      ('Putt Log'!$C$2:$C$73=$C529),
    0),
    MATCH($G529,'Putt Log'!$E$1:$V$1,0)
  ),
"")</f>
        <v>2</v>
      </c>
      <c r="P529" cm="1">
        <f t="array" ref="P529">IF(K529=3,"",
  IFERROR(
    INDEX('Fairway Log'!$E$2:$V$73,
      MATCH(1,
        ('Fairway Log'!$A$2:$A$73=$A529)*
        ('Fairway Log'!$B$2:$B$73=$B529)*
        ('Fairway Log'!$C$2:$C600=$C529),
      0),
      MATCH($G529,'Fairway Log'!$E$1:$V$1,0)
    ),
  "")
)</f>
        <v>1</v>
      </c>
      <c r="Q529" cm="1">
        <f t="array" ref="Q529">IFERROR(
  INDEX('GIR Log'!$E$2:$V$73,
    MATCH(1,
      ('GIR Log'!$A$2:$A$73=$A529)*
      ('GIR Log'!$B$2:$B$73=$B529)*
      ('GIR Log'!$C$2:$C$73=$C529),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Log'!$E$2:$V$73,
    MATCH(1,
      ('Golf Log'!$A$2:$A$73=$A530)*
      ('Golf Log'!$B$2:$B$73=$B530)*
      ('Golf Log'!$C$2:$C$73=$C530),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Log'!$E$2:$V$73,
    MATCH(1,
      ('Putt Log'!$A$2:$A$73=$A530)*
      ('Putt Log'!$B$2:$B$73=$B530)*
      ('Putt Log'!$C$2:$C$73=$C530),
    0),
    MATCH($G530,'Putt Log'!$E$1:$V$1,0)
  ),
"")</f>
        <v>3</v>
      </c>
      <c r="P530" t="str" cm="1">
        <f t="array" ref="P530">IF(K530=3,"",
  IFERROR(
    INDEX('Fairway Log'!$E$2:$V$73,
      MATCH(1,
        ('Fairway Log'!$A$2:$A$73=$A530)*
        ('Fairway Log'!$B$2:$B$73=$B530)*
        ('Fairway Log'!$C$2:$C601=$C530),
      0),
      MATCH($G530,'Fairway Log'!$E$1:$V$1,0)
    ),
  "")
)</f>
        <v/>
      </c>
      <c r="Q530" cm="1">
        <f t="array" ref="Q530">IFERROR(
  INDEX('GIR Log'!$E$2:$V$73,
    MATCH(1,
      ('GIR Log'!$A$2:$A$73=$A530)*
      ('GIR Log'!$B$2:$B$73=$B530)*
      ('GIR Log'!$C$2:$C$73=$C530),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Log'!$E$2:$V$73,
    MATCH(1,
      ('Golf Log'!$A$2:$A$73=$A531)*
      ('Golf Log'!$B$2:$B$73=$B531)*
      ('Golf Log'!$C$2:$C$73=$C531),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Log'!$E$2:$V$73,
    MATCH(1,
      ('Putt Log'!$A$2:$A$73=$A531)*
      ('Putt Log'!$B$2:$B$73=$B531)*
      ('Putt Log'!$C$2:$C$73=$C531),
    0),
    MATCH($G531,'Putt Log'!$E$1:$V$1,0)
  ),
"")</f>
        <v>2</v>
      </c>
      <c r="P531" t="str" cm="1">
        <f t="array" ref="P531">IF(K531=3,"",
  IFERROR(
    INDEX('Fairway Log'!$E$2:$V$73,
      MATCH(1,
        ('Fairway Log'!$A$2:$A$73=$A531)*
        ('Fairway Log'!$B$2:$B$73=$B531)*
        ('Fairway Log'!$C$2:$C602=$C531),
      0),
      MATCH($G531,'Fairway Log'!$E$1:$V$1,0)
    ),
  "")
)</f>
        <v>→</v>
      </c>
      <c r="Q531" cm="1">
        <f t="array" ref="Q531">IFERROR(
  INDEX('GIR Log'!$E$2:$V$73,
    MATCH(1,
      ('GIR Log'!$A$2:$A$73=$A531)*
      ('GIR Log'!$B$2:$B$73=$B531)*
      ('GIR Log'!$C$2:$C$73=$C531),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Log'!$E$2:$V$73,
    MATCH(1,
      ('Golf Log'!$A$2:$A$73=$A532)*
      ('Golf Log'!$B$2:$B$73=$B532)*
      ('Golf Log'!$C$2:$C$73=$C532),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Log'!$E$2:$V$73,
    MATCH(1,
      ('Putt Log'!$A$2:$A$73=$A532)*
      ('Putt Log'!$B$2:$B$73=$B532)*
      ('Putt Log'!$C$2:$C$73=$C532),
    0),
    MATCH($G532,'Putt Log'!$E$1:$V$1,0)
  ),
"")</f>
        <v>2</v>
      </c>
      <c r="P532" t="str" cm="1">
        <f t="array" ref="P532">IF(K532=3,"",
  IFERROR(
    INDEX('Fairway Log'!$E$2:$V$73,
      MATCH(1,
        ('Fairway Log'!$A$2:$A$73=$A532)*
        ('Fairway Log'!$B$2:$B$73=$B532)*
        ('Fairway Log'!$C$2:$C603=$C532),
      0),
      MATCH($G532,'Fairway Log'!$E$1:$V$1,0)
    ),
  "")
)</f>
        <v>→</v>
      </c>
      <c r="Q532" cm="1">
        <f t="array" ref="Q532">IFERROR(
  INDEX('GIR Log'!$E$2:$V$73,
    MATCH(1,
      ('GIR Log'!$A$2:$A$73=$A532)*
      ('GIR Log'!$B$2:$B$73=$B532)*
      ('GIR Log'!$C$2:$C$73=$C532),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Log'!$E$2:$V$73,
    MATCH(1,
      ('Golf Log'!$A$2:$A$73=$A533)*
      ('Golf Log'!$B$2:$B$73=$B533)*
      ('Golf Log'!$C$2:$C$73=$C533),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Log'!$E$2:$V$73,
    MATCH(1,
      ('Putt Log'!$A$2:$A$73=$A533)*
      ('Putt Log'!$B$2:$B$73=$B533)*
      ('Putt Log'!$C$2:$C$73=$C533),
    0),
    MATCH($G533,'Putt Log'!$E$1:$V$1,0)
  ),
"")</f>
        <v>2</v>
      </c>
      <c r="P533" t="str" cm="1">
        <f t="array" ref="P533">IF(K533=3,"",
  IFERROR(
    INDEX('Fairway Log'!$E$2:$V$73,
      MATCH(1,
        ('Fairway Log'!$A$2:$A$73=$A533)*
        ('Fairway Log'!$B$2:$B$73=$B533)*
        ('Fairway Log'!$C$2:$C604=$C533),
      0),
      MATCH($G533,'Fairway Log'!$E$1:$V$1,0)
    ),
  "")
)</f>
        <v>↑</v>
      </c>
      <c r="Q533" cm="1">
        <f t="array" ref="Q533">IFERROR(
  INDEX('GIR Log'!$E$2:$V$73,
    MATCH(1,
      ('GIR Log'!$A$2:$A$73=$A533)*
      ('GIR Log'!$B$2:$B$73=$B533)*
      ('GIR Log'!$C$2:$C$73=$C533),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Log'!$E$2:$V$73,
    MATCH(1,
      ('Golf Log'!$A$2:$A$73=$A534)*
      ('Golf Log'!$B$2:$B$73=$B534)*
      ('Golf Log'!$C$2:$C$73=$C534),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Log'!$E$2:$V$73,
    MATCH(1,
      ('Putt Log'!$A$2:$A$73=$A534)*
      ('Putt Log'!$B$2:$B$73=$B534)*
      ('Putt Log'!$C$2:$C$73=$C534),
    0),
    MATCH($G534,'Putt Log'!$E$1:$V$1,0)
  ),
"")</f>
        <v>1</v>
      </c>
      <c r="P534" t="str" cm="1">
        <f t="array" ref="P534">IF(K534=3,"",
  IFERROR(
    INDEX('Fairway Log'!$E$2:$V$73,
      MATCH(1,
        ('Fairway Log'!$A$2:$A$73=$A534)*
        ('Fairway Log'!$B$2:$B$73=$B534)*
        ('Fairway Log'!$C$2:$C605=$C534),
      0),
      MATCH($G534,'Fairway Log'!$E$1:$V$1,0)
    ),
  "")
)</f>
        <v/>
      </c>
      <c r="Q534" cm="1">
        <f t="array" ref="Q534">IFERROR(
  INDEX('GIR Log'!$E$2:$V$73,
    MATCH(1,
      ('GIR Log'!$A$2:$A$73=$A534)*
      ('GIR Log'!$B$2:$B$73=$B534)*
      ('GIR Log'!$C$2:$C$73=$C534),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Log'!$E$2:$V$73,
    MATCH(1,
      ('Golf Log'!$A$2:$A$73=$A535)*
      ('Golf Log'!$B$2:$B$73=$B535)*
      ('Golf Log'!$C$2:$C$73=$C535),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Log'!$E$2:$V$73,
    MATCH(1,
      ('Putt Log'!$A$2:$A$73=$A535)*
      ('Putt Log'!$B$2:$B$73=$B535)*
      ('Putt Log'!$C$2:$C$73=$C535),
    0),
    MATCH($G535,'Putt Log'!$E$1:$V$1,0)
  ),
"")</f>
        <v>2</v>
      </c>
      <c r="P535" cm="1">
        <f t="array" ref="P535">IF(K535=3,"",
  IFERROR(
    INDEX('Fairway Log'!$E$2:$V$73,
      MATCH(1,
        ('Fairway Log'!$A$2:$A$73=$A535)*
        ('Fairway Log'!$B$2:$B$73=$B535)*
        ('Fairway Log'!$C$2:$C606=$C535),
      0),
      MATCH($G535,'Fairway Log'!$E$1:$V$1,0)
    ),
  "")
)</f>
        <v>1</v>
      </c>
      <c r="Q535" cm="1">
        <f t="array" ref="Q535">IFERROR(
  INDEX('GIR Log'!$E$2:$V$73,
    MATCH(1,
      ('GIR Log'!$A$2:$A$73=$A535)*
      ('GIR Log'!$B$2:$B$73=$B535)*
      ('GIR Log'!$C$2:$C$73=$C535),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Log'!$E$2:$V$73,
    MATCH(1,
      ('Golf Log'!$A$2:$A$73=$A536)*
      ('Golf Log'!$B$2:$B$73=$B536)*
      ('Golf Log'!$C$2:$C$73=$C536),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Log'!$E$2:$V$73,
    MATCH(1,
      ('Putt Log'!$A$2:$A$73=$A536)*
      ('Putt Log'!$B$2:$B$73=$B536)*
      ('Putt Log'!$C$2:$C$73=$C536),
    0),
    MATCH($G536,'Putt Log'!$E$1:$V$1,0)
  ),
"")</f>
        <v>3</v>
      </c>
      <c r="P536" cm="1">
        <f t="array" ref="P536">IF(K536=3,"",
  IFERROR(
    INDEX('Fairway Log'!$E$2:$V$73,
      MATCH(1,
        ('Fairway Log'!$A$2:$A$73=$A536)*
        ('Fairway Log'!$B$2:$B$73=$B536)*
        ('Fairway Log'!$C$2:$C607=$C536),
      0),
      MATCH($G536,'Fairway Log'!$E$1:$V$1,0)
    ),
  "")
)</f>
        <v>1</v>
      </c>
      <c r="Q536" cm="1">
        <f t="array" ref="Q536">IFERROR(
  INDEX('GIR Log'!$E$2:$V$73,
    MATCH(1,
      ('GIR Log'!$A$2:$A$73=$A536)*
      ('GIR Log'!$B$2:$B$73=$B536)*
      ('GIR Log'!$C$2:$C$73=$C536),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Log'!$E$2:$V$73,
    MATCH(1,
      ('Golf Log'!$A$2:$A$73=$A537)*
      ('Golf Log'!$B$2:$B$73=$B537)*
      ('Golf Log'!$C$2:$C$73=$C537),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Log'!$E$2:$V$73,
    MATCH(1,
      ('Putt Log'!$A$2:$A$73=$A537)*
      ('Putt Log'!$B$2:$B$73=$B537)*
      ('Putt Log'!$C$2:$C$73=$C537),
    0),
    MATCH($G537,'Putt Log'!$E$1:$V$1,0)
  ),
"")</f>
        <v>1</v>
      </c>
      <c r="P537" t="str" cm="1">
        <f t="array" ref="P537">IF(K537=3,"",
  IFERROR(
    INDEX('Fairway Log'!$E$2:$V$73,
      MATCH(1,
        ('Fairway Log'!$A$2:$A$73=$A537)*
        ('Fairway Log'!$B$2:$B$73=$B537)*
        ('Fairway Log'!$C$2:$C608=$C537),
      0),
      MATCH($G537,'Fairway Log'!$E$1:$V$1,0)
    ),
  "")
)</f>
        <v/>
      </c>
      <c r="Q537" cm="1">
        <f t="array" ref="Q537">IFERROR(
  INDEX('GIR Log'!$E$2:$V$73,
    MATCH(1,
      ('GIR Log'!$A$2:$A$73=$A537)*
      ('GIR Log'!$B$2:$B$73=$B537)*
      ('GIR Log'!$C$2:$C$73=$C537),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Log'!$E$2:$V$73,
    MATCH(1,
      ('Golf Log'!$A$2:$A$73=$A538)*
      ('Golf Log'!$B$2:$B$73=$B538)*
      ('Golf Log'!$C$2:$C$73=$C538),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Log'!$E$2:$V$73,
    MATCH(1,
      ('Putt Log'!$A$2:$A$73=$A538)*
      ('Putt Log'!$B$2:$B$73=$B538)*
      ('Putt Log'!$C$2:$C$73=$C538),
    0),
    MATCH($G538,'Putt Log'!$E$1:$V$1,0)
  ),
"")</f>
        <v>1</v>
      </c>
      <c r="P538" cm="1">
        <f t="array" ref="P538">IF(K538=3,"",
  IFERROR(
    INDEX('Fairway Log'!$E$2:$V$73,
      MATCH(1,
        ('Fairway Log'!$A$2:$A$73=$A538)*
        ('Fairway Log'!$B$2:$B$73=$B538)*
        ('Fairway Log'!$C$2:$C609=$C538),
      0),
      MATCH($G538,'Fairway Log'!$E$1:$V$1,0)
    ),
  "")
)</f>
        <v>1</v>
      </c>
      <c r="Q538" cm="1">
        <f t="array" ref="Q538">IFERROR(
  INDEX('GIR Log'!$E$2:$V$73,
    MATCH(1,
      ('GIR Log'!$A$2:$A$73=$A538)*
      ('GIR Log'!$B$2:$B$73=$B538)*
      ('GIR Log'!$C$2:$C$73=$C538),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Log'!$E$2:$V$73,
    MATCH(1,
      ('Golf Log'!$A$2:$A$73=$A539)*
      ('Golf Log'!$B$2:$B$73=$B539)*
      ('Golf Log'!$C$2:$C$73=$C539),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Log'!$E$2:$V$73,
    MATCH(1,
      ('Putt Log'!$A$2:$A$73=$A539)*
      ('Putt Log'!$B$2:$B$73=$B539)*
      ('Putt Log'!$C$2:$C$73=$C539),
    0),
    MATCH($G539,'Putt Log'!$E$1:$V$1,0)
  ),
"")</f>
        <v>2</v>
      </c>
      <c r="P539" cm="1">
        <f t="array" ref="P539">IF(K539=3,"",
  IFERROR(
    INDEX('Fairway Log'!$E$2:$V$73,
      MATCH(1,
        ('Fairway Log'!$A$2:$A$73=$A539)*
        ('Fairway Log'!$B$2:$B$73=$B539)*
        ('Fairway Log'!$C$2:$C610=$C539),
      0),
      MATCH($G539,'Fairway Log'!$E$1:$V$1,0)
    ),
  "")
)</f>
        <v>0</v>
      </c>
      <c r="Q539" cm="1">
        <f t="array" ref="Q539">IFERROR(
  INDEX('GIR Log'!$E$2:$V$73,
    MATCH(1,
      ('GIR Log'!$A$2:$A$73=$A539)*
      ('GIR Log'!$B$2:$B$73=$B539)*
      ('GIR Log'!$C$2:$C$73=$C539),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Log'!$E$2:$V$73,
    MATCH(1,
      ('Golf Log'!$A$2:$A$73=$A540)*
      ('Golf Log'!$B$2:$B$73=$B540)*
      ('Golf Log'!$C$2:$C$73=$C540),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Log'!$E$2:$V$73,
    MATCH(1,
      ('Putt Log'!$A$2:$A$73=$A540)*
      ('Putt Log'!$B$2:$B$73=$B540)*
      ('Putt Log'!$C$2:$C$73=$C540),
    0),
    MATCH($G540,'Putt Log'!$E$1:$V$1,0)
  ),
"")</f>
        <v>2</v>
      </c>
      <c r="P540" cm="1">
        <f t="array" ref="P540">IF(K540=3,"",
  IFERROR(
    INDEX('Fairway Log'!$E$2:$V$73,
      MATCH(1,
        ('Fairway Log'!$A$2:$A$73=$A540)*
        ('Fairway Log'!$B$2:$B$73=$B540)*
        ('Fairway Log'!$C$2:$C611=$C540),
      0),
      MATCH($G540,'Fairway Log'!$E$1:$V$1,0)
    ),
  "")
)</f>
        <v>0</v>
      </c>
      <c r="Q540" cm="1">
        <f t="array" ref="Q540">IFERROR(
  INDEX('GIR Log'!$E$2:$V$73,
    MATCH(1,
      ('GIR Log'!$A$2:$A$73=$A540)*
      ('GIR Log'!$B$2:$B$73=$B540)*
      ('GIR Log'!$C$2:$C$73=$C540),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Log'!$E$2:$V$73,
    MATCH(1,
      ('Golf Log'!$A$2:$A$73=$A541)*
      ('Golf Log'!$B$2:$B$73=$B541)*
      ('Golf Log'!$C$2:$C$73=$C541),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Log'!$E$2:$V$73,
    MATCH(1,
      ('Putt Log'!$A$2:$A$73=$A541)*
      ('Putt Log'!$B$2:$B$73=$B541)*
      ('Putt Log'!$C$2:$C$73=$C541),
    0),
    MATCH($G541,'Putt Log'!$E$1:$V$1,0)
  ),
"")</f>
        <v>2</v>
      </c>
      <c r="P541" cm="1">
        <f t="array" ref="P541">IF(K541=3,"",
  IFERROR(
    INDEX('Fairway Log'!$E$2:$V$73,
      MATCH(1,
        ('Fairway Log'!$A$2:$A$73=$A541)*
        ('Fairway Log'!$B$2:$B$73=$B541)*
        ('Fairway Log'!$C$2:$C612=$C541),
      0),
      MATCH($G541,'Fairway Log'!$E$1:$V$1,0)
    ),
  "")
)</f>
        <v>0</v>
      </c>
      <c r="Q541" cm="1">
        <f t="array" ref="Q541">IFERROR(
  INDEX('GIR Log'!$E$2:$V$73,
    MATCH(1,
      ('GIR Log'!$A$2:$A$73=$A541)*
      ('GIR Log'!$B$2:$B$73=$B541)*
      ('GIR Log'!$C$2:$C$73=$C541),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Log'!$E$2:$V$73,
    MATCH(1,
      ('Golf Log'!$A$2:$A$73=$A542)*
      ('Golf Log'!$B$2:$B$73=$B542)*
      ('Golf Log'!$C$2:$C$73=$C542),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Log'!$E$2:$V$73,
    MATCH(1,
      ('Putt Log'!$A$2:$A$73=$A542)*
      ('Putt Log'!$B$2:$B$73=$B542)*
      ('Putt Log'!$C$2:$C$73=$C542),
    0),
    MATCH($G542,'Putt Log'!$E$1:$V$1,0)
  ),
"")</f>
        <v>2</v>
      </c>
      <c r="P542" t="str" cm="1">
        <f t="array" ref="P542">IF(K542=3,"",
  IFERROR(
    INDEX('Fairway Log'!$E$2:$V$73,
      MATCH(1,
        ('Fairway Log'!$A$2:$A$73=$A542)*
        ('Fairway Log'!$B$2:$B$73=$B542)*
        ('Fairway Log'!$C$2:$C613=$C542),
      0),
      MATCH($G542,'Fairway Log'!$E$1:$V$1,0)
    ),
  "")
)</f>
        <v>↓</v>
      </c>
      <c r="Q542" cm="1">
        <f t="array" ref="Q542">IFERROR(
  INDEX('GIR Log'!$E$2:$V$73,
    MATCH(1,
      ('GIR Log'!$A$2:$A$73=$A542)*
      ('GIR Log'!$B$2:$B$73=$B542)*
      ('GIR Log'!$C$2:$C$73=$C542),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Log'!$E$2:$V$73,
    MATCH(1,
      ('Golf Log'!$A$2:$A$73=$A543)*
      ('Golf Log'!$B$2:$B$73=$B543)*
      ('Golf Log'!$C$2:$C$73=$C543),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Log'!$E$2:$V$73,
    MATCH(1,
      ('Putt Log'!$A$2:$A$73=$A543)*
      ('Putt Log'!$B$2:$B$73=$B543)*
      ('Putt Log'!$C$2:$C$73=$C543),
    0),
    MATCH($G543,'Putt Log'!$E$1:$V$1,0)
  ),
"")</f>
        <v>1</v>
      </c>
      <c r="P543" t="str" cm="1">
        <f t="array" ref="P543">IF(K543=3,"",
  IFERROR(
    INDEX('Fairway Log'!$E$2:$V$73,
      MATCH(1,
        ('Fairway Log'!$A$2:$A$73=$A543)*
        ('Fairway Log'!$B$2:$B$73=$B543)*
        ('Fairway Log'!$C$2:$C614=$C543),
      0),
      MATCH($G543,'Fairway Log'!$E$1:$V$1,0)
    ),
  "")
)</f>
        <v>→</v>
      </c>
      <c r="Q543" cm="1">
        <f t="array" ref="Q543">IFERROR(
  INDEX('GIR Log'!$E$2:$V$73,
    MATCH(1,
      ('GIR Log'!$A$2:$A$73=$A543)*
      ('GIR Log'!$B$2:$B$73=$B543)*
      ('GIR Log'!$C$2:$C$73=$C543),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Log'!$E$2:$V$73,
    MATCH(1,
      ('Golf Log'!$A$2:$A$73=$A544)*
      ('Golf Log'!$B$2:$B$73=$B544)*
      ('Golf Log'!$C$2:$C$73=$C544),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Log'!$E$2:$V$73,
    MATCH(1,
      ('Putt Log'!$A$2:$A$73=$A544)*
      ('Putt Log'!$B$2:$B$73=$B544)*
      ('Putt Log'!$C$2:$C$73=$C544),
    0),
    MATCH($G544,'Putt Log'!$E$1:$V$1,0)
  ),
"")</f>
        <v>2</v>
      </c>
      <c r="P544" t="str" cm="1">
        <f t="array" ref="P544">IF(K544=3,"",
  IFERROR(
    INDEX('Fairway Log'!$E$2:$V$73,
      MATCH(1,
        ('Fairway Log'!$A$2:$A$73=$A544)*
        ('Fairway Log'!$B$2:$B$73=$B544)*
        ('Fairway Log'!$C$2:$C615=$C544),
      0),
      MATCH($G544,'Fairway Log'!$E$1:$V$1,0)
    ),
  "")
)</f>
        <v/>
      </c>
      <c r="Q544" cm="1">
        <f t="array" ref="Q544">IFERROR(
  INDEX('GIR Log'!$E$2:$V$73,
    MATCH(1,
      ('GIR Log'!$A$2:$A$73=$A544)*
      ('GIR Log'!$B$2:$B$73=$B544)*
      ('GIR Log'!$C$2:$C$73=$C544),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Log'!$E$2:$V$73,
    MATCH(1,
      ('Golf Log'!$A$2:$A$73=$A545)*
      ('Golf Log'!$B$2:$B$73=$B545)*
      ('Golf Log'!$C$2:$C$73=$C545),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Log'!$E$2:$V$73,
    MATCH(1,
      ('Putt Log'!$A$2:$A$73=$A545)*
      ('Putt Log'!$B$2:$B$73=$B545)*
      ('Putt Log'!$C$2:$C$73=$C545),
    0),
    MATCH($G545,'Putt Log'!$E$1:$V$1,0)
  ),
"")</f>
        <v>2</v>
      </c>
      <c r="P545" cm="1">
        <f t="array" ref="P545">IF(K545=3,"",
  IFERROR(
    INDEX('Fairway Log'!$E$2:$V$73,
      MATCH(1,
        ('Fairway Log'!$A$2:$A$73=$A545)*
        ('Fairway Log'!$B$2:$B$73=$B545)*
        ('Fairway Log'!$C$2:$C616=$C545),
      0),
      MATCH($G545,'Fairway Log'!$E$1:$V$1,0)
    ),
  "")
)</f>
        <v>1</v>
      </c>
      <c r="Q545" cm="1">
        <f t="array" ref="Q545">IFERROR(
  INDEX('GIR Log'!$E$2:$V$73,
    MATCH(1,
      ('GIR Log'!$A$2:$A$73=$A545)*
      ('GIR Log'!$B$2:$B$73=$B545)*
      ('GIR Log'!$C$2:$C$73=$C545),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Log'!$E$2:$V$73,
    MATCH(1,
      ('Golf Log'!$A$2:$A$73=$A546)*
      ('Golf Log'!$B$2:$B$73=$B546)*
      ('Golf Log'!$C$2:$C$73=$C546),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Log'!$E$2:$V$73,
    MATCH(1,
      ('Putt Log'!$A$2:$A$73=$A546)*
      ('Putt Log'!$B$2:$B$73=$B546)*
      ('Putt Log'!$C$2:$C$73=$C546),
    0),
    MATCH($G546,'Putt Log'!$E$1:$V$1,0)
  ),
"")</f>
        <v>2</v>
      </c>
      <c r="P546" cm="1">
        <f t="array" ref="P546">IF(K546=3,"",
  IFERROR(
    INDEX('Fairway Log'!$E$2:$V$73,
      MATCH(1,
        ('Fairway Log'!$A$2:$A$73=$A546)*
        ('Fairway Log'!$B$2:$B$73=$B546)*
        ('Fairway Log'!$C$2:$C617=$C546),
      0),
      MATCH($G546,'Fairway Log'!$E$1:$V$1,0)
    ),
  "")
)</f>
        <v>1</v>
      </c>
      <c r="Q546" cm="1">
        <f t="array" ref="Q546">IFERROR(
  INDEX('GIR Log'!$E$2:$V$73,
    MATCH(1,
      ('GIR Log'!$A$2:$A$73=$A546)*
      ('GIR Log'!$B$2:$B$73=$B546)*
      ('GIR Log'!$C$2:$C$73=$C546),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Log'!$E$2:$V$73,
    MATCH(1,
      ('Golf Log'!$A$2:$A$73=$A547)*
      ('Golf Log'!$B$2:$B$73=$B547)*
      ('Golf Log'!$C$2:$C$73=$C547),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Log'!$E$2:$V$73,
    MATCH(1,
      ('Putt Log'!$A$2:$A$73=$A547)*
      ('Putt Log'!$B$2:$B$73=$B547)*
      ('Putt Log'!$C$2:$C$73=$C547),
    0),
    MATCH($G547,'Putt Log'!$E$1:$V$1,0)
  ),
"")</f>
        <v>2</v>
      </c>
      <c r="P547" t="str" cm="1">
        <f t="array" ref="P547">IF(K547=3,"",
  IFERROR(
    INDEX('Fairway Log'!$E$2:$V$73,
      MATCH(1,
        ('Fairway Log'!$A$2:$A$73=$A547)*
        ('Fairway Log'!$B$2:$B$73=$B547)*
        ('Fairway Log'!$C$2:$C618=$C547),
      0),
      MATCH($G547,'Fairway Log'!$E$1:$V$1,0)
    ),
  "")
)</f>
        <v/>
      </c>
      <c r="Q547" cm="1">
        <f t="array" ref="Q547">IFERROR(
  INDEX('GIR Log'!$E$2:$V$73,
    MATCH(1,
      ('GIR Log'!$A$2:$A$73=$A547)*
      ('GIR Log'!$B$2:$B$73=$B547)*
      ('GIR Log'!$C$2:$C$73=$C547),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Log'!$E$2:$V$73,
    MATCH(1,
      ('Golf Log'!$A$2:$A$73=$A548)*
      ('Golf Log'!$B$2:$B$73=$B548)*
      ('Golf Log'!$C$2:$C$73=$C548),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Log'!$E$2:$V$73,
    MATCH(1,
      ('Putt Log'!$A$2:$A$73=$A548)*
      ('Putt Log'!$B$2:$B$73=$B548)*
      ('Putt Log'!$C$2:$C$73=$C548),
    0),
    MATCH($G548,'Putt Log'!$E$1:$V$1,0)
  ),
"")</f>
        <v>3</v>
      </c>
      <c r="P548" cm="1">
        <f t="array" ref="P548">IF(K548=3,"",
  IFERROR(
    INDEX('Fairway Log'!$E$2:$V$73,
      MATCH(1,
        ('Fairway Log'!$A$2:$A$73=$A548)*
        ('Fairway Log'!$B$2:$B$73=$B548)*
        ('Fairway Log'!$C$2:$C619=$C548),
      0),
      MATCH($G548,'Fairway Log'!$E$1:$V$1,0)
    ),
  "")
)</f>
        <v>1</v>
      </c>
      <c r="Q548" cm="1">
        <f t="array" ref="Q548">IFERROR(
  INDEX('GIR Log'!$E$2:$V$73,
    MATCH(1,
      ('GIR Log'!$A$2:$A$73=$A548)*
      ('GIR Log'!$B$2:$B$73=$B548)*
      ('GIR Log'!$C$2:$C$73=$C548),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Log'!$E$2:$V$73,
    MATCH(1,
      ('Golf Log'!$A$2:$A$73=$A549)*
      ('Golf Log'!$B$2:$B$73=$B549)*
      ('Golf Log'!$C$2:$C$73=$C549),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Log'!$E$2:$V$73,
    MATCH(1,
      ('Putt Log'!$A$2:$A$73=$A549)*
      ('Putt Log'!$B$2:$B$73=$B549)*
      ('Putt Log'!$C$2:$C$73=$C549),
    0),
    MATCH($G549,'Putt Log'!$E$1:$V$1,0)
  ),
"")</f>
        <v>2</v>
      </c>
      <c r="P549" t="str" cm="1">
        <f t="array" ref="P549">IF(K549=3,"",
  IFERROR(
    INDEX('Fairway Log'!$E$2:$V$73,
      MATCH(1,
        ('Fairway Log'!$A$2:$A$73=$A549)*
        ('Fairway Log'!$B$2:$B$73=$B549)*
        ('Fairway Log'!$C$2:$C620=$C549),
      0),
      MATCH($G549,'Fairway Log'!$E$1:$V$1,0)
    ),
  "")
)</f>
        <v>↑</v>
      </c>
      <c r="Q549" cm="1">
        <f t="array" ref="Q549">IFERROR(
  INDEX('GIR Log'!$E$2:$V$73,
    MATCH(1,
      ('GIR Log'!$A$2:$A$73=$A549)*
      ('GIR Log'!$B$2:$B$73=$B549)*
      ('GIR Log'!$C$2:$C$73=$C549),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Log'!$E$2:$V$73,
    MATCH(1,
      ('Golf Log'!$A$2:$A$73=$A550)*
      ('Golf Log'!$B$2:$B$73=$B550)*
      ('Golf Log'!$C$2:$C$73=$C550),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Log'!$E$2:$V$73,
    MATCH(1,
      ('Putt Log'!$A$2:$A$73=$A550)*
      ('Putt Log'!$B$2:$B$73=$B550)*
      ('Putt Log'!$C$2:$C$73=$C550),
    0),
    MATCH($G550,'Putt Log'!$E$1:$V$1,0)
  ),
"")</f>
        <v>3</v>
      </c>
      <c r="P550" t="str" cm="1">
        <f t="array" ref="P550">IF(K550=3,"",
  IFERROR(
    INDEX('Fairway Log'!$E$2:$V$73,
      MATCH(1,
        ('Fairway Log'!$A$2:$A$73=$A550)*
        ('Fairway Log'!$B$2:$B$73=$B550)*
        ('Fairway Log'!$C$2:$C621=$C550),
      0),
      MATCH($G550,'Fairway Log'!$E$1:$V$1,0)
    ),
  "")
)</f>
        <v>→</v>
      </c>
      <c r="Q550" cm="1">
        <f t="array" ref="Q550">IFERROR(
  INDEX('GIR Log'!$E$2:$V$73,
    MATCH(1,
      ('GIR Log'!$A$2:$A$73=$A550)*
      ('GIR Log'!$B$2:$B$73=$B550)*
      ('GIR Log'!$C$2:$C$73=$C550),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Log'!$E$2:$V$73,
    MATCH(1,
      ('Golf Log'!$A$2:$A$73=$A551)*
      ('Golf Log'!$B$2:$B$73=$B551)*
      ('Golf Log'!$C$2:$C$73=$C551),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Log'!$E$2:$V$73,
    MATCH(1,
      ('Putt Log'!$A$2:$A$73=$A551)*
      ('Putt Log'!$B$2:$B$73=$B551)*
      ('Putt Log'!$C$2:$C$73=$C551),
    0),
    MATCH($G551,'Putt Log'!$E$1:$V$1,0)
  ),
"")</f>
        <v>2</v>
      </c>
      <c r="P551" cm="1">
        <f t="array" ref="P551">IF(K551=3,"",
  IFERROR(
    INDEX('Fairway Log'!$E$2:$V$73,
      MATCH(1,
        ('Fairway Log'!$A$2:$A$73=$A551)*
        ('Fairway Log'!$B$2:$B$73=$B551)*
        ('Fairway Log'!$C$2:$C622=$C551),
      0),
      MATCH($G551,'Fairway Log'!$E$1:$V$1,0)
    ),
  "")
)</f>
        <v>1</v>
      </c>
      <c r="Q551" cm="1">
        <f t="array" ref="Q551">IFERROR(
  INDEX('GIR Log'!$E$2:$V$73,
    MATCH(1,
      ('GIR Log'!$A$2:$A$73=$A551)*
      ('GIR Log'!$B$2:$B$73=$B551)*
      ('GIR Log'!$C$2:$C$73=$C551),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Log'!$E$2:$V$73,
    MATCH(1,
      ('Golf Log'!$A$2:$A$73=$A552)*
      ('Golf Log'!$B$2:$B$73=$B552)*
      ('Golf Log'!$C$2:$C$73=$C552),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Log'!$E$2:$V$73,
    MATCH(1,
      ('Putt Log'!$A$2:$A$73=$A552)*
      ('Putt Log'!$B$2:$B$73=$B552)*
      ('Putt Log'!$C$2:$C$73=$C552),
    0),
    MATCH($G552,'Putt Log'!$E$1:$V$1,0)
  ),
"")</f>
        <v>3</v>
      </c>
      <c r="P552" t="str" cm="1">
        <f t="array" ref="P552">IF(K552=3,"",
  IFERROR(
    INDEX('Fairway Log'!$E$2:$V$73,
      MATCH(1,
        ('Fairway Log'!$A$2:$A$73=$A552)*
        ('Fairway Log'!$B$2:$B$73=$B552)*
        ('Fairway Log'!$C$2:$C623=$C552),
      0),
      MATCH($G552,'Fairway Log'!$E$1:$V$1,0)
    ),
  "")
)</f>
        <v/>
      </c>
      <c r="Q552" cm="1">
        <f t="array" ref="Q552">IFERROR(
  INDEX('GIR Log'!$E$2:$V$73,
    MATCH(1,
      ('GIR Log'!$A$2:$A$73=$A552)*
      ('GIR Log'!$B$2:$B$73=$B552)*
      ('GIR Log'!$C$2:$C$73=$C552),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Log'!$E$2:$V$73,
    MATCH(1,
      ('Golf Log'!$A$2:$A$73=$A553)*
      ('Golf Log'!$B$2:$B$73=$B553)*
      ('Golf Log'!$C$2:$C$73=$C553),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Log'!$E$2:$V$73,
    MATCH(1,
      ('Putt Log'!$A$2:$A$73=$A553)*
      ('Putt Log'!$B$2:$B$73=$B553)*
      ('Putt Log'!$C$2:$C$73=$C553),
    0),
    MATCH($G553,'Putt Log'!$E$1:$V$1,0)
  ),
"")</f>
        <v>2</v>
      </c>
      <c r="P553" t="str" cm="1">
        <f t="array" ref="P553">IF(K553=3,"",
  IFERROR(
    INDEX('Fairway Log'!$E$2:$V$73,
      MATCH(1,
        ('Fairway Log'!$A$2:$A$73=$A553)*
        ('Fairway Log'!$B$2:$B$73=$B553)*
        ('Fairway Log'!$C$2:$C624=$C553),
      0),
      MATCH($G553,'Fairway Log'!$E$1:$V$1,0)
    ),
  "")
)</f>
        <v>↑</v>
      </c>
      <c r="Q553" cm="1">
        <f t="array" ref="Q553">IFERROR(
  INDEX('GIR Log'!$E$2:$V$73,
    MATCH(1,
      ('GIR Log'!$A$2:$A$73=$A553)*
      ('GIR Log'!$B$2:$B$73=$B553)*
      ('GIR Log'!$C$2:$C$73=$C553),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Log'!$E$2:$V$73,
    MATCH(1,
      ('Golf Log'!$A$2:$A$73=$A554)*
      ('Golf Log'!$B$2:$B$73=$B554)*
      ('Golf Log'!$C$2:$C$73=$C554),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Log'!$E$2:$V$73,
    MATCH(1,
      ('Putt Log'!$A$2:$A$73=$A554)*
      ('Putt Log'!$B$2:$B$73=$B554)*
      ('Putt Log'!$C$2:$C$73=$C554),
    0),
    MATCH($G554,'Putt Log'!$E$1:$V$1,0)
  ),
"")</f>
        <v>2</v>
      </c>
      <c r="P554" t="str" cm="1">
        <f t="array" ref="P554">IF(K554=3,"",
  IFERROR(
    INDEX('Fairway Log'!$E$2:$V$73,
      MATCH(1,
        ('Fairway Log'!$A$2:$A$73=$A554)*
        ('Fairway Log'!$B$2:$B$73=$B554)*
        ('Fairway Log'!$C$2:$C625=$C554),
      0),
      MATCH($G554,'Fairway Log'!$E$1:$V$1,0)
    ),
  "")
)</f>
        <v>→</v>
      </c>
      <c r="Q554" cm="1">
        <f t="array" ref="Q554">IFERROR(
  INDEX('GIR Log'!$E$2:$V$73,
    MATCH(1,
      ('GIR Log'!$A$2:$A$73=$A554)*
      ('GIR Log'!$B$2:$B$73=$B554)*
      ('GIR Log'!$C$2:$C$73=$C554),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Log'!$E$2:$V$73,
    MATCH(1,
      ('Golf Log'!$A$2:$A$73=$A555)*
      ('Golf Log'!$B$2:$B$73=$B555)*
      ('Golf Log'!$C$2:$C$73=$C555),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Log'!$E$2:$V$73,
    MATCH(1,
      ('Putt Log'!$A$2:$A$73=$A555)*
      ('Putt Log'!$B$2:$B$73=$B555)*
      ('Putt Log'!$C$2:$C$73=$C555),
    0),
    MATCH($G555,'Putt Log'!$E$1:$V$1,0)
  ),
"")</f>
        <v>2</v>
      </c>
      <c r="P555" cm="1">
        <f t="array" ref="P555">IF(K555=3,"",
  IFERROR(
    INDEX('Fairway Log'!$E$2:$V$73,
      MATCH(1,
        ('Fairway Log'!$A$2:$A$73=$A555)*
        ('Fairway Log'!$B$2:$B$73=$B555)*
        ('Fairway Log'!$C$2:$C626=$C555),
      0),
      MATCH($G555,'Fairway Log'!$E$1:$V$1,0)
    ),
  "")
)</f>
        <v>1</v>
      </c>
      <c r="Q555" cm="1">
        <f t="array" ref="Q555">IFERROR(
  INDEX('GIR Log'!$E$2:$V$73,
    MATCH(1,
      ('GIR Log'!$A$2:$A$73=$A555)*
      ('GIR Log'!$B$2:$B$73=$B555)*
      ('GIR Log'!$C$2:$C$73=$C555),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Log'!$E$2:$V$73,
    MATCH(1,
      ('Golf Log'!$A$2:$A$73=$A556)*
      ('Golf Log'!$B$2:$B$73=$B556)*
      ('Golf Log'!$C$2:$C$73=$C556),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Log'!$E$2:$V$73,
    MATCH(1,
      ('Putt Log'!$A$2:$A$73=$A556)*
      ('Putt Log'!$B$2:$B$73=$B556)*
      ('Putt Log'!$C$2:$C$73=$C556),
    0),
    MATCH($G556,'Putt Log'!$E$1:$V$1,0)
  ),
"")</f>
        <v>2</v>
      </c>
      <c r="P556" t="str" cm="1">
        <f t="array" ref="P556">IF(K556=3,"",
  IFERROR(
    INDEX('Fairway Log'!$E$2:$V$73,
      MATCH(1,
        ('Fairway Log'!$A$2:$A$73=$A556)*
        ('Fairway Log'!$B$2:$B$73=$B556)*
        ('Fairway Log'!$C$2:$C627=$C556),
      0),
      MATCH($G556,'Fairway Log'!$E$1:$V$1,0)
    ),
  "")
)</f>
        <v/>
      </c>
      <c r="Q556" cm="1">
        <f t="array" ref="Q556">IFERROR(
  INDEX('GIR Log'!$E$2:$V$73,
    MATCH(1,
      ('GIR Log'!$A$2:$A$73=$A556)*
      ('GIR Log'!$B$2:$B$73=$B556)*
      ('GIR Log'!$C$2:$C$73=$C556),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Log'!$E$2:$V$73,
    MATCH(1,
      ('Golf Log'!$A$2:$A$73=$A557)*
      ('Golf Log'!$B$2:$B$73=$B557)*
      ('Golf Log'!$C$2:$C$73=$C557),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Log'!$E$2:$V$73,
    MATCH(1,
      ('Putt Log'!$A$2:$A$73=$A557)*
      ('Putt Log'!$B$2:$B$73=$B557)*
      ('Putt Log'!$C$2:$C$73=$C557),
    0),
    MATCH($G557,'Putt Log'!$E$1:$V$1,0)
  ),
"")</f>
        <v>2</v>
      </c>
      <c r="P557" cm="1">
        <f t="array" ref="P557">IF(K557=3,"",
  IFERROR(
    INDEX('Fairway Log'!$E$2:$V$73,
      MATCH(1,
        ('Fairway Log'!$A$2:$A$73=$A557)*
        ('Fairway Log'!$B$2:$B$73=$B557)*
        ('Fairway Log'!$C$2:$C628=$C557),
      0),
      MATCH($G557,'Fairway Log'!$E$1:$V$1,0)
    ),
  "")
)</f>
        <v>1</v>
      </c>
      <c r="Q557" cm="1">
        <f t="array" ref="Q557">IFERROR(
  INDEX('GIR Log'!$E$2:$V$73,
    MATCH(1,
      ('GIR Log'!$A$2:$A$73=$A557)*
      ('GIR Log'!$B$2:$B$73=$B557)*
      ('GIR Log'!$C$2:$C$73=$C557),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Log'!$E$2:$V$73,
    MATCH(1,
      ('Golf Log'!$A$2:$A$73=$A558)*
      ('Golf Log'!$B$2:$B$73=$B558)*
      ('Golf Log'!$C$2:$C$73=$C558),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Log'!$E$2:$V$73,
    MATCH(1,
      ('Putt Log'!$A$2:$A$73=$A558)*
      ('Putt Log'!$B$2:$B$73=$B558)*
      ('Putt Log'!$C$2:$C$73=$C558),
    0),
    MATCH($G558,'Putt Log'!$E$1:$V$1,0)
  ),
"")</f>
        <v>2</v>
      </c>
      <c r="P558" cm="1">
        <f t="array" ref="P558">IF(K558=3,"",
  IFERROR(
    INDEX('Fairway Log'!$E$2:$V$73,
      MATCH(1,
        ('Fairway Log'!$A$2:$A$73=$A558)*
        ('Fairway Log'!$B$2:$B$73=$B558)*
        ('Fairway Log'!$C$2:$C629=$C558),
      0),
      MATCH($G558,'Fairway Log'!$E$1:$V$1,0)
    ),
  "")
)</f>
        <v>1</v>
      </c>
      <c r="Q558" cm="1">
        <f t="array" ref="Q558">IFERROR(
  INDEX('GIR Log'!$E$2:$V$73,
    MATCH(1,
      ('GIR Log'!$A$2:$A$73=$A558)*
      ('GIR Log'!$B$2:$B$73=$B558)*
      ('GIR Log'!$C$2:$C$73=$C558),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Log'!$E$2:$V$73,
    MATCH(1,
      ('Golf Log'!$A$2:$A$73=$A559)*
      ('Golf Log'!$B$2:$B$73=$B559)*
      ('Golf Log'!$C$2:$C$73=$C559),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Log'!$E$2:$V$73,
    MATCH(1,
      ('Putt Log'!$A$2:$A$73=$A559)*
      ('Putt Log'!$B$2:$B$73=$B559)*
      ('Putt Log'!$C$2:$C$73=$C559),
    0),
    MATCH($G559,'Putt Log'!$E$1:$V$1,0)
  ),
"")</f>
        <v>1</v>
      </c>
      <c r="P559" t="str" cm="1">
        <f t="array" ref="P559">IF(K559=3,"",
  IFERROR(
    INDEX('Fairway Log'!$E$2:$V$73,
      MATCH(1,
        ('Fairway Log'!$A$2:$A$73=$A559)*
        ('Fairway Log'!$B$2:$B$73=$B559)*
        ('Fairway Log'!$C$2:$C630=$C559),
      0),
      MATCH($G559,'Fairway Log'!$E$1:$V$1,0)
    ),
  "")
)</f>
        <v>→</v>
      </c>
      <c r="Q559" cm="1">
        <f t="array" ref="Q559">IFERROR(
  INDEX('GIR Log'!$E$2:$V$73,
    MATCH(1,
      ('GIR Log'!$A$2:$A$73=$A559)*
      ('GIR Log'!$B$2:$B$73=$B559)*
      ('GIR Log'!$C$2:$C$73=$C559),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Log'!$E$2:$V$73,
    MATCH(1,
      ('Golf Log'!$A$2:$A$73=$A560)*
      ('Golf Log'!$B$2:$B$73=$B560)*
      ('Golf Log'!$C$2:$C$73=$C560),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Log'!$E$2:$V$73,
    MATCH(1,
      ('Putt Log'!$A$2:$A$73=$A560)*
      ('Putt Log'!$B$2:$B$73=$B560)*
      ('Putt Log'!$C$2:$C$73=$C560),
    0),
    MATCH($G560,'Putt Log'!$E$1:$V$1,0)
  ),
"")</f>
        <v>2</v>
      </c>
      <c r="P560" cm="1">
        <f t="array" ref="P560">IF(K560=3,"",
  IFERROR(
    INDEX('Fairway Log'!$E$2:$V$73,
      MATCH(1,
        ('Fairway Log'!$A$2:$A$73=$A560)*
        ('Fairway Log'!$B$2:$B$73=$B560)*
        ('Fairway Log'!$C$2:$C631=$C560),
      0),
      MATCH($G560,'Fairway Log'!$E$1:$V$1,0)
    ),
  "")
)</f>
        <v>1</v>
      </c>
      <c r="Q560" cm="1">
        <f t="array" ref="Q560">IFERROR(
  INDEX('GIR Log'!$E$2:$V$73,
    MATCH(1,
      ('GIR Log'!$A$2:$A$73=$A560)*
      ('GIR Log'!$B$2:$B$73=$B560)*
      ('GIR Log'!$C$2:$C$73=$C560),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Log'!$E$2:$V$73,
    MATCH(1,
      ('Golf Log'!$A$2:$A$73=$A561)*
      ('Golf Log'!$B$2:$B$73=$B561)*
      ('Golf Log'!$C$2:$C$73=$C561),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Log'!$E$2:$V$73,
    MATCH(1,
      ('Putt Log'!$A$2:$A$73=$A561)*
      ('Putt Log'!$B$2:$B$73=$B561)*
      ('Putt Log'!$C$2:$C$73=$C561),
    0),
    MATCH($G561,'Putt Log'!$E$1:$V$1,0)
  ),
"")</f>
        <v>3</v>
      </c>
      <c r="P561" cm="1">
        <f t="array" ref="P561">IF(K561=3,"",
  IFERROR(
    INDEX('Fairway Log'!$E$2:$V$73,
      MATCH(1,
        ('Fairway Log'!$A$2:$A$73=$A561)*
        ('Fairway Log'!$B$2:$B$73=$B561)*
        ('Fairway Log'!$C$2:$C632=$C561),
      0),
      MATCH($G561,'Fairway Log'!$E$1:$V$1,0)
    ),
  "")
)</f>
        <v>1</v>
      </c>
      <c r="Q561" cm="1">
        <f t="array" ref="Q561">IFERROR(
  INDEX('GIR Log'!$E$2:$V$73,
    MATCH(1,
      ('GIR Log'!$A$2:$A$73=$A561)*
      ('GIR Log'!$B$2:$B$73=$B561)*
      ('GIR Log'!$C$2:$C$73=$C561),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Log'!$E$2:$V$73,
    MATCH(1,
      ('Golf Log'!$A$2:$A$73=$A562)*
      ('Golf Log'!$B$2:$B$73=$B562)*
      ('Golf Log'!$C$2:$C$73=$C562),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Log'!$E$2:$V$73,
    MATCH(1,
      ('Putt Log'!$A$2:$A$73=$A562)*
      ('Putt Log'!$B$2:$B$73=$B562)*
      ('Putt Log'!$C$2:$C$73=$C562),
    0),
    MATCH($G562,'Putt Log'!$E$1:$V$1,0)
  ),
"")</f>
        <v>2</v>
      </c>
      <c r="P562" t="str" cm="1">
        <f t="array" ref="P562">IF(K562=3,"",
  IFERROR(
    INDEX('Fairway Log'!$E$2:$V$73,
      MATCH(1,
        ('Fairway Log'!$A$2:$A$73=$A562)*
        ('Fairway Log'!$B$2:$B$73=$B562)*
        ('Fairway Log'!$C$2:$C633=$C562),
      0),
      MATCH($G562,'Fairway Log'!$E$1:$V$1,0)
    ),
  "")
)</f>
        <v/>
      </c>
      <c r="Q562" cm="1">
        <f t="array" ref="Q562">IFERROR(
  INDEX('GIR Log'!$E$2:$V$73,
    MATCH(1,
      ('GIR Log'!$A$2:$A$73=$A562)*
      ('GIR Log'!$B$2:$B$73=$B562)*
      ('GIR Log'!$C$2:$C$73=$C562),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Log'!$E$2:$V$73,
    MATCH(1,
      ('Golf Log'!$A$2:$A$73=$A563)*
      ('Golf Log'!$B$2:$B$73=$B563)*
      ('Golf Log'!$C$2:$C$73=$C563),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Log'!$E$2:$V$73,
    MATCH(1,
      ('Putt Log'!$A$2:$A$73=$A563)*
      ('Putt Log'!$B$2:$B$73=$B563)*
      ('Putt Log'!$C$2:$C$73=$C563),
    0),
    MATCH($G563,'Putt Log'!$E$1:$V$1,0)
  ),
"")</f>
        <v>2</v>
      </c>
      <c r="P563" cm="1">
        <f t="array" ref="P563">IF(K563=3,"",
  IFERROR(
    INDEX('Fairway Log'!$E$2:$V$73,
      MATCH(1,
        ('Fairway Log'!$A$2:$A$73=$A563)*
        ('Fairway Log'!$B$2:$B$73=$B563)*
        ('Fairway Log'!$C$2:$C634=$C563),
      0),
      MATCH($G563,'Fairway Log'!$E$1:$V$1,0)
    ),
  "")
)</f>
        <v>1</v>
      </c>
      <c r="Q563" cm="1">
        <f t="array" ref="Q563">IFERROR(
  INDEX('GIR Log'!$E$2:$V$73,
    MATCH(1,
      ('GIR Log'!$A$2:$A$73=$A563)*
      ('GIR Log'!$B$2:$B$73=$B563)*
      ('GIR Log'!$C$2:$C$73=$C563),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Log'!$E$2:$V$73,
    MATCH(1,
      ('Golf Log'!$A$2:$A$73=$A564)*
      ('Golf Log'!$B$2:$B$73=$B564)*
      ('Golf Log'!$C$2:$C$73=$C564),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Log'!$E$2:$V$73,
    MATCH(1,
      ('Putt Log'!$A$2:$A$73=$A564)*
      ('Putt Log'!$B$2:$B$73=$B564)*
      ('Putt Log'!$C$2:$C$73=$C564),
    0),
    MATCH($G564,'Putt Log'!$E$1:$V$1,0)
  ),
"")</f>
        <v>2</v>
      </c>
      <c r="P564" cm="1">
        <f t="array" ref="P564">IF(K564=3,"",
  IFERROR(
    INDEX('Fairway Log'!$E$2:$V$73,
      MATCH(1,
        ('Fairway Log'!$A$2:$A$73=$A564)*
        ('Fairway Log'!$B$2:$B$73=$B564)*
        ('Fairway Log'!$C$2:$C635=$C564),
      0),
      MATCH($G564,'Fairway Log'!$E$1:$V$1,0)
    ),
  "")
)</f>
        <v>1</v>
      </c>
      <c r="Q564" cm="1">
        <f t="array" ref="Q564">IFERROR(
  INDEX('GIR Log'!$E$2:$V$73,
    MATCH(1,
      ('GIR Log'!$A$2:$A$73=$A564)*
      ('GIR Log'!$B$2:$B$73=$B564)*
      ('GIR Log'!$C$2:$C$73=$C564),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Log'!$E$2:$V$73,
    MATCH(1,
      ('Golf Log'!$A$2:$A$73=$A565)*
      ('Golf Log'!$B$2:$B$73=$B565)*
      ('Golf Log'!$C$2:$C$73=$C565),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Log'!$E$2:$V$73,
    MATCH(1,
      ('Putt Log'!$A$2:$A$73=$A565)*
      ('Putt Log'!$B$2:$B$73=$B565)*
      ('Putt Log'!$C$2:$C$73=$C565),
    0),
    MATCH($G565,'Putt Log'!$E$1:$V$1,0)
  ),
"")</f>
        <v>2</v>
      </c>
      <c r="P565" cm="1">
        <f t="array" ref="P565">IF(K565=3,"",
  IFERROR(
    INDEX('Fairway Log'!$E$2:$V$73,
      MATCH(1,
        ('Fairway Log'!$A$2:$A$73=$A565)*
        ('Fairway Log'!$B$2:$B$73=$B565)*
        ('Fairway Log'!$C$2:$C636=$C565),
      0),
      MATCH($G565,'Fairway Log'!$E$1:$V$1,0)
    ),
  "")
)</f>
        <v>1</v>
      </c>
      <c r="Q565" cm="1">
        <f t="array" ref="Q565">IFERROR(
  INDEX('GIR Log'!$E$2:$V$73,
    MATCH(1,
      ('GIR Log'!$A$2:$A$73=$A565)*
      ('GIR Log'!$B$2:$B$73=$B565)*
      ('GIR Log'!$C$2:$C$73=$C565),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Log'!$E$2:$V$73,
    MATCH(1,
      ('Golf Log'!$A$2:$A$73=$A566)*
      ('Golf Log'!$B$2:$B$73=$B566)*
      ('Golf Log'!$C$2:$C$73=$C566),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Log'!$E$2:$V$73,
    MATCH(1,
      ('Putt Log'!$A$2:$A$73=$A566)*
      ('Putt Log'!$B$2:$B$73=$B566)*
      ('Putt Log'!$C$2:$C$73=$C566),
    0),
    MATCH($G566,'Putt Log'!$E$1:$V$1,0)
  ),
"")</f>
        <v>1</v>
      </c>
      <c r="P566" t="str" cm="1">
        <f t="array" ref="P566">IF(K566=3,"",
  IFERROR(
    INDEX('Fairway Log'!$E$2:$V$73,
      MATCH(1,
        ('Fairway Log'!$A$2:$A$73=$A566)*
        ('Fairway Log'!$B$2:$B$73=$B566)*
        ('Fairway Log'!$C$2:$C637=$C566),
      0),
      MATCH($G566,'Fairway Log'!$E$1:$V$1,0)
    ),
  "")
)</f>
        <v/>
      </c>
      <c r="Q566" cm="1">
        <f t="array" ref="Q566">IFERROR(
  INDEX('GIR Log'!$E$2:$V$73,
    MATCH(1,
      ('GIR Log'!$A$2:$A$73=$A566)*
      ('GIR Log'!$B$2:$B$73=$B566)*
      ('GIR Log'!$C$2:$C$73=$C566),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Log'!$E$2:$V$73,
    MATCH(1,
      ('Golf Log'!$A$2:$A$73=$A567)*
      ('Golf Log'!$B$2:$B$73=$B567)*
      ('Golf Log'!$C$2:$C$73=$C567),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Log'!$E$2:$V$73,
    MATCH(1,
      ('Putt Log'!$A$2:$A$73=$A567)*
      ('Putt Log'!$B$2:$B$73=$B567)*
      ('Putt Log'!$C$2:$C$73=$C567),
    0),
    MATCH($G567,'Putt Log'!$E$1:$V$1,0)
  ),
"")</f>
        <v>3</v>
      </c>
      <c r="P567" cm="1">
        <f t="array" ref="P567">IF(K567=3,"",
  IFERROR(
    INDEX('Fairway Log'!$E$2:$V$73,
      MATCH(1,
        ('Fairway Log'!$A$2:$A$73=$A567)*
        ('Fairway Log'!$B$2:$B$73=$B567)*
        ('Fairway Log'!$C$2:$C638=$C567),
      0),
      MATCH($G567,'Fairway Log'!$E$1:$V$1,0)
    ),
  "")
)</f>
        <v>1</v>
      </c>
      <c r="Q567" cm="1">
        <f t="array" ref="Q567">IFERROR(
  INDEX('GIR Log'!$E$2:$V$73,
    MATCH(1,
      ('GIR Log'!$A$2:$A$73=$A567)*
      ('GIR Log'!$B$2:$B$73=$B567)*
      ('GIR Log'!$C$2:$C$73=$C567),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Log'!$E$2:$V$73,
    MATCH(1,
      ('Golf Log'!$A$2:$A$73=$A568)*
      ('Golf Log'!$B$2:$B$73=$B568)*
      ('Golf Log'!$C$2:$C$73=$C568),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Log'!$E$2:$V$73,
    MATCH(1,
      ('Putt Log'!$A$2:$A$73=$A568)*
      ('Putt Log'!$B$2:$B$73=$B568)*
      ('Putt Log'!$C$2:$C$73=$C568),
    0),
    MATCH($G568,'Putt Log'!$E$1:$V$1,0)
  ),
"")</f>
        <v>2</v>
      </c>
      <c r="P568" cm="1">
        <f t="array" ref="P568">IF(K568=3,"",
  IFERROR(
    INDEX('Fairway Log'!$E$2:$V$73,
      MATCH(1,
        ('Fairway Log'!$A$2:$A$73=$A568)*
        ('Fairway Log'!$B$2:$B$73=$B568)*
        ('Fairway Log'!$C$2:$C639=$C568),
      0),
      MATCH($G568,'Fairway Log'!$E$1:$V$1,0)
    ),
  "")
)</f>
        <v>1</v>
      </c>
      <c r="Q568" cm="1">
        <f t="array" ref="Q568">IFERROR(
  INDEX('GIR Log'!$E$2:$V$73,
    MATCH(1,
      ('GIR Log'!$A$2:$A$73=$A568)*
      ('GIR Log'!$B$2:$B$73=$B568)*
      ('GIR Log'!$C$2:$C$73=$C568),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Log'!$E$2:$V$73,
    MATCH(1,
      ('Golf Log'!$A$2:$A$73=$A569)*
      ('Golf Log'!$B$2:$B$73=$B569)*
      ('Golf Log'!$C$2:$C$73=$C569),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Log'!$E$2:$V$73,
    MATCH(1,
      ('Putt Log'!$A$2:$A$73=$A569)*
      ('Putt Log'!$B$2:$B$73=$B569)*
      ('Putt Log'!$C$2:$C$73=$C569),
    0),
    MATCH($G569,'Putt Log'!$E$1:$V$1,0)
  ),
"")</f>
        <v>2</v>
      </c>
      <c r="P569" cm="1">
        <f t="array" ref="P569">IF(K569=3,"",
  IFERROR(
    INDEX('Fairway Log'!$E$2:$V$73,
      MATCH(1,
        ('Fairway Log'!$A$2:$A$73=$A569)*
        ('Fairway Log'!$B$2:$B$73=$B569)*
        ('Fairway Log'!$C$2:$C640=$C569),
      0),
      MATCH($G569,'Fairway Log'!$E$1:$V$1,0)
    ),
  "")
)</f>
        <v>1</v>
      </c>
      <c r="Q569" cm="1">
        <f t="array" ref="Q569">IFERROR(
  INDEX('GIR Log'!$E$2:$V$73,
    MATCH(1,
      ('GIR Log'!$A$2:$A$73=$A569)*
      ('GIR Log'!$B$2:$B$73=$B569)*
      ('GIR Log'!$C$2:$C$73=$C569),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Log'!$E$2:$V$73,
    MATCH(1,
      ('Golf Log'!$A$2:$A$73=$A570)*
      ('Golf Log'!$B$2:$B$73=$B570)*
      ('Golf Log'!$C$2:$C$73=$C570),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Log'!$E$2:$V$73,
    MATCH(1,
      ('Putt Log'!$A$2:$A$73=$A570)*
      ('Putt Log'!$B$2:$B$73=$B570)*
      ('Putt Log'!$C$2:$C$73=$C570),
    0),
    MATCH($G570,'Putt Log'!$E$1:$V$1,0)
  ),
"")</f>
        <v>2</v>
      </c>
      <c r="P570" t="str" cm="1">
        <f t="array" ref="P570">IF(K570=3,"",
  IFERROR(
    INDEX('Fairway Log'!$E$2:$V$73,
      MATCH(1,
        ('Fairway Log'!$A$2:$A$73=$A570)*
        ('Fairway Log'!$B$2:$B$73=$B570)*
        ('Fairway Log'!$C$2:$C641=$C570),
      0),
      MATCH($G570,'Fairway Log'!$E$1:$V$1,0)
    ),
  "")
)</f>
        <v/>
      </c>
      <c r="Q570" cm="1">
        <f t="array" ref="Q570">IFERROR(
  INDEX('GIR Log'!$E$2:$V$73,
    MATCH(1,
      ('GIR Log'!$A$2:$A$73=$A570)*
      ('GIR Log'!$B$2:$B$73=$B570)*
      ('GIR Log'!$C$2:$C$73=$C570),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Log'!$E$2:$V$73,
    MATCH(1,
      ('Golf Log'!$A$2:$A$73=$A571)*
      ('Golf Log'!$B$2:$B$73=$B571)*
      ('Golf Log'!$C$2:$C$73=$C571),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Log'!$E$2:$V$73,
    MATCH(1,
      ('Putt Log'!$A$2:$A$73=$A571)*
      ('Putt Log'!$B$2:$B$73=$B571)*
      ('Putt Log'!$C$2:$C$73=$C571),
    0),
    MATCH($G571,'Putt Log'!$E$1:$V$1,0)
  ),
"")</f>
        <v>3</v>
      </c>
      <c r="P571" t="str" cm="1">
        <f t="array" ref="P571">IF(K571=3,"",
  IFERROR(
    INDEX('Fairway Log'!$E$2:$V$73,
      MATCH(1,
        ('Fairway Log'!$A$2:$A$73=$A571)*
        ('Fairway Log'!$B$2:$B$73=$B571)*
        ('Fairway Log'!$C$2:$C642=$C571),
      0),
      MATCH($G571,'Fairway Log'!$E$1:$V$1,0)
    ),
  "")
)</f>
        <v>←</v>
      </c>
      <c r="Q571" cm="1">
        <f t="array" ref="Q571">IFERROR(
  INDEX('GIR Log'!$E$2:$V$73,
    MATCH(1,
      ('GIR Log'!$A$2:$A$73=$A571)*
      ('GIR Log'!$B$2:$B$73=$B571)*
      ('GIR Log'!$C$2:$C$73=$C571),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Log'!$E$2:$V$73,
    MATCH(1,
      ('Golf Log'!$A$2:$A$73=$A572)*
      ('Golf Log'!$B$2:$B$73=$B572)*
      ('Golf Log'!$C$2:$C$73=$C572),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Log'!$E$2:$V$73,
    MATCH(1,
      ('Putt Log'!$A$2:$A$73=$A572)*
      ('Putt Log'!$B$2:$B$73=$B572)*
      ('Putt Log'!$C$2:$C$73=$C572),
    0),
    MATCH($G572,'Putt Log'!$E$1:$V$1,0)
  ),
"")</f>
        <v>2</v>
      </c>
      <c r="P572" t="str" cm="1">
        <f t="array" ref="P572">IF(K572=3,"",
  IFERROR(
    INDEX('Fairway Log'!$E$2:$V$73,
      MATCH(1,
        ('Fairway Log'!$A$2:$A$73=$A572)*
        ('Fairway Log'!$B$2:$B$73=$B572)*
        ('Fairway Log'!$C$2:$C643=$C572),
      0),
      MATCH($G572,'Fairway Log'!$E$1:$V$1,0)
    ),
  "")
)</f>
        <v>→</v>
      </c>
      <c r="Q572" cm="1">
        <f t="array" ref="Q572">IFERROR(
  INDEX('GIR Log'!$E$2:$V$73,
    MATCH(1,
      ('GIR Log'!$A$2:$A$73=$A572)*
      ('GIR Log'!$B$2:$B$73=$B572)*
      ('GIR Log'!$C$2:$C$73=$C572),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Log'!$E$2:$V$73,
    MATCH(1,
      ('Golf Log'!$A$2:$A$73=$A573)*
      ('Golf Log'!$B$2:$B$73=$B573)*
      ('Golf Log'!$C$2:$C$73=$C573),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Log'!$E$2:$V$73,
    MATCH(1,
      ('Putt Log'!$A$2:$A$73=$A573)*
      ('Putt Log'!$B$2:$B$73=$B573)*
      ('Putt Log'!$C$2:$C$73=$C573),
    0),
    MATCH($G573,'Putt Log'!$E$1:$V$1,0)
  ),
"")</f>
        <v>2</v>
      </c>
      <c r="P573" t="str" cm="1">
        <f t="array" ref="P573">IF(K573=3,"",
  IFERROR(
    INDEX('Fairway Log'!$E$2:$V$73,
      MATCH(1,
        ('Fairway Log'!$A$2:$A$73=$A573)*
        ('Fairway Log'!$B$2:$B$73=$B573)*
        ('Fairway Log'!$C$2:$C644=$C573),
      0),
      MATCH($G573,'Fairway Log'!$E$1:$V$1,0)
    ),
  "")
)</f>
        <v>←</v>
      </c>
      <c r="Q573" cm="1">
        <f t="array" ref="Q573">IFERROR(
  INDEX('GIR Log'!$E$2:$V$73,
    MATCH(1,
      ('GIR Log'!$A$2:$A$73=$A573)*
      ('GIR Log'!$B$2:$B$73=$B573)*
      ('GIR Log'!$C$2:$C$73=$C573),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Log'!$E$2:$V$73,
    MATCH(1,
      ('Golf Log'!$A$2:$A$73=$A574)*
      ('Golf Log'!$B$2:$B$73=$B574)*
      ('Golf Log'!$C$2:$C$73=$C574),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Log'!$E$2:$V$73,
    MATCH(1,
      ('Putt Log'!$A$2:$A$73=$A574)*
      ('Putt Log'!$B$2:$B$73=$B574)*
      ('Putt Log'!$C$2:$C$73=$C574),
    0),
    MATCH($G574,'Putt Log'!$E$1:$V$1,0)
  ),
"")</f>
        <v>1</v>
      </c>
      <c r="P574" t="str" cm="1">
        <f t="array" ref="P574">IF(K574=3,"",
  IFERROR(
    INDEX('Fairway Log'!$E$2:$V$73,
      MATCH(1,
        ('Fairway Log'!$A$2:$A$73=$A574)*
        ('Fairway Log'!$B$2:$B$73=$B574)*
        ('Fairway Log'!$C$2:$C645=$C574),
      0),
      MATCH($G574,'Fairway Log'!$E$1:$V$1,0)
    ),
  "")
)</f>
        <v>←</v>
      </c>
      <c r="Q574" cm="1">
        <f t="array" ref="Q574">IFERROR(
  INDEX('GIR Log'!$E$2:$V$73,
    MATCH(1,
      ('GIR Log'!$A$2:$A$73=$A574)*
      ('GIR Log'!$B$2:$B$73=$B574)*
      ('GIR Log'!$C$2:$C$73=$C574),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Log'!$E$2:$V$73,
    MATCH(1,
      ('Golf Log'!$A$2:$A$73=$A575)*
      ('Golf Log'!$B$2:$B$73=$B575)*
      ('Golf Log'!$C$2:$C$73=$C575),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Log'!$E$2:$V$73,
    MATCH(1,
      ('Putt Log'!$A$2:$A$73=$A575)*
      ('Putt Log'!$B$2:$B$73=$B575)*
      ('Putt Log'!$C$2:$C$73=$C575),
    0),
    MATCH($G575,'Putt Log'!$E$1:$V$1,0)
  ),
"")</f>
        <v>3</v>
      </c>
      <c r="P575" cm="1">
        <f t="array" ref="P575">IF(K575=3,"",
  IFERROR(
    INDEX('Fairway Log'!$E$2:$V$73,
      MATCH(1,
        ('Fairway Log'!$A$2:$A$73=$A575)*
        ('Fairway Log'!$B$2:$B$73=$B575)*
        ('Fairway Log'!$C$2:$C646=$C575),
      0),
      MATCH($G575,'Fairway Log'!$E$1:$V$1,0)
    ),
  "")
)</f>
        <v>1</v>
      </c>
      <c r="Q575" cm="1">
        <f t="array" ref="Q575">IFERROR(
  INDEX('GIR Log'!$E$2:$V$73,
    MATCH(1,
      ('GIR Log'!$A$2:$A$73=$A575)*
      ('GIR Log'!$B$2:$B$73=$B575)*
      ('GIR Log'!$C$2:$C$73=$C575),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Log'!$E$2:$V$73,
    MATCH(1,
      ('Golf Log'!$A$2:$A$73=$A576)*
      ('Golf Log'!$B$2:$B$73=$B576)*
      ('Golf Log'!$C$2:$C$73=$C576),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Log'!$E$2:$V$73,
    MATCH(1,
      ('Putt Log'!$A$2:$A$73=$A576)*
      ('Putt Log'!$B$2:$B$73=$B576)*
      ('Putt Log'!$C$2:$C$73=$C576),
    0),
    MATCH($G576,'Putt Log'!$E$1:$V$1,0)
  ),
"")</f>
        <v>1</v>
      </c>
      <c r="P576" t="str" cm="1">
        <f t="array" ref="P576">IF(K576=3,"",
  IFERROR(
    INDEX('Fairway Log'!$E$2:$V$73,
      MATCH(1,
        ('Fairway Log'!$A$2:$A$73=$A576)*
        ('Fairway Log'!$B$2:$B$73=$B576)*
        ('Fairway Log'!$C$2:$C647=$C576),
      0),
      MATCH($G576,'Fairway Log'!$E$1:$V$1,0)
    ),
  "")
)</f>
        <v/>
      </c>
      <c r="Q576" cm="1">
        <f t="array" ref="Q576">IFERROR(
  INDEX('GIR Log'!$E$2:$V$73,
    MATCH(1,
      ('GIR Log'!$A$2:$A$73=$A576)*
      ('GIR Log'!$B$2:$B$73=$B576)*
      ('GIR Log'!$C$2:$C$73=$C576),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Log'!$E$2:$V$73,
    MATCH(1,
      ('Golf Log'!$A$2:$A$73=$A577)*
      ('Golf Log'!$B$2:$B$73=$B577)*
      ('Golf Log'!$C$2:$C$73=$C577),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Log'!$E$2:$V$73,
    MATCH(1,
      ('Putt Log'!$A$2:$A$73=$A577)*
      ('Putt Log'!$B$2:$B$73=$B577)*
      ('Putt Log'!$C$2:$C$73=$C577),
    0),
    MATCH($G577,'Putt Log'!$E$1:$V$1,0)
  ),
"")</f>
        <v>1</v>
      </c>
      <c r="P577" t="str" cm="1">
        <f t="array" ref="P577">IF(K577=3,"",
  IFERROR(
    INDEX('Fairway Log'!$E$2:$V$73,
      MATCH(1,
        ('Fairway Log'!$A$2:$A$73=$A577)*
        ('Fairway Log'!$B$2:$B$73=$B577)*
        ('Fairway Log'!$C$2:$C648=$C577),
      0),
      MATCH($G577,'Fairway Log'!$E$1:$V$1,0)
    ),
  "")
)</f>
        <v>←</v>
      </c>
      <c r="Q577" cm="1">
        <f t="array" ref="Q577">IFERROR(
  INDEX('GIR Log'!$E$2:$V$73,
    MATCH(1,
      ('GIR Log'!$A$2:$A$73=$A577)*
      ('GIR Log'!$B$2:$B$73=$B577)*
      ('GIR Log'!$C$2:$C$73=$C577),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Log'!$E$2:$V$73,
    MATCH(1,
      ('Golf Log'!$A$2:$A$73=$A578)*
      ('Golf Log'!$B$2:$B$73=$B578)*
      ('Golf Log'!$C$2:$C$73=$C578),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Log'!$E$2:$V$73,
    MATCH(1,
      ('Putt Log'!$A$2:$A$73=$A578)*
      ('Putt Log'!$B$2:$B$73=$B578)*
      ('Putt Log'!$C$2:$C$73=$C578),
    0),
    MATCH($G578,'Putt Log'!$E$1:$V$1,0)
  ),
"")</f>
        <v>2</v>
      </c>
      <c r="P578" cm="1">
        <f t="array" ref="P578">IF(K578=3,"",
  IFERROR(
    INDEX('Fairway Log'!$E$2:$V$73,
      MATCH(1,
        ('Fairway Log'!$A$2:$A$73=$A578)*
        ('Fairway Log'!$B$2:$B$73=$B578)*
        ('Fairway Log'!$C$2:$C649=$C578),
      0),
      MATCH($G578,'Fairway Log'!$E$1:$V$1,0)
    ),
  "")
)</f>
        <v>1</v>
      </c>
      <c r="Q578" t="str" cm="1">
        <f t="array" ref="Q578">IFERROR(
  INDEX('GIR Log'!$E$2:$V$73,
    MATCH(1,
      ('GIR Log'!$A$2:$A$73=$A578)*
      ('GIR Log'!$B$2:$B$73=$B578)*
      ('GIR Log'!$C$2:$C$73=$C578),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Log'!$E$2:$V$73,
    MATCH(1,
      ('Golf Log'!$A$2:$A$73=$A579)*
      ('Golf Log'!$B$2:$B$73=$B579)*
      ('Golf Log'!$C$2:$C$73=$C579),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Log'!$E$2:$V$73,
    MATCH(1,
      ('Putt Log'!$A$2:$A$73=$A579)*
      ('Putt Log'!$B$2:$B$73=$B579)*
      ('Putt Log'!$C$2:$C$73=$C579),
    0),
    MATCH($G579,'Putt Log'!$E$1:$V$1,0)
  ),
"")</f>
        <v>1</v>
      </c>
      <c r="P579" t="str" cm="1">
        <f t="array" ref="P579">IF(K579=3,"",
  IFERROR(
    INDEX('Fairway Log'!$E$2:$V$73,
      MATCH(1,
        ('Fairway Log'!$A$2:$A$73=$A579)*
        ('Fairway Log'!$B$2:$B$73=$B579)*
        ('Fairway Log'!$C$2:$C650=$C579),
      0),
      MATCH($G579,'Fairway Log'!$E$1:$V$1,0)
    ),
  "")
)</f>
        <v>→</v>
      </c>
      <c r="Q579" cm="1">
        <f t="array" ref="Q579">IFERROR(
  INDEX('GIR Log'!$E$2:$V$73,
    MATCH(1,
      ('GIR Log'!$A$2:$A$73=$A579)*
      ('GIR Log'!$B$2:$B$73=$B579)*
      ('GIR Log'!$C$2:$C$73=$C579),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Log'!$E$2:$V$73,
    MATCH(1,
      ('Golf Log'!$A$2:$A$73=$A580)*
      ('Golf Log'!$B$2:$B$73=$B580)*
      ('Golf Log'!$C$2:$C$73=$C580),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Log'!$E$2:$V$73,
    MATCH(1,
      ('Putt Log'!$A$2:$A$73=$A580)*
      ('Putt Log'!$B$2:$B$73=$B580)*
      ('Putt Log'!$C$2:$C$73=$C580),
    0),
    MATCH($G580,'Putt Log'!$E$1:$V$1,0)
  ),
"")</f>
        <v>2</v>
      </c>
      <c r="P580" t="str" cm="1">
        <f t="array" ref="P580">IF(K580=3,"",
  IFERROR(
    INDEX('Fairway Log'!$E$2:$V$73,
      MATCH(1,
        ('Fairway Log'!$A$2:$A$73=$A580)*
        ('Fairway Log'!$B$2:$B$73=$B580)*
        ('Fairway Log'!$C$2:$C651=$C580),
      0),
      MATCH($G580,'Fairway Log'!$E$1:$V$1,0)
    ),
  "")
)</f>
        <v/>
      </c>
      <c r="Q580" t="str" cm="1">
        <f t="array" ref="Q580">IFERROR(
  INDEX('GIR Log'!$E$2:$V$73,
    MATCH(1,
      ('GIR Log'!$A$2:$A$73=$A580)*
      ('GIR Log'!$B$2:$B$73=$B580)*
      ('GIR Log'!$C$2:$C$73=$C580),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Log'!$E$2:$V$73,
    MATCH(1,
      ('Golf Log'!$A$2:$A$73=$A581)*
      ('Golf Log'!$B$2:$B$73=$B581)*
      ('Golf Log'!$C$2:$C$73=$C581),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Log'!$E$2:$V$73,
    MATCH(1,
      ('Putt Log'!$A$2:$A$73=$A581)*
      ('Putt Log'!$B$2:$B$73=$B581)*
      ('Putt Log'!$C$2:$C$73=$C581),
    0),
    MATCH($G581,'Putt Log'!$E$1:$V$1,0)
  ),
"")</f>
        <v>2</v>
      </c>
      <c r="P581" t="str" cm="1">
        <f t="array" ref="P581">IF(K581=3,"",
  IFERROR(
    INDEX('Fairway Log'!$E$2:$V$73,
      MATCH(1,
        ('Fairway Log'!$A$2:$A$73=$A581)*
        ('Fairway Log'!$B$2:$B$73=$B581)*
        ('Fairway Log'!$C$2:$C652=$C581),
      0),
      MATCH($G581,'Fairway Log'!$E$1:$V$1,0)
    ),
  "")
)</f>
        <v>←</v>
      </c>
      <c r="Q581" t="str" cm="1">
        <f t="array" ref="Q581">IFERROR(
  INDEX('GIR Log'!$E$2:$V$73,
    MATCH(1,
      ('GIR Log'!$A$2:$A$73=$A581)*
      ('GIR Log'!$B$2:$B$73=$B581)*
      ('GIR Log'!$C$2:$C$73=$C581),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Log'!$E$2:$V$73,
    MATCH(1,
      ('Golf Log'!$A$2:$A$73=$A582)*
      ('Golf Log'!$B$2:$B$73=$B582)*
      ('Golf Log'!$C$2:$C$73=$C582),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Log'!$E$2:$V$73,
    MATCH(1,
      ('Putt Log'!$A$2:$A$73=$A582)*
      ('Putt Log'!$B$2:$B$73=$B582)*
      ('Putt Log'!$C$2:$C$73=$C582),
    0),
    MATCH($G582,'Putt Log'!$E$1:$V$1,0)
  ),
"")</f>
        <v>2</v>
      </c>
      <c r="P582" t="str" cm="1">
        <f t="array" ref="P582">IF(K582=3,"",
  IFERROR(
    INDEX('Fairway Log'!$E$2:$V$73,
      MATCH(1,
        ('Fairway Log'!$A$2:$A$73=$A582)*
        ('Fairway Log'!$B$2:$B$73=$B582)*
        ('Fairway Log'!$C$2:$C653=$C582),
      0),
      MATCH($G582,'Fairway Log'!$E$1:$V$1,0)
    ),
  "")
)</f>
        <v/>
      </c>
      <c r="Q582" t="str" cm="1">
        <f t="array" ref="Q582">IFERROR(
  INDEX('GIR Log'!$E$2:$V$73,
    MATCH(1,
      ('GIR Log'!$A$2:$A$73=$A582)*
      ('GIR Log'!$B$2:$B$73=$B582)*
      ('GIR Log'!$C$2:$C$73=$C582),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Log'!$E$2:$V$73,
    MATCH(1,
      ('Golf Log'!$A$2:$A$73=$A583)*
      ('Golf Log'!$B$2:$B$73=$B583)*
      ('Golf Log'!$C$2:$C$73=$C583),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Log'!$E$2:$V$73,
    MATCH(1,
      ('Putt Log'!$A$2:$A$73=$A583)*
      ('Putt Log'!$B$2:$B$73=$B583)*
      ('Putt Log'!$C$2:$C$73=$C583),
    0),
    MATCH($G583,'Putt Log'!$E$1:$V$1,0)
  ),
"")</f>
        <v>1</v>
      </c>
      <c r="P583" cm="1">
        <f t="array" ref="P583">IF(K583=3,"",
  IFERROR(
    INDEX('Fairway Log'!$E$2:$V$73,
      MATCH(1,
        ('Fairway Log'!$A$2:$A$73=$A583)*
        ('Fairway Log'!$B$2:$B$73=$B583)*
        ('Fairway Log'!$C$2:$C654=$C583),
      0),
      MATCH($G583,'Fairway Log'!$E$1:$V$1,0)
    ),
  "")
)</f>
        <v>1</v>
      </c>
      <c r="Q583" t="str" cm="1">
        <f t="array" ref="Q583">IFERROR(
  INDEX('GIR Log'!$E$2:$V$73,
    MATCH(1,
      ('GIR Log'!$A$2:$A$73=$A583)*
      ('GIR Log'!$B$2:$B$73=$B583)*
      ('GIR Log'!$C$2:$C$73=$C583),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Log'!$E$2:$V$73,
    MATCH(1,
      ('Golf Log'!$A$2:$A$73=$A584)*
      ('Golf Log'!$B$2:$B$73=$B584)*
      ('Golf Log'!$C$2:$C$73=$C584),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Log'!$E$2:$V$73,
    MATCH(1,
      ('Putt Log'!$A$2:$A$73=$A584)*
      ('Putt Log'!$B$2:$B$73=$B584)*
      ('Putt Log'!$C$2:$C$73=$C584),
    0),
    MATCH($G584,'Putt Log'!$E$1:$V$1,0)
  ),
"")</f>
        <v>2</v>
      </c>
      <c r="P584" cm="1">
        <f t="array" ref="P584">IF(K584=3,"",
  IFERROR(
    INDEX('Fairway Log'!$E$2:$V$73,
      MATCH(1,
        ('Fairway Log'!$A$2:$A$73=$A584)*
        ('Fairway Log'!$B$2:$B$73=$B584)*
        ('Fairway Log'!$C$2:$C655=$C584),
      0),
      MATCH($G584,'Fairway Log'!$E$1:$V$1,0)
    ),
  "")
)</f>
        <v>1</v>
      </c>
      <c r="Q584" cm="1">
        <f t="array" ref="Q584">IFERROR(
  INDEX('GIR Log'!$E$2:$V$73,
    MATCH(1,
      ('GIR Log'!$A$2:$A$73=$A584)*
      ('GIR Log'!$B$2:$B$73=$B584)*
      ('GIR Log'!$C$2:$C$73=$C584),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Log'!$E$2:$V$73,
    MATCH(1,
      ('Golf Log'!$A$2:$A$73=$A585)*
      ('Golf Log'!$B$2:$B$73=$B585)*
      ('Golf Log'!$C$2:$C$73=$C585),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Log'!$E$2:$V$73,
    MATCH(1,
      ('Putt Log'!$A$2:$A$73=$A585)*
      ('Putt Log'!$B$2:$B$73=$B585)*
      ('Putt Log'!$C$2:$C$73=$C585),
    0),
    MATCH($G585,'Putt Log'!$E$1:$V$1,0)
  ),
"")</f>
        <v>1</v>
      </c>
      <c r="P585" cm="1">
        <f t="array" ref="P585">IF(K585=3,"",
  IFERROR(
    INDEX('Fairway Log'!$E$2:$V$73,
      MATCH(1,
        ('Fairway Log'!$A$2:$A$73=$A585)*
        ('Fairway Log'!$B$2:$B$73=$B585)*
        ('Fairway Log'!$C$2:$C656=$C585),
      0),
      MATCH($G585,'Fairway Log'!$E$1:$V$1,0)
    ),
  "")
)</f>
        <v>1</v>
      </c>
      <c r="Q585" t="str" cm="1">
        <f t="array" ref="Q585">IFERROR(
  INDEX('GIR Log'!$E$2:$V$73,
    MATCH(1,
      ('GIR Log'!$A$2:$A$73=$A585)*
      ('GIR Log'!$B$2:$B$73=$B585)*
      ('GIR Log'!$C$2:$C$73=$C585),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Log'!$E$2:$V$73,
    MATCH(1,
      ('Golf Log'!$A$2:$A$73=$A586)*
      ('Golf Log'!$B$2:$B$73=$B586)*
      ('Golf Log'!$C$2:$C$73=$C586),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Log'!$E$2:$V$73,
    MATCH(1,
      ('Putt Log'!$A$2:$A$73=$A586)*
      ('Putt Log'!$B$2:$B$73=$B586)*
      ('Putt Log'!$C$2:$C$73=$C586),
    0),
    MATCH($G586,'Putt Log'!$E$1:$V$1,0)
  ),
"")</f>
        <v>2</v>
      </c>
      <c r="P586" t="str" cm="1">
        <f t="array" ref="P586">IF(K586=3,"",
  IFERROR(
    INDEX('Fairway Log'!$E$2:$V$73,
      MATCH(1,
        ('Fairway Log'!$A$2:$A$73=$A586)*
        ('Fairway Log'!$B$2:$B$73=$B586)*
        ('Fairway Log'!$C$2:$C657=$C586),
      0),
      MATCH($G586,'Fairway Log'!$E$1:$V$1,0)
    ),
  "")
)</f>
        <v>↓</v>
      </c>
      <c r="Q586" cm="1">
        <f t="array" ref="Q586">IFERROR(
  INDEX('GIR Log'!$E$2:$V$73,
    MATCH(1,
      ('GIR Log'!$A$2:$A$73=$A586)*
      ('GIR Log'!$B$2:$B$73=$B586)*
      ('GIR Log'!$C$2:$C$73=$C586),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Log'!$E$2:$V$73,
    MATCH(1,
      ('Golf Log'!$A$2:$A$73=$A587)*
      ('Golf Log'!$B$2:$B$73=$B587)*
      ('Golf Log'!$C$2:$C$73=$C587),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Log'!$E$2:$V$73,
    MATCH(1,
      ('Putt Log'!$A$2:$A$73=$A587)*
      ('Putt Log'!$B$2:$B$73=$B587)*
      ('Putt Log'!$C$2:$C$73=$C587),
    0),
    MATCH($G587,'Putt Log'!$E$1:$V$1,0)
  ),
"")</f>
        <v>2</v>
      </c>
      <c r="P587" cm="1">
        <f t="array" ref="P587">IF(K587=3,"",
  IFERROR(
    INDEX('Fairway Log'!$E$2:$V$73,
      MATCH(1,
        ('Fairway Log'!$A$2:$A$73=$A587)*
        ('Fairway Log'!$B$2:$B$73=$B587)*
        ('Fairway Log'!$C$2:$C658=$C587),
      0),
      MATCH($G587,'Fairway Log'!$E$1:$V$1,0)
    ),
  "")
)</f>
        <v>1</v>
      </c>
      <c r="Q587" cm="1">
        <f t="array" ref="Q587">IFERROR(
  INDEX('GIR Log'!$E$2:$V$73,
    MATCH(1,
      ('GIR Log'!$A$2:$A$73=$A587)*
      ('GIR Log'!$B$2:$B$73=$B587)*
      ('GIR Log'!$C$2:$C$73=$C587),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Log'!$E$2:$V$73,
    MATCH(1,
      ('Golf Log'!$A$2:$A$73=$A588)*
      ('Golf Log'!$B$2:$B$73=$B588)*
      ('Golf Log'!$C$2:$C$73=$C588),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Log'!$E$2:$V$73,
    MATCH(1,
      ('Putt Log'!$A$2:$A$73=$A588)*
      ('Putt Log'!$B$2:$B$73=$B588)*
      ('Putt Log'!$C$2:$C$73=$C588),
    0),
    MATCH($G588,'Putt Log'!$E$1:$V$1,0)
  ),
"")</f>
        <v>1</v>
      </c>
      <c r="P588" cm="1">
        <f t="array" ref="P588">IF(K588=3,"",
  IFERROR(
    INDEX('Fairway Log'!$E$2:$V$73,
      MATCH(1,
        ('Fairway Log'!$A$2:$A$73=$A588)*
        ('Fairway Log'!$B$2:$B$73=$B588)*
        ('Fairway Log'!$C$2:$C659=$C588),
      0),
      MATCH($G588,'Fairway Log'!$E$1:$V$1,0)
    ),
  "")
)</f>
        <v>1</v>
      </c>
      <c r="Q588" cm="1">
        <f t="array" ref="Q588">IFERROR(
  INDEX('GIR Log'!$E$2:$V$73,
    MATCH(1,
      ('GIR Log'!$A$2:$A$73=$A588)*
      ('GIR Log'!$B$2:$B$73=$B588)*
      ('GIR Log'!$C$2:$C$73=$C588),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Log'!$E$2:$V$73,
    MATCH(1,
      ('Golf Log'!$A$2:$A$73=$A589)*
      ('Golf Log'!$B$2:$B$73=$B589)*
      ('Golf Log'!$C$2:$C$73=$C589),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Log'!$E$2:$V$73,
    MATCH(1,
      ('Putt Log'!$A$2:$A$73=$A589)*
      ('Putt Log'!$B$2:$B$73=$B589)*
      ('Putt Log'!$C$2:$C$73=$C589),
    0),
    MATCH($G589,'Putt Log'!$E$1:$V$1,0)
  ),
"")</f>
        <v>1</v>
      </c>
      <c r="P589" t="str" cm="1">
        <f t="array" ref="P589">IF(K589=3,"",
  IFERROR(
    INDEX('Fairway Log'!$E$2:$V$73,
      MATCH(1,
        ('Fairway Log'!$A$2:$A$73=$A589)*
        ('Fairway Log'!$B$2:$B$73=$B589)*
        ('Fairway Log'!$C$2:$C660=$C589),
      0),
      MATCH($G589,'Fairway Log'!$E$1:$V$1,0)
    ),
  "")
)</f>
        <v>→</v>
      </c>
      <c r="Q589" t="str" cm="1">
        <f t="array" ref="Q589">IFERROR(
  INDEX('GIR Log'!$E$2:$V$73,
    MATCH(1,
      ('GIR Log'!$A$2:$A$73=$A589)*
      ('GIR Log'!$B$2:$B$73=$B589)*
      ('GIR Log'!$C$2:$C$73=$C589),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Log'!$E$2:$V$73,
    MATCH(1,
      ('Golf Log'!$A$2:$A$73=$A590)*
      ('Golf Log'!$B$2:$B$73=$B590)*
      ('Golf Log'!$C$2:$C$73=$C590),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Log'!$E$2:$V$73,
    MATCH(1,
      ('Putt Log'!$A$2:$A$73=$A590)*
      ('Putt Log'!$B$2:$B$73=$B590)*
      ('Putt Log'!$C$2:$C$73=$C590),
    0),
    MATCH($G590,'Putt Log'!$E$1:$V$1,0)
  ),
"")</f>
        <v>2</v>
      </c>
      <c r="P590" t="str" cm="1">
        <f t="array" ref="P590">IF(K590=3,"",
  IFERROR(
    INDEX('Fairway Log'!$E$2:$V$73,
      MATCH(1,
        ('Fairway Log'!$A$2:$A$73=$A590)*
        ('Fairway Log'!$B$2:$B$73=$B590)*
        ('Fairway Log'!$C$2:$C661=$C590),
      0),
      MATCH($G590,'Fairway Log'!$E$1:$V$1,0)
    ),
  "")
)</f>
        <v>→</v>
      </c>
      <c r="Q590" t="str" cm="1">
        <f t="array" ref="Q590">IFERROR(
  INDEX('GIR Log'!$E$2:$V$73,
    MATCH(1,
      ('GIR Log'!$A$2:$A$73=$A590)*
      ('GIR Log'!$B$2:$B$73=$B590)*
      ('GIR Log'!$C$2:$C$73=$C590),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Log'!$E$2:$V$73,
    MATCH(1,
      ('Golf Log'!$A$2:$A$73=$A591)*
      ('Golf Log'!$B$2:$B$73=$B591)*
      ('Golf Log'!$C$2:$C$73=$C591),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Log'!$E$2:$V$73,
    MATCH(1,
      ('Putt Log'!$A$2:$A$73=$A591)*
      ('Putt Log'!$B$2:$B$73=$B591)*
      ('Putt Log'!$C$2:$C$73=$C591),
    0),
    MATCH($G591,'Putt Log'!$E$1:$V$1,0)
  ),
"")</f>
        <v>1</v>
      </c>
      <c r="P591" t="str" cm="1">
        <f t="array" ref="P591">IF(K591=3,"",
  IFERROR(
    INDEX('Fairway Log'!$E$2:$V$73,
      MATCH(1,
        ('Fairway Log'!$A$2:$A$73=$A591)*
        ('Fairway Log'!$B$2:$B$73=$B591)*
        ('Fairway Log'!$C$2:$C662=$C591),
      0),
      MATCH($G591,'Fairway Log'!$E$1:$V$1,0)
    ),
  "")
)</f>
        <v/>
      </c>
      <c r="Q591" t="str" cm="1">
        <f t="array" ref="Q591">IFERROR(
  INDEX('GIR Log'!$E$2:$V$73,
    MATCH(1,
      ('GIR Log'!$A$2:$A$73=$A591)*
      ('GIR Log'!$B$2:$B$73=$B591)*
      ('GIR Log'!$C$2:$C$73=$C591),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Log'!$E$2:$V$73,
    MATCH(1,
      ('Golf Log'!$A$2:$A$73=$A592)*
      ('Golf Log'!$B$2:$B$73=$B592)*
      ('Golf Log'!$C$2:$C$73=$C592),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Log'!$E$2:$V$73,
    MATCH(1,
      ('Putt Log'!$A$2:$A$73=$A592)*
      ('Putt Log'!$B$2:$B$73=$B592)*
      ('Putt Log'!$C$2:$C$73=$C592),
    0),
    MATCH($G592,'Putt Log'!$E$1:$V$1,0)
  ),
"")</f>
        <v>1</v>
      </c>
      <c r="P592" t="str" cm="1">
        <f t="array" ref="P592">IF(K592=3,"",
  IFERROR(
    INDEX('Fairway Log'!$E$2:$V$73,
      MATCH(1,
        ('Fairway Log'!$A$2:$A$73=$A592)*
        ('Fairway Log'!$B$2:$B$73=$B592)*
        ('Fairway Log'!$C$2:$C663=$C592),
      0),
      MATCH($G592,'Fairway Log'!$E$1:$V$1,0)
    ),
  "")
)</f>
        <v>→</v>
      </c>
      <c r="Q592" t="str" cm="1">
        <f t="array" ref="Q592">IFERROR(
  INDEX('GIR Log'!$E$2:$V$73,
    MATCH(1,
      ('GIR Log'!$A$2:$A$73=$A592)*
      ('GIR Log'!$B$2:$B$73=$B592)*
      ('GIR Log'!$C$2:$C$73=$C592),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Log'!$E$2:$V$73,
    MATCH(1,
      ('Golf Log'!$A$2:$A$73=$A593)*
      ('Golf Log'!$B$2:$B$73=$B593)*
      ('Golf Log'!$C$2:$C$73=$C593),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Log'!$E$2:$V$73,
    MATCH(1,
      ('Putt Log'!$A$2:$A$73=$A593)*
      ('Putt Log'!$B$2:$B$73=$B593)*
      ('Putt Log'!$C$2:$C$73=$C593),
    0),
    MATCH($G593,'Putt Log'!$E$1:$V$1,0)
  ),
"")</f>
        <v>2</v>
      </c>
      <c r="P593" cm="1">
        <f t="array" ref="P593">IF(K593=3,"",
  IFERROR(
    INDEX('Fairway Log'!$E$2:$V$73,
      MATCH(1,
        ('Fairway Log'!$A$2:$A$73=$A593)*
        ('Fairway Log'!$B$2:$B$73=$B593)*
        ('Fairway Log'!$C$2:$C664=$C593),
      0),
      MATCH($G593,'Fairway Log'!$E$1:$V$1,0)
    ),
  "")
)</f>
        <v>1</v>
      </c>
      <c r="Q593" cm="1">
        <f t="array" ref="Q593">IFERROR(
  INDEX('GIR Log'!$E$2:$V$73,
    MATCH(1,
      ('GIR Log'!$A$2:$A$73=$A593)*
      ('GIR Log'!$B$2:$B$73=$B593)*
      ('GIR Log'!$C$2:$C$73=$C593),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Log'!$E$2:$V$73,
    MATCH(1,
      ('Golf Log'!$A$2:$A$73=$A594)*
      ('Golf Log'!$B$2:$B$73=$B594)*
      ('Golf Log'!$C$2:$C$73=$C594),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Log'!$E$2:$V$73,
    MATCH(1,
      ('Putt Log'!$A$2:$A$73=$A594)*
      ('Putt Log'!$B$2:$B$73=$B594)*
      ('Putt Log'!$C$2:$C$73=$C594),
    0),
    MATCH($G594,'Putt Log'!$E$1:$V$1,0)
  ),
"")</f>
        <v>2</v>
      </c>
      <c r="P594" cm="1">
        <f t="array" ref="P594">IF(K594=3,"",
  IFERROR(
    INDEX('Fairway Log'!$E$2:$V$73,
      MATCH(1,
        ('Fairway Log'!$A$2:$A$73=$A594)*
        ('Fairway Log'!$B$2:$B$73=$B594)*
        ('Fairway Log'!$C$2:$C665=$C594),
      0),
      MATCH($G594,'Fairway Log'!$E$1:$V$1,0)
    ),
  "")
)</f>
        <v>1</v>
      </c>
      <c r="Q594" cm="1">
        <f t="array" ref="Q594">IFERROR(
  INDEX('GIR Log'!$E$2:$V$73,
    MATCH(1,
      ('GIR Log'!$A$2:$A$73=$A594)*
      ('GIR Log'!$B$2:$B$73=$B594)*
      ('GIR Log'!$C$2:$C$73=$C594),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Log'!$E$2:$V$73,
    MATCH(1,
      ('Golf Log'!$A$2:$A$73=$A595)*
      ('Golf Log'!$B$2:$B$73=$B595)*
      ('Golf Log'!$C$2:$C$73=$C595),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Log'!$E$2:$V$73,
    MATCH(1,
      ('Putt Log'!$A$2:$A$73=$A595)*
      ('Putt Log'!$B$2:$B$73=$B595)*
      ('Putt Log'!$C$2:$C$73=$C595),
    0),
    MATCH($G595,'Putt Log'!$E$1:$V$1,0)
  ),
"")</f>
        <v>1</v>
      </c>
      <c r="P595" cm="1">
        <f t="array" ref="P595">IF(K595=3,"",
  IFERROR(
    INDEX('Fairway Log'!$E$2:$V$73,
      MATCH(1,
        ('Fairway Log'!$A$2:$A$73=$A595)*
        ('Fairway Log'!$B$2:$B$73=$B595)*
        ('Fairway Log'!$C$2:$C666=$C595),
      0),
      MATCH($G595,'Fairway Log'!$E$1:$V$1,0)
    ),
  "")
)</f>
        <v>1</v>
      </c>
      <c r="Q595" t="str" cm="1">
        <f t="array" ref="Q595">IFERROR(
  INDEX('GIR Log'!$E$2:$V$73,
    MATCH(1,
      ('GIR Log'!$A$2:$A$73=$A595)*
      ('GIR Log'!$B$2:$B$73=$B595)*
      ('GIR Log'!$C$2:$C$73=$C595),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Log'!$E$2:$V$73,
    MATCH(1,
      ('Golf Log'!$A$2:$A$73=$A596)*
      ('Golf Log'!$B$2:$B$73=$B596)*
      ('Golf Log'!$C$2:$C$73=$C596),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Log'!$E$2:$V$73,
    MATCH(1,
      ('Putt Log'!$A$2:$A$73=$A596)*
      ('Putt Log'!$B$2:$B$73=$B596)*
      ('Putt Log'!$C$2:$C$73=$C596),
    0),
    MATCH($G596,'Putt Log'!$E$1:$V$1,0)
  ),
"")</f>
        <v>2</v>
      </c>
      <c r="P596" t="str" cm="1">
        <f t="array" ref="P596">IF(K596=3,"",
  IFERROR(
    INDEX('Fairway Log'!$E$2:$V$73,
      MATCH(1,
        ('Fairway Log'!$A$2:$A$73=$A596)*
        ('Fairway Log'!$B$2:$B$73=$B596)*
        ('Fairway Log'!$C$2:$C667=$C596),
      0),
      MATCH($G596,'Fairway Log'!$E$1:$V$1,0)
    ),
  "")
)</f>
        <v>→</v>
      </c>
      <c r="Q596" t="str" cm="1">
        <f t="array" ref="Q596">IFERROR(
  INDEX('GIR Log'!$E$2:$V$73,
    MATCH(1,
      ('GIR Log'!$A$2:$A$73=$A596)*
      ('GIR Log'!$B$2:$B$73=$B596)*
      ('GIR Log'!$C$2:$C$73=$C596),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Log'!$E$2:$V$73,
    MATCH(1,
      ('Golf Log'!$A$2:$A$73=$A597)*
      ('Golf Log'!$B$2:$B$73=$B597)*
      ('Golf Log'!$C$2:$C$73=$C597),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Log'!$E$2:$V$73,
    MATCH(1,
      ('Putt Log'!$A$2:$A$73=$A597)*
      ('Putt Log'!$B$2:$B$73=$B597)*
      ('Putt Log'!$C$2:$C$73=$C597),
    0),
    MATCH($G597,'Putt Log'!$E$1:$V$1,0)
  ),
"")</f>
        <v>2</v>
      </c>
      <c r="P597" cm="1">
        <f t="array" ref="P597">IF(K597=3,"",
  IFERROR(
    INDEX('Fairway Log'!$E$2:$V$73,
      MATCH(1,
        ('Fairway Log'!$A$2:$A$73=$A597)*
        ('Fairway Log'!$B$2:$B$73=$B597)*
        ('Fairway Log'!$C$2:$C668=$C597),
      0),
      MATCH($G597,'Fairway Log'!$E$1:$V$1,0)
    ),
  "")
)</f>
        <v>1</v>
      </c>
      <c r="Q597" t="str" cm="1">
        <f t="array" ref="Q597">IFERROR(
  INDEX('GIR Log'!$E$2:$V$73,
    MATCH(1,
      ('GIR Log'!$A$2:$A$73=$A597)*
      ('GIR Log'!$B$2:$B$73=$B597)*
      ('GIR Log'!$C$2:$C$73=$C597),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Log'!$E$2:$V$73,
    MATCH(1,
      ('Golf Log'!$A$2:$A$73=$A598)*
      ('Golf Log'!$B$2:$B$73=$B598)*
      ('Golf Log'!$C$2:$C$73=$C598),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Log'!$E$2:$V$73,
    MATCH(1,
      ('Putt Log'!$A$2:$A$73=$A598)*
      ('Putt Log'!$B$2:$B$73=$B598)*
      ('Putt Log'!$C$2:$C$73=$C598),
    0),
    MATCH($G598,'Putt Log'!$E$1:$V$1,0)
  ),
"")</f>
        <v>2</v>
      </c>
      <c r="P598" t="str" cm="1">
        <f t="array" ref="P598">IF(K598=3,"",
  IFERROR(
    INDEX('Fairway Log'!$E$2:$V$73,
      MATCH(1,
        ('Fairway Log'!$A$2:$A$73=$A598)*
        ('Fairway Log'!$B$2:$B$73=$B598)*
        ('Fairway Log'!$C$2:$C669=$C598),
      0),
      MATCH($G598,'Fairway Log'!$E$1:$V$1,0)
    ),
  "")
)</f>
        <v/>
      </c>
      <c r="Q598" t="str" cm="1">
        <f t="array" ref="Q598">IFERROR(
  INDEX('GIR Log'!$E$2:$V$73,
    MATCH(1,
      ('GIR Log'!$A$2:$A$73=$A598)*
      ('GIR Log'!$B$2:$B$73=$B598)*
      ('GIR Log'!$C$2:$C$73=$C598),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Log'!$E$2:$V$73,
    MATCH(1,
      ('Golf Log'!$A$2:$A$73=$A599)*
      ('Golf Log'!$B$2:$B$73=$B599)*
      ('Golf Log'!$C$2:$C$73=$C599),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Log'!$E$2:$V$73,
    MATCH(1,
      ('Putt Log'!$A$2:$A$73=$A599)*
      ('Putt Log'!$B$2:$B$73=$B599)*
      ('Putt Log'!$C$2:$C$73=$C599),
    0),
    MATCH($G599,'Putt Log'!$E$1:$V$1,0)
  ),
"")</f>
        <v>2</v>
      </c>
      <c r="P599" t="str" cm="1">
        <f t="array" ref="P599">IF(K599=3,"",
  IFERROR(
    INDEX('Fairway Log'!$E$2:$V$73,
      MATCH(1,
        ('Fairway Log'!$A$2:$A$73=$A599)*
        ('Fairway Log'!$B$2:$B$73=$B599)*
        ('Fairway Log'!$C$2:$C670=$C599),
      0),
      MATCH($G599,'Fairway Log'!$E$1:$V$1,0)
    ),
  "")
)</f>
        <v>→</v>
      </c>
      <c r="Q599" cm="1">
        <f t="array" ref="Q599">IFERROR(
  INDEX('GIR Log'!$E$2:$V$73,
    MATCH(1,
      ('GIR Log'!$A$2:$A$73=$A599)*
      ('GIR Log'!$B$2:$B$73=$B599)*
      ('GIR Log'!$C$2:$C$73=$C599),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Log'!$E$2:$V$73,
    MATCH(1,
      ('Golf Log'!$A$2:$A$73=$A600)*
      ('Golf Log'!$B$2:$B$73=$B600)*
      ('Golf Log'!$C$2:$C$73=$C600),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Log'!$E$2:$V$73,
    MATCH(1,
      ('Putt Log'!$A$2:$A$73=$A600)*
      ('Putt Log'!$B$2:$B$73=$B600)*
      ('Putt Log'!$C$2:$C$73=$C600),
    0),
    MATCH($G600,'Putt Log'!$E$1:$V$1,0)
  ),
"")</f>
        <v>2</v>
      </c>
      <c r="P600" t="str" cm="1">
        <f t="array" ref="P600">IF(K600=3,"",
  IFERROR(
    INDEX('Fairway Log'!$E$2:$V$73,
      MATCH(1,
        ('Fairway Log'!$A$2:$A$73=$A600)*
        ('Fairway Log'!$B$2:$B$73=$B600)*
        ('Fairway Log'!$C$2:$C671=$C600),
      0),
      MATCH($G600,'Fairway Log'!$E$1:$V$1,0)
    ),
  "")
)</f>
        <v>↑</v>
      </c>
      <c r="Q600" t="str" cm="1">
        <f t="array" ref="Q600">IFERROR(
  INDEX('GIR Log'!$E$2:$V$73,
    MATCH(1,
      ('GIR Log'!$A$2:$A$73=$A600)*
      ('GIR Log'!$B$2:$B$73=$B600)*
      ('GIR Log'!$C$2:$C$73=$C600),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Log'!$E$2:$V$73,
    MATCH(1,
      ('Golf Log'!$A$2:$A$73=$A601)*
      ('Golf Log'!$B$2:$B$73=$B601)*
      ('Golf Log'!$C$2:$C$73=$C601),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Log'!$E$2:$V$73,
    MATCH(1,
      ('Putt Log'!$A$2:$A$73=$A601)*
      ('Putt Log'!$B$2:$B$73=$B601)*
      ('Putt Log'!$C$2:$C$73=$C601),
    0),
    MATCH($G601,'Putt Log'!$E$1:$V$1,0)
  ),
"")</f>
        <v>2</v>
      </c>
      <c r="P601" cm="1">
        <f t="array" ref="P601">IF(K601=3,"",
  IFERROR(
    INDEX('Fairway Log'!$E$2:$V$73,
      MATCH(1,
        ('Fairway Log'!$A$2:$A$73=$A601)*
        ('Fairway Log'!$B$2:$B$73=$B601)*
        ('Fairway Log'!$C$2:$C672=$C601),
      0),
      MATCH($G601,'Fairway Log'!$E$1:$V$1,0)
    ),
  "")
)</f>
        <v>1</v>
      </c>
      <c r="Q601" cm="1">
        <f t="array" ref="Q601">IFERROR(
  INDEX('GIR Log'!$E$2:$V$73,
    MATCH(1,
      ('GIR Log'!$A$2:$A$73=$A601)*
      ('GIR Log'!$B$2:$B$73=$B601)*
      ('GIR Log'!$C$2:$C$73=$C601),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Log'!$E$2:$V$73,
    MATCH(1,
      ('Golf Log'!$A$2:$A$73=$A602)*
      ('Golf Log'!$B$2:$B$73=$B602)*
      ('Golf Log'!$C$2:$C$73=$C602),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Log'!$E$2:$V$73,
    MATCH(1,
      ('Putt Log'!$A$2:$A$73=$A602)*
      ('Putt Log'!$B$2:$B$73=$B602)*
      ('Putt Log'!$C$2:$C$73=$C602),
    0),
    MATCH($G602,'Putt Log'!$E$1:$V$1,0)
  ),
"")</f>
        <v>2</v>
      </c>
      <c r="P602" t="str" cm="1">
        <f t="array" ref="P602">IF(K602=3,"",
  IFERROR(
    INDEX('Fairway Log'!$E$2:$V$73,
      MATCH(1,
        ('Fairway Log'!$A$2:$A$73=$A602)*
        ('Fairway Log'!$B$2:$B$73=$B602)*
        ('Fairway Log'!$C$2:$C673=$C602),
      0),
      MATCH($G602,'Fairway Log'!$E$1:$V$1,0)
    ),
  "")
)</f>
        <v/>
      </c>
      <c r="Q602" t="str" cm="1">
        <f t="array" ref="Q602">IFERROR(
  INDEX('GIR Log'!$E$2:$V$73,
    MATCH(1,
      ('GIR Log'!$A$2:$A$73=$A602)*
      ('GIR Log'!$B$2:$B$73=$B602)*
      ('GIR Log'!$C$2:$C$73=$C602),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Log'!$E$2:$V$73,
    MATCH(1,
      ('Golf Log'!$A$2:$A$73=$A603)*
      ('Golf Log'!$B$2:$B$73=$B603)*
      ('Golf Log'!$C$2:$C$73=$C603),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Log'!$E$2:$V$73,
    MATCH(1,
      ('Putt Log'!$A$2:$A$73=$A603)*
      ('Putt Log'!$B$2:$B$73=$B603)*
      ('Putt Log'!$C$2:$C$73=$C603),
    0),
    MATCH($G603,'Putt Log'!$E$1:$V$1,0)
  ),
"")</f>
        <v>2</v>
      </c>
      <c r="P603" cm="1">
        <f t="array" ref="P603">IF(K603=3,"",
  IFERROR(
    INDEX('Fairway Log'!$E$2:$V$73,
      MATCH(1,
        ('Fairway Log'!$A$2:$A$73=$A603)*
        ('Fairway Log'!$B$2:$B$73=$B603)*
        ('Fairway Log'!$C$2:$C674=$C603),
      0),
      MATCH($G603,'Fairway Log'!$E$1:$V$1,0)
    ),
  "")
)</f>
        <v>1</v>
      </c>
      <c r="Q603" cm="1">
        <f t="array" ref="Q603">IFERROR(
  INDEX('GIR Log'!$E$2:$V$73,
    MATCH(1,
      ('GIR Log'!$A$2:$A$73=$A603)*
      ('GIR Log'!$B$2:$B$73=$B603)*
      ('GIR Log'!$C$2:$C$73=$C603),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Log'!$E$2:$V$73,
    MATCH(1,
      ('Golf Log'!$A$2:$A$73=$A604)*
      ('Golf Log'!$B$2:$B$73=$B604)*
      ('Golf Log'!$C$2:$C$73=$C604),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Log'!$E$2:$V$73,
    MATCH(1,
      ('Putt Log'!$A$2:$A$73=$A604)*
      ('Putt Log'!$B$2:$B$73=$B604)*
      ('Putt Log'!$C$2:$C$73=$C604),
    0),
    MATCH($G604,'Putt Log'!$E$1:$V$1,0)
  ),
"")</f>
        <v>1</v>
      </c>
      <c r="P604" t="str" cm="1">
        <f t="array" ref="P604">IF(K604=3,"",
  IFERROR(
    INDEX('Fairway Log'!$E$2:$V$73,
      MATCH(1,
        ('Fairway Log'!$A$2:$A$73=$A604)*
        ('Fairway Log'!$B$2:$B$73=$B604)*
        ('Fairway Log'!$C$2:$C675=$C604),
      0),
      MATCH($G604,'Fairway Log'!$E$1:$V$1,0)
    ),
  "")
)</f>
        <v>→</v>
      </c>
      <c r="Q604" cm="1">
        <f t="array" ref="Q604">IFERROR(
  INDEX('GIR Log'!$E$2:$V$73,
    MATCH(1,
      ('GIR Log'!$A$2:$A$73=$A604)*
      ('GIR Log'!$B$2:$B$73=$B604)*
      ('GIR Log'!$C$2:$C$73=$C604),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Log'!$E$2:$V$73,
    MATCH(1,
      ('Golf Log'!$A$2:$A$73=$A605)*
      ('Golf Log'!$B$2:$B$73=$B605)*
      ('Golf Log'!$C$2:$C$73=$C605),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Log'!$E$2:$V$73,
    MATCH(1,
      ('Putt Log'!$A$2:$A$73=$A605)*
      ('Putt Log'!$B$2:$B$73=$B605)*
      ('Putt Log'!$C$2:$C$73=$C605),
    0),
    MATCH($G605,'Putt Log'!$E$1:$V$1,0)
  ),
"")</f>
        <v>1</v>
      </c>
      <c r="P605" cm="1">
        <f t="array" ref="P605">IF(K605=3,"",
  IFERROR(
    INDEX('Fairway Log'!$E$2:$V$73,
      MATCH(1,
        ('Fairway Log'!$A$2:$A$73=$A605)*
        ('Fairway Log'!$B$2:$B$73=$B605)*
        ('Fairway Log'!$C$2:$C676=$C605),
      0),
      MATCH($G605,'Fairway Log'!$E$1:$V$1,0)
    ),
  "")
)</f>
        <v>1</v>
      </c>
      <c r="Q605" t="str" cm="1">
        <f t="array" ref="Q605">IFERROR(
  INDEX('GIR Log'!$E$2:$V$73,
    MATCH(1,
      ('GIR Log'!$A$2:$A$73=$A605)*
      ('GIR Log'!$B$2:$B$73=$B605)*
      ('GIR Log'!$C$2:$C$73=$C605),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Log'!$E$2:$V$73,
    MATCH(1,
      ('Golf Log'!$A$2:$A$73=$A606)*
      ('Golf Log'!$B$2:$B$73=$B606)*
      ('Golf Log'!$C$2:$C$73=$C606),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Log'!$E$2:$V$73,
    MATCH(1,
      ('Putt Log'!$A$2:$A$73=$A606)*
      ('Putt Log'!$B$2:$B$73=$B606)*
      ('Putt Log'!$C$2:$C$73=$C606),
    0),
    MATCH($G606,'Putt Log'!$E$1:$V$1,0)
  ),
"")</f>
        <v>2</v>
      </c>
      <c r="P606" t="str" cm="1">
        <f t="array" ref="P606">IF(K606=3,"",
  IFERROR(
    INDEX('Fairway Log'!$E$2:$V$73,
      MATCH(1,
        ('Fairway Log'!$A$2:$A$73=$A606)*
        ('Fairway Log'!$B$2:$B$73=$B606)*
        ('Fairway Log'!$C$2:$C677=$C606),
      0),
      MATCH($G606,'Fairway Log'!$E$1:$V$1,0)
    ),
  "")
)</f>
        <v/>
      </c>
      <c r="Q606" t="str" cm="1">
        <f t="array" ref="Q606">IFERROR(
  INDEX('GIR Log'!$E$2:$V$73,
    MATCH(1,
      ('GIR Log'!$A$2:$A$73=$A606)*
      ('GIR Log'!$B$2:$B$73=$B606)*
      ('GIR Log'!$C$2:$C$73=$C606),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Log'!$E$2:$V$73,
    MATCH(1,
      ('Golf Log'!$A$2:$A$73=$A607)*
      ('Golf Log'!$B$2:$B$73=$B607)*
      ('Golf Log'!$C$2:$C$73=$C607),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Log'!$E$2:$V$73,
    MATCH(1,
      ('Putt Log'!$A$2:$A$73=$A607)*
      ('Putt Log'!$B$2:$B$73=$B607)*
      ('Putt Log'!$C$2:$C$73=$C607),
    0),
    MATCH($G607,'Putt Log'!$E$1:$V$1,0)
  ),
"")</f>
        <v>1</v>
      </c>
      <c r="P607" cm="1">
        <f t="array" ref="P607">IF(K607=3,"",
  IFERROR(
    INDEX('Fairway Log'!$E$2:$V$73,
      MATCH(1,
        ('Fairway Log'!$A$2:$A$73=$A607)*
        ('Fairway Log'!$B$2:$B$73=$B607)*
        ('Fairway Log'!$C$2:$C678=$C607),
      0),
      MATCH($G607,'Fairway Log'!$E$1:$V$1,0)
    ),
  "")
)</f>
        <v>1</v>
      </c>
      <c r="Q607" cm="1">
        <f t="array" ref="Q607">IFERROR(
  INDEX('GIR Log'!$E$2:$V$73,
    MATCH(1,
      ('GIR Log'!$A$2:$A$73=$A607)*
      ('GIR Log'!$B$2:$B$73=$B607)*
      ('GIR Log'!$C$2:$C$73=$C607),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Log'!$E$2:$V$73,
    MATCH(1,
      ('Golf Log'!$A$2:$A$73=$A608)*
      ('Golf Log'!$B$2:$B$73=$B608)*
      ('Golf Log'!$C$2:$C$73=$C608),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Log'!$E$2:$V$73,
    MATCH(1,
      ('Putt Log'!$A$2:$A$73=$A608)*
      ('Putt Log'!$B$2:$B$73=$B608)*
      ('Putt Log'!$C$2:$C$73=$C608),
    0),
    MATCH($G608,'Putt Log'!$E$1:$V$1,0)
  ),
"")</f>
        <v>2</v>
      </c>
      <c r="P608" cm="1">
        <f t="array" ref="P608">IF(K608=3,"",
  IFERROR(
    INDEX('Fairway Log'!$E$2:$V$73,
      MATCH(1,
        ('Fairway Log'!$A$2:$A$73=$A608)*
        ('Fairway Log'!$B$2:$B$73=$B608)*
        ('Fairway Log'!$C$2:$C679=$C608),
      0),
      MATCH($G608,'Fairway Log'!$E$1:$V$1,0)
    ),
  "")
)</f>
        <v>1</v>
      </c>
      <c r="Q608" cm="1">
        <f t="array" ref="Q608">IFERROR(
  INDEX('GIR Log'!$E$2:$V$73,
    MATCH(1,
      ('GIR Log'!$A$2:$A$73=$A608)*
      ('GIR Log'!$B$2:$B$73=$B608)*
      ('GIR Log'!$C$2:$C$73=$C608),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Log'!$E$2:$V$73,
    MATCH(1,
      ('Golf Log'!$A$2:$A$73=$A609)*
      ('Golf Log'!$B$2:$B$73=$B609)*
      ('Golf Log'!$C$2:$C$73=$C609),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Log'!$E$2:$V$73,
    MATCH(1,
      ('Putt Log'!$A$2:$A$73=$A609)*
      ('Putt Log'!$B$2:$B$73=$B609)*
      ('Putt Log'!$C$2:$C$73=$C609),
    0),
    MATCH($G609,'Putt Log'!$E$1:$V$1,0)
  ),
"")</f>
        <v>2</v>
      </c>
      <c r="P609" t="str" cm="1">
        <f t="array" ref="P609">IF(K609=3,"",
  IFERROR(
    INDEX('Fairway Log'!$E$2:$V$73,
      MATCH(1,
        ('Fairway Log'!$A$2:$A$73=$A609)*
        ('Fairway Log'!$B$2:$B$73=$B609)*
        ('Fairway Log'!$C$2:$C680=$C609),
      0),
      MATCH($G609,'Fairway Log'!$E$1:$V$1,0)
    ),
  "")
)</f>
        <v>→</v>
      </c>
      <c r="Q609" cm="1">
        <f t="array" ref="Q609">IFERROR(
  INDEX('GIR Log'!$E$2:$V$73,
    MATCH(1,
      ('GIR Log'!$A$2:$A$73=$A609)*
      ('GIR Log'!$B$2:$B$73=$B609)*
      ('GIR Log'!$C$2:$C$73=$C609),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Log'!$E$2:$V$73,
    MATCH(1,
      ('Golf Log'!$A$2:$A$73=$A610)*
      ('Golf Log'!$B$2:$B$73=$B610)*
      ('Golf Log'!$C$2:$C$73=$C610),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Log'!$E$2:$V$73,
    MATCH(1,
      ('Putt Log'!$A$2:$A$73=$A610)*
      ('Putt Log'!$B$2:$B$73=$B610)*
      ('Putt Log'!$C$2:$C$73=$C610),
    0),
    MATCH($G610,'Putt Log'!$E$1:$V$1,0)
  ),
"")</f>
        <v>2</v>
      </c>
      <c r="P610" t="str" cm="1">
        <f t="array" ref="P610">IF(K610=3,"",
  IFERROR(
    INDEX('Fairway Log'!$E$2:$V$73,
      MATCH(1,
        ('Fairway Log'!$A$2:$A$73=$A610)*
        ('Fairway Log'!$B$2:$B$73=$B610)*
        ('Fairway Log'!$C$2:$C681=$C610),
      0),
      MATCH($G610,'Fairway Log'!$E$1:$V$1,0)
    ),
  "")
)</f>
        <v>→</v>
      </c>
      <c r="Q610" t="str" cm="1">
        <f t="array" ref="Q610">IFERROR(
  INDEX('GIR Log'!$E$2:$V$73,
    MATCH(1,
      ('GIR Log'!$A$2:$A$73=$A610)*
      ('GIR Log'!$B$2:$B$73=$B610)*
      ('GIR Log'!$C$2:$C$73=$C610),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Log'!$E$2:$V$73,
    MATCH(1,
      ('Golf Log'!$A$2:$A$73=$A611)*
      ('Golf Log'!$B$2:$B$73=$B611)*
      ('Golf Log'!$C$2:$C$73=$C611),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Log'!$E$2:$V$73,
    MATCH(1,
      ('Putt Log'!$A$2:$A$73=$A611)*
      ('Putt Log'!$B$2:$B$73=$B611)*
      ('Putt Log'!$C$2:$C$73=$C611),
    0),
    MATCH($G611,'Putt Log'!$E$1:$V$1,0)
  ),
"")</f>
        <v>1</v>
      </c>
      <c r="P611" cm="1">
        <f t="array" ref="P611">IF(K611=3,"",
  IFERROR(
    INDEX('Fairway Log'!$E$2:$V$73,
      MATCH(1,
        ('Fairway Log'!$A$2:$A$73=$A611)*
        ('Fairway Log'!$B$2:$B$73=$B611)*
        ('Fairway Log'!$C$2:$C682=$C611),
      0),
      MATCH($G611,'Fairway Log'!$E$1:$V$1,0)
    ),
  "")
)</f>
        <v>1</v>
      </c>
      <c r="Q611" t="str" cm="1">
        <f t="array" ref="Q611">IFERROR(
  INDEX('GIR Log'!$E$2:$V$73,
    MATCH(1,
      ('GIR Log'!$A$2:$A$73=$A611)*
      ('GIR Log'!$B$2:$B$73=$B611)*
      ('GIR Log'!$C$2:$C$73=$C611),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Log'!$E$2:$V$73,
    MATCH(1,
      ('Golf Log'!$A$2:$A$73=$A612)*
      ('Golf Log'!$B$2:$B$73=$B612)*
      ('Golf Log'!$C$2:$C$73=$C612),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Log'!$E$2:$V$73,
    MATCH(1,
      ('Putt Log'!$A$2:$A$73=$A612)*
      ('Putt Log'!$B$2:$B$73=$B612)*
      ('Putt Log'!$C$2:$C$73=$C612),
    0),
    MATCH($G612,'Putt Log'!$E$1:$V$1,0)
  ),
"")</f>
        <v>2</v>
      </c>
      <c r="P612" t="str" cm="1">
        <f t="array" ref="P612">IF(K612=3,"",
  IFERROR(
    INDEX('Fairway Log'!$E$2:$V$73,
      MATCH(1,
        ('Fairway Log'!$A$2:$A$73=$A612)*
        ('Fairway Log'!$B$2:$B$73=$B612)*
        ('Fairway Log'!$C$2:$C683=$C612),
      0),
      MATCH($G612,'Fairway Log'!$E$1:$V$1,0)
    ),
  "")
)</f>
        <v/>
      </c>
      <c r="Q612" cm="1">
        <f t="array" ref="Q612">IFERROR(
  INDEX('GIR Log'!$E$2:$V$73,
    MATCH(1,
      ('GIR Log'!$A$2:$A$73=$A612)*
      ('GIR Log'!$B$2:$B$73=$B612)*
      ('GIR Log'!$C$2:$C$73=$C612),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Log'!$E$2:$V$73,
    MATCH(1,
      ('Golf Log'!$A$2:$A$73=$A613)*
      ('Golf Log'!$B$2:$B$73=$B613)*
      ('Golf Log'!$C$2:$C$73=$C613),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Log'!$E$2:$V$73,
    MATCH(1,
      ('Putt Log'!$A$2:$A$73=$A613)*
      ('Putt Log'!$B$2:$B$73=$B613)*
      ('Putt Log'!$C$2:$C$73=$C613),
    0),
    MATCH($G613,'Putt Log'!$E$1:$V$1,0)
  ),
"")</f>
        <v>2</v>
      </c>
      <c r="P613" cm="1">
        <f t="array" ref="P613">IF(K613=3,"",
  IFERROR(
    INDEX('Fairway Log'!$E$2:$V$73,
      MATCH(1,
        ('Fairway Log'!$A$2:$A$73=$A613)*
        ('Fairway Log'!$B$2:$B$73=$B613)*
        ('Fairway Log'!$C$2:$C684=$C613),
      0),
      MATCH($G613,'Fairway Log'!$E$1:$V$1,0)
    ),
  "")
)</f>
        <v>1</v>
      </c>
      <c r="Q613" cm="1">
        <f t="array" ref="Q613">IFERROR(
  INDEX('GIR Log'!$E$2:$V$73,
    MATCH(1,
      ('GIR Log'!$A$2:$A$73=$A613)*
      ('GIR Log'!$B$2:$B$73=$B613)*
      ('GIR Log'!$C$2:$C$73=$C613),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Log'!$E$2:$V$73,
    MATCH(1,
      ('Golf Log'!$A$2:$A$73=$A614)*
      ('Golf Log'!$B$2:$B$73=$B614)*
      ('Golf Log'!$C$2:$C$73=$C614),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Log'!$E$2:$V$73,
    MATCH(1,
      ('Putt Log'!$A$2:$A$73=$A614)*
      ('Putt Log'!$B$2:$B$73=$B614)*
      ('Putt Log'!$C$2:$C$73=$C614),
    0),
    MATCH($G614,'Putt Log'!$E$1:$V$1,0)
  ),
"")</f>
        <v>2</v>
      </c>
      <c r="P614" cm="1">
        <f t="array" ref="P614">IF(K614=3,"",
  IFERROR(
    INDEX('Fairway Log'!$E$2:$V$73,
      MATCH(1,
        ('Fairway Log'!$A$2:$A$73=$A614)*
        ('Fairway Log'!$B$2:$B$73=$B614)*
        ('Fairway Log'!$C$2:$C685=$C614),
      0),
      MATCH($G614,'Fairway Log'!$E$1:$V$1,0)
    ),
  "")
)</f>
        <v>1</v>
      </c>
      <c r="Q614" cm="1">
        <f t="array" ref="Q614">IFERROR(
  INDEX('GIR Log'!$E$2:$V$73,
    MATCH(1,
      ('GIR Log'!$A$2:$A$73=$A614)*
      ('GIR Log'!$B$2:$B$73=$B614)*
      ('GIR Log'!$C$2:$C$73=$C614),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Log'!$E$2:$V$73,
    MATCH(1,
      ('Golf Log'!$A$2:$A$73=$A615)*
      ('Golf Log'!$B$2:$B$73=$B615)*
      ('Golf Log'!$C$2:$C$73=$C615),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Log'!$E$2:$V$73,
    MATCH(1,
      ('Putt Log'!$A$2:$A$73=$A615)*
      ('Putt Log'!$B$2:$B$73=$B615)*
      ('Putt Log'!$C$2:$C$73=$C615),
    0),
    MATCH($G615,'Putt Log'!$E$1:$V$1,0)
  ),
"")</f>
        <v>2</v>
      </c>
      <c r="P615" t="str" cm="1">
        <f t="array" ref="P615">IF(K615=3,"",
  IFERROR(
    INDEX('Fairway Log'!$E$2:$V$73,
      MATCH(1,
        ('Fairway Log'!$A$2:$A$73=$A615)*
        ('Fairway Log'!$B$2:$B$73=$B615)*
        ('Fairway Log'!$C$2:$C686=$C615),
      0),
      MATCH($G615,'Fairway Log'!$E$1:$V$1,0)
    ),
  "")
)</f>
        <v>→</v>
      </c>
      <c r="Q615" t="str" cm="1">
        <f t="array" ref="Q615">IFERROR(
  INDEX('GIR Log'!$E$2:$V$73,
    MATCH(1,
      ('GIR Log'!$A$2:$A$73=$A615)*
      ('GIR Log'!$B$2:$B$73=$B615)*
      ('GIR Log'!$C$2:$C$73=$C615),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Log'!$E$2:$V$73,
    MATCH(1,
      ('Golf Log'!$A$2:$A$73=$A616)*
      ('Golf Log'!$B$2:$B$73=$B616)*
      ('Golf Log'!$C$2:$C$73=$C616),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Log'!$E$2:$V$73,
    MATCH(1,
      ('Putt Log'!$A$2:$A$73=$A616)*
      ('Putt Log'!$B$2:$B$73=$B616)*
      ('Putt Log'!$C$2:$C$73=$C616),
    0),
    MATCH($G616,'Putt Log'!$E$1:$V$1,0)
  ),
"")</f>
        <v>2</v>
      </c>
      <c r="P616" t="str" cm="1">
        <f t="array" ref="P616">IF(K616=3,"",
  IFERROR(
    INDEX('Fairway Log'!$E$2:$V$73,
      MATCH(1,
        ('Fairway Log'!$A$2:$A$73=$A616)*
        ('Fairway Log'!$B$2:$B$73=$B616)*
        ('Fairway Log'!$C$2:$C687=$C616),
      0),
      MATCH($G616,'Fairway Log'!$E$1:$V$1,0)
    ),
  "")
)</f>
        <v/>
      </c>
      <c r="Q616" cm="1">
        <f t="array" ref="Q616">IFERROR(
  INDEX('GIR Log'!$E$2:$V$73,
    MATCH(1,
      ('GIR Log'!$A$2:$A$73=$A616)*
      ('GIR Log'!$B$2:$B$73=$B616)*
      ('GIR Log'!$C$2:$C$73=$C616),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Log'!$E$2:$V$73,
    MATCH(1,
      ('Golf Log'!$A$2:$A$73=$A617)*
      ('Golf Log'!$B$2:$B$73=$B617)*
      ('Golf Log'!$C$2:$C$73=$C617),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Log'!$E$2:$V$73,
    MATCH(1,
      ('Putt Log'!$A$2:$A$73=$A617)*
      ('Putt Log'!$B$2:$B$73=$B617)*
      ('Putt Log'!$C$2:$C$73=$C617),
    0),
    MATCH($G617,'Putt Log'!$E$1:$V$1,0)
  ),
"")</f>
        <v>1</v>
      </c>
      <c r="P617" t="str" cm="1">
        <f t="array" ref="P617">IF(K617=3,"",
  IFERROR(
    INDEX('Fairway Log'!$E$2:$V$73,
      MATCH(1,
        ('Fairway Log'!$A$2:$A$73=$A617)*
        ('Fairway Log'!$B$2:$B$73=$B617)*
        ('Fairway Log'!$C$2:$C688=$C617),
      0),
      MATCH($G617,'Fairway Log'!$E$1:$V$1,0)
    ),
  "")
)</f>
        <v>→</v>
      </c>
      <c r="Q617" t="str" cm="1">
        <f t="array" ref="Q617">IFERROR(
  INDEX('GIR Log'!$E$2:$V$73,
    MATCH(1,
      ('GIR Log'!$A$2:$A$73=$A617)*
      ('GIR Log'!$B$2:$B$73=$B617)*
      ('GIR Log'!$C$2:$C$73=$C617),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Log'!$E$2:$V$73,
    MATCH(1,
      ('Golf Log'!$A$2:$A$73=$A618)*
      ('Golf Log'!$B$2:$B$73=$B618)*
      ('Golf Log'!$C$2:$C$73=$C618),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Log'!$E$2:$V$73,
    MATCH(1,
      ('Putt Log'!$A$2:$A$73=$A618)*
      ('Putt Log'!$B$2:$B$73=$B618)*
      ('Putt Log'!$C$2:$C$73=$C618),
    0),
    MATCH($G618,'Putt Log'!$E$1:$V$1,0)
  ),
"")</f>
        <v>1</v>
      </c>
      <c r="P618" cm="1">
        <f t="array" ref="P618">IF(K618=3,"",
  IFERROR(
    INDEX('Fairway Log'!$E$2:$V$73,
      MATCH(1,
        ('Fairway Log'!$A$2:$A$73=$A618)*
        ('Fairway Log'!$B$2:$B$73=$B618)*
        ('Fairway Log'!$C$2:$C689=$C618),
      0),
      MATCH($G618,'Fairway Log'!$E$1:$V$1,0)
    ),
  "")
)</f>
        <v>1</v>
      </c>
      <c r="Q618" t="str" cm="1">
        <f t="array" ref="Q618">IFERROR(
  INDEX('GIR Log'!$E$2:$V$73,
    MATCH(1,
      ('GIR Log'!$A$2:$A$73=$A618)*
      ('GIR Log'!$B$2:$B$73=$B618)*
      ('GIR Log'!$C$2:$C$73=$C618),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Log'!$E$2:$V$73,
    MATCH(1,
      ('Golf Log'!$A$2:$A$73=$A619)*
      ('Golf Log'!$B$2:$B$73=$B619)*
      ('Golf Log'!$C$2:$C$73=$C619),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Log'!$E$2:$V$73,
    MATCH(1,
      ('Putt Log'!$A$2:$A$73=$A619)*
      ('Putt Log'!$B$2:$B$73=$B619)*
      ('Putt Log'!$C$2:$C$73=$C619),
    0),
    MATCH($G619,'Putt Log'!$E$1:$V$1,0)
  ),
"")</f>
        <v>2</v>
      </c>
      <c r="P619" t="str" cm="1">
        <f t="array" ref="P619">IF(K619=3,"",
  IFERROR(
    INDEX('Fairway Log'!$E$2:$V$73,
      MATCH(1,
        ('Fairway Log'!$A$2:$A$73=$A619)*
        ('Fairway Log'!$B$2:$B$73=$B619)*
        ('Fairway Log'!$C$2:$C690=$C619),
      0),
      MATCH($G619,'Fairway Log'!$E$1:$V$1,0)
    ),
  "")
)</f>
        <v/>
      </c>
      <c r="Q619" cm="1">
        <f t="array" ref="Q619">IFERROR(
  INDEX('GIR Log'!$E$2:$V$73,
    MATCH(1,
      ('GIR Log'!$A$2:$A$73=$A619)*
      ('GIR Log'!$B$2:$B$73=$B619)*
      ('GIR Log'!$C$2:$C$73=$C619),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Log'!$E$2:$V$73,
    MATCH(1,
      ('Golf Log'!$A$2:$A$73=$A620)*
      ('Golf Log'!$B$2:$B$73=$B620)*
      ('Golf Log'!$C$2:$C$73=$C620),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Log'!$E$2:$V$73,
    MATCH(1,
      ('Putt Log'!$A$2:$A$73=$A620)*
      ('Putt Log'!$B$2:$B$73=$B620)*
      ('Putt Log'!$C$2:$C$73=$C620),
    0),
    MATCH($G620,'Putt Log'!$E$1:$V$1,0)
  ),
"")</f>
        <v>2</v>
      </c>
      <c r="P620" t="str" cm="1">
        <f t="array" ref="P620">IF(K620=3,"",
  IFERROR(
    INDEX('Fairway Log'!$E$2:$V$73,
      MATCH(1,
        ('Fairway Log'!$A$2:$A$73=$A620)*
        ('Fairway Log'!$B$2:$B$73=$B620)*
        ('Fairway Log'!$C$2:$C691=$C620),
      0),
      MATCH($G620,'Fairway Log'!$E$1:$V$1,0)
    ),
  "")
)</f>
        <v>→</v>
      </c>
      <c r="Q620" cm="1">
        <f t="array" ref="Q620">IFERROR(
  INDEX('GIR Log'!$E$2:$V$73,
    MATCH(1,
      ('GIR Log'!$A$2:$A$73=$A620)*
      ('GIR Log'!$B$2:$B$73=$B620)*
      ('GIR Log'!$C$2:$C$73=$C620),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Log'!$E$2:$V$73,
    MATCH(1,
      ('Golf Log'!$A$2:$A$73=$A621)*
      ('Golf Log'!$B$2:$B$73=$B621)*
      ('Golf Log'!$C$2:$C$73=$C621),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Log'!$E$2:$V$73,
    MATCH(1,
      ('Putt Log'!$A$2:$A$73=$A621)*
      ('Putt Log'!$B$2:$B$73=$B621)*
      ('Putt Log'!$C$2:$C$73=$C621),
    0),
    MATCH($G621,'Putt Log'!$E$1:$V$1,0)
  ),
"")</f>
        <v>2</v>
      </c>
      <c r="P621" cm="1">
        <f t="array" ref="P621">IF(K621=3,"",
  IFERROR(
    INDEX('Fairway Log'!$E$2:$V$73,
      MATCH(1,
        ('Fairway Log'!$A$2:$A$73=$A621)*
        ('Fairway Log'!$B$2:$B$73=$B621)*
        ('Fairway Log'!$C$2:$C692=$C621),
      0),
      MATCH($G621,'Fairway Log'!$E$1:$V$1,0)
    ),
  "")
)</f>
        <v>1</v>
      </c>
      <c r="Q621" cm="1">
        <f t="array" ref="Q621">IFERROR(
  INDEX('GIR Log'!$E$2:$V$73,
    MATCH(1,
      ('GIR Log'!$A$2:$A$73=$A621)*
      ('GIR Log'!$B$2:$B$73=$B621)*
      ('GIR Log'!$C$2:$C$73=$C621),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Log'!$E$2:$V$73,
    MATCH(1,
      ('Golf Log'!$A$2:$A$73=$A622)*
      ('Golf Log'!$B$2:$B$73=$B622)*
      ('Golf Log'!$C$2:$C$73=$C622),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Log'!$E$2:$V$73,
    MATCH(1,
      ('Putt Log'!$A$2:$A$73=$A622)*
      ('Putt Log'!$B$2:$B$73=$B622)*
      ('Putt Log'!$C$2:$C$73=$C622),
    0),
    MATCH($G622,'Putt Log'!$E$1:$V$1,0)
  ),
"")</f>
        <v>2</v>
      </c>
      <c r="P622" cm="1">
        <f t="array" ref="P622">IF(K622=3,"",
  IFERROR(
    INDEX('Fairway Log'!$E$2:$V$73,
      MATCH(1,
        ('Fairway Log'!$A$2:$A$73=$A622)*
        ('Fairway Log'!$B$2:$B$73=$B622)*
        ('Fairway Log'!$C$2:$C693=$C622),
      0),
      MATCH($G622,'Fairway Log'!$E$1:$V$1,0)
    ),
  "")
)</f>
        <v>1</v>
      </c>
      <c r="Q622" t="str" cm="1">
        <f t="array" ref="Q622">IFERROR(
  INDEX('GIR Log'!$E$2:$V$73,
    MATCH(1,
      ('GIR Log'!$A$2:$A$73=$A622)*
      ('GIR Log'!$B$2:$B$73=$B622)*
      ('GIR Log'!$C$2:$C$73=$C622),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Log'!$E$2:$V$73,
    MATCH(1,
      ('Golf Log'!$A$2:$A$73=$A623)*
      ('Golf Log'!$B$2:$B$73=$B623)*
      ('Golf Log'!$C$2:$C$73=$C623),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Log'!$E$2:$V$73,
    MATCH(1,
      ('Putt Log'!$A$2:$A$73=$A623)*
      ('Putt Log'!$B$2:$B$73=$B623)*
      ('Putt Log'!$C$2:$C$73=$C623),
    0),
    MATCH($G623,'Putt Log'!$E$1:$V$1,0)
  ),
"")</f>
        <v>1</v>
      </c>
      <c r="P623" cm="1">
        <f t="array" ref="P623">IF(K623=3,"",
  IFERROR(
    INDEX('Fairway Log'!$E$2:$V$73,
      MATCH(1,
        ('Fairway Log'!$A$2:$A$73=$A623)*
        ('Fairway Log'!$B$2:$B$73=$B623)*
        ('Fairway Log'!$C$2:$C694=$C623),
      0),
      MATCH($G623,'Fairway Log'!$E$1:$V$1,0)
    ),
  "")
)</f>
        <v>1</v>
      </c>
      <c r="Q623" t="str" cm="1">
        <f t="array" ref="Q623">IFERROR(
  INDEX('GIR Log'!$E$2:$V$73,
    MATCH(1,
      ('GIR Log'!$A$2:$A$73=$A623)*
      ('GIR Log'!$B$2:$B$73=$B623)*
      ('GIR Log'!$C$2:$C$73=$C623),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Log'!$E$2:$V$73,
    MATCH(1,
      ('Golf Log'!$A$2:$A$73=$A624)*
      ('Golf Log'!$B$2:$B$73=$B624)*
      ('Golf Log'!$C$2:$C$73=$C624),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Log'!$E$2:$V$73,
    MATCH(1,
      ('Putt Log'!$A$2:$A$73=$A624)*
      ('Putt Log'!$B$2:$B$73=$B624)*
      ('Putt Log'!$C$2:$C$73=$C624),
    0),
    MATCH($G624,'Putt Log'!$E$1:$V$1,0)
  ),
"")</f>
        <v>2</v>
      </c>
      <c r="P624" t="str" cm="1">
        <f t="array" ref="P624">IF(K624=3,"",
  IFERROR(
    INDEX('Fairway Log'!$E$2:$V$73,
      MATCH(1,
        ('Fairway Log'!$A$2:$A$73=$A624)*
        ('Fairway Log'!$B$2:$B$73=$B624)*
        ('Fairway Log'!$C$2:$C695=$C624),
      0),
      MATCH($G624,'Fairway Log'!$E$1:$V$1,0)
    ),
  "")
)</f>
        <v/>
      </c>
      <c r="Q624" t="str" cm="1">
        <f t="array" ref="Q624">IFERROR(
  INDEX('GIR Log'!$E$2:$V$73,
    MATCH(1,
      ('GIR Log'!$A$2:$A$73=$A624)*
      ('GIR Log'!$B$2:$B$73=$B624)*
      ('GIR Log'!$C$2:$C$73=$C624),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Log'!$E$2:$V$73,
    MATCH(1,
      ('Golf Log'!$A$2:$A$73=$A625)*
      ('Golf Log'!$B$2:$B$73=$B625)*
      ('Golf Log'!$C$2:$C$73=$C625),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Log'!$E$2:$V$73,
    MATCH(1,
      ('Putt Log'!$A$2:$A$73=$A625)*
      ('Putt Log'!$B$2:$B$73=$B625)*
      ('Putt Log'!$C$2:$C$73=$C625),
    0),
    MATCH($G625,'Putt Log'!$E$1:$V$1,0)
  ),
"")</f>
        <v>2</v>
      </c>
      <c r="P625" cm="1">
        <f t="array" ref="P625">IF(K625=3,"",
  IFERROR(
    INDEX('Fairway Log'!$E$2:$V$73,
      MATCH(1,
        ('Fairway Log'!$A$2:$A$73=$A625)*
        ('Fairway Log'!$B$2:$B$73=$B625)*
        ('Fairway Log'!$C$2:$C696=$C625),
      0),
      MATCH($G625,'Fairway Log'!$E$1:$V$1,0)
    ),
  "")
)</f>
        <v>1</v>
      </c>
      <c r="Q625" cm="1">
        <f t="array" ref="Q625">IFERROR(
  INDEX('GIR Log'!$E$2:$V$73,
    MATCH(1,
      ('GIR Log'!$A$2:$A$73=$A625)*
      ('GIR Log'!$B$2:$B$73=$B625)*
      ('GIR Log'!$C$2:$C$73=$C625),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Log'!$E$2:$V$73,
    MATCH(1,
      ('Golf Log'!$A$2:$A$73=$A626)*
      ('Golf Log'!$B$2:$B$73=$B626)*
      ('Golf Log'!$C$2:$C$73=$C626),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Log'!$E$2:$V$73,
    MATCH(1,
      ('Putt Log'!$A$2:$A$73=$A626)*
      ('Putt Log'!$B$2:$B$73=$B626)*
      ('Putt Log'!$C$2:$C$73=$C626),
    0),
    MATCH($G626,'Putt Log'!$E$1:$V$1,0)
  ),
"")</f>
        <v>2</v>
      </c>
      <c r="P626" t="str" cm="1">
        <f t="array" ref="P626">IF(K626=3,"",
  IFERROR(
    INDEX('Fairway Log'!$E$2:$V$73,
      MATCH(1,
        ('Fairway Log'!$A$2:$A$73=$A626)*
        ('Fairway Log'!$B$2:$B$73=$B626)*
        ('Fairway Log'!$C$2:$C697=$C626),
      0),
      MATCH($G626,'Fairway Log'!$E$1:$V$1,0)
    ),
  "")
)</f>
        <v>→</v>
      </c>
      <c r="Q626" t="str" cm="1">
        <f t="array" ref="Q626">IFERROR(
  INDEX('GIR Log'!$E$2:$V$73,
    MATCH(1,
      ('GIR Log'!$A$2:$A$73=$A626)*
      ('GIR Log'!$B$2:$B$73=$B626)*
      ('GIR Log'!$C$2:$C$73=$C626),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Log'!$E$2:$V$73,
    MATCH(1,
      ('Golf Log'!$A$2:$A$73=$A627)*
      ('Golf Log'!$B$2:$B$73=$B627)*
      ('Golf Log'!$C$2:$C$73=$C627),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Log'!$E$2:$V$73,
    MATCH(1,
      ('Putt Log'!$A$2:$A$73=$A627)*
      ('Putt Log'!$B$2:$B$73=$B627)*
      ('Putt Log'!$C$2:$C$73=$C627),
    0),
    MATCH($G627,'Putt Log'!$E$1:$V$1,0)
  ),
"")</f>
        <v>2</v>
      </c>
      <c r="P627" t="str" cm="1">
        <f t="array" ref="P627">IF(K627=3,"",
  IFERROR(
    INDEX('Fairway Log'!$E$2:$V$73,
      MATCH(1,
        ('Fairway Log'!$A$2:$A$73=$A627)*
        ('Fairway Log'!$B$2:$B$73=$B627)*
        ('Fairway Log'!$C$2:$C698=$C627),
      0),
      MATCH($G627,'Fairway Log'!$E$1:$V$1,0)
    ),
  "")
)</f>
        <v>→</v>
      </c>
      <c r="Q627" t="str" cm="1">
        <f t="array" ref="Q627">IFERROR(
  INDEX('GIR Log'!$E$2:$V$73,
    MATCH(1,
      ('GIR Log'!$A$2:$A$73=$A627)*
      ('GIR Log'!$B$2:$B$73=$B627)*
      ('GIR Log'!$C$2:$C$73=$C627),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Log'!$E$2:$V$73,
    MATCH(1,
      ('Golf Log'!$A$2:$A$73=$A628)*
      ('Golf Log'!$B$2:$B$73=$B628)*
      ('Golf Log'!$C$2:$C$73=$C628),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Log'!$E$2:$V$73,
    MATCH(1,
      ('Putt Log'!$A$2:$A$73=$A628)*
      ('Putt Log'!$B$2:$B$73=$B628)*
      ('Putt Log'!$C$2:$C$73=$C628),
    0),
    MATCH($G628,'Putt Log'!$E$1:$V$1,0)
  ),
"")</f>
        <v>1</v>
      </c>
      <c r="P628" t="str" cm="1">
        <f t="array" ref="P628">IF(K628=3,"",
  IFERROR(
    INDEX('Fairway Log'!$E$2:$V$73,
      MATCH(1,
        ('Fairway Log'!$A$2:$A$73=$A628)*
        ('Fairway Log'!$B$2:$B$73=$B628)*
        ('Fairway Log'!$C$2:$C699=$C628),
      0),
      MATCH($G628,'Fairway Log'!$E$1:$V$1,0)
    ),
  "")
)</f>
        <v/>
      </c>
      <c r="Q628" t="str" cm="1">
        <f t="array" ref="Q628">IFERROR(
  INDEX('GIR Log'!$E$2:$V$73,
    MATCH(1,
      ('GIR Log'!$A$2:$A$73=$A628)*
      ('GIR Log'!$B$2:$B$73=$B628)*
      ('GIR Log'!$C$2:$C$73=$C628),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Log'!$E$2:$V$73,
    MATCH(1,
      ('Golf Log'!$A$2:$A$73=$A629)*
      ('Golf Log'!$B$2:$B$73=$B629)*
      ('Golf Log'!$C$2:$C$73=$C629),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Log'!$E$2:$V$73,
    MATCH(1,
      ('Putt Log'!$A$2:$A$73=$A629)*
      ('Putt Log'!$B$2:$B$73=$B629)*
      ('Putt Log'!$C$2:$C$73=$C629),
    0),
    MATCH($G629,'Putt Log'!$E$1:$V$1,0)
  ),
"")</f>
        <v>2</v>
      </c>
      <c r="P629" t="str" cm="1">
        <f t="array" ref="P629">IF(K629=3,"",
  IFERROR(
    INDEX('Fairway Log'!$E$2:$V$73,
      MATCH(1,
        ('Fairway Log'!$A$2:$A$73=$A629)*
        ('Fairway Log'!$B$2:$B$73=$B629)*
        ('Fairway Log'!$C$2:$C700=$C629),
      0),
      MATCH($G629,'Fairway Log'!$E$1:$V$1,0)
    ),
  "")
)</f>
        <v>←</v>
      </c>
      <c r="Q629" t="str" cm="1">
        <f t="array" ref="Q629">IFERROR(
  INDEX('GIR Log'!$E$2:$V$73,
    MATCH(1,
      ('GIR Log'!$A$2:$A$73=$A629)*
      ('GIR Log'!$B$2:$B$73=$B629)*
      ('GIR Log'!$C$2:$C$73=$C629),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Log'!$E$2:$V$73,
    MATCH(1,
      ('Golf Log'!$A$2:$A$73=$A630)*
      ('Golf Log'!$B$2:$B$73=$B630)*
      ('Golf Log'!$C$2:$C$73=$C630),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Log'!$E$2:$V$73,
    MATCH(1,
      ('Putt Log'!$A$2:$A$73=$A630)*
      ('Putt Log'!$B$2:$B$73=$B630)*
      ('Putt Log'!$C$2:$C$73=$C630),
    0),
    MATCH($G630,'Putt Log'!$E$1:$V$1,0)
  ),
"")</f>
        <v>2</v>
      </c>
      <c r="P630" t="str" cm="1">
        <f t="array" ref="P630">IF(K630=3,"",
  IFERROR(
    INDEX('Fairway Log'!$E$2:$V$73,
      MATCH(1,
        ('Fairway Log'!$A$2:$A$73=$A630)*
        ('Fairway Log'!$B$2:$B$73=$B630)*
        ('Fairway Log'!$C$2:$C701=$C630),
      0),
      MATCH($G630,'Fairway Log'!$E$1:$V$1,0)
    ),
  "")
)</f>
        <v>→</v>
      </c>
      <c r="Q630" cm="1">
        <f t="array" ref="Q630">IFERROR(
  INDEX('GIR Log'!$E$2:$V$73,
    MATCH(1,
      ('GIR Log'!$A$2:$A$73=$A630)*
      ('GIR Log'!$B$2:$B$73=$B630)*
      ('GIR Log'!$C$2:$C$73=$C630),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Log'!$E$2:$V$73,
    MATCH(1,
      ('Golf Log'!$A$2:$A$73=$A631)*
      ('Golf Log'!$B$2:$B$73=$B631)*
      ('Golf Log'!$C$2:$C$73=$C631),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Log'!$E$2:$V$73,
    MATCH(1,
      ('Putt Log'!$A$2:$A$73=$A631)*
      ('Putt Log'!$B$2:$B$73=$B631)*
      ('Putt Log'!$C$2:$C$73=$C631),
    0),
    MATCH($G631,'Putt Log'!$E$1:$V$1,0)
  ),
"")</f>
        <v>2</v>
      </c>
      <c r="P631" cm="1">
        <f t="array" ref="P631">IF(K631=3,"",
  IFERROR(
    INDEX('Fairway Log'!$E$2:$V$73,
      MATCH(1,
        ('Fairway Log'!$A$2:$A$73=$A631)*
        ('Fairway Log'!$B$2:$B$73=$B631)*
        ('Fairway Log'!$C$2:$C702=$C631),
      0),
      MATCH($G631,'Fairway Log'!$E$1:$V$1,0)
    ),
  "")
)</f>
        <v>1</v>
      </c>
      <c r="Q631" cm="1">
        <f t="array" ref="Q631">IFERROR(
  INDEX('GIR Log'!$E$2:$V$73,
    MATCH(1,
      ('GIR Log'!$A$2:$A$73=$A631)*
      ('GIR Log'!$B$2:$B$73=$B631)*
      ('GIR Log'!$C$2:$C$73=$C631),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Log'!$E$2:$V$73,
    MATCH(1,
      ('Golf Log'!$A$2:$A$73=$A632)*
      ('Golf Log'!$B$2:$B$73=$B632)*
      ('Golf Log'!$C$2:$C$73=$C632),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Log'!$E$2:$V$73,
    MATCH(1,
      ('Putt Log'!$A$2:$A$73=$A632)*
      ('Putt Log'!$B$2:$B$73=$B632)*
      ('Putt Log'!$C$2:$C$73=$C632),
    0),
    MATCH($G632,'Putt Log'!$E$1:$V$1,0)
  ),
"")</f>
        <v>2</v>
      </c>
      <c r="P632" cm="1">
        <f t="array" ref="P632">IF(K632=3,"",
  IFERROR(
    INDEX('Fairway Log'!$E$2:$V$73,
      MATCH(1,
        ('Fairway Log'!$A$2:$A$73=$A632)*
        ('Fairway Log'!$B$2:$B$73=$B632)*
        ('Fairway Log'!$C$2:$C703=$C632),
      0),
      MATCH($G632,'Fairway Log'!$E$1:$V$1,0)
    ),
  "")
)</f>
        <v>1</v>
      </c>
      <c r="Q632" cm="1">
        <f t="array" ref="Q632">IFERROR(
  INDEX('GIR Log'!$E$2:$V$73,
    MATCH(1,
      ('GIR Log'!$A$2:$A$73=$A632)*
      ('GIR Log'!$B$2:$B$73=$B632)*
      ('GIR Log'!$C$2:$C$73=$C632),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Log'!$E$2:$V$73,
    MATCH(1,
      ('Golf Log'!$A$2:$A$73=$A633)*
      ('Golf Log'!$B$2:$B$73=$B633)*
      ('Golf Log'!$C$2:$C$73=$C633),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Log'!$E$2:$V$73,
    MATCH(1,
      ('Putt Log'!$A$2:$A$73=$A633)*
      ('Putt Log'!$B$2:$B$73=$B633)*
      ('Putt Log'!$C$2:$C$73=$C633),
    0),
    MATCH($G633,'Putt Log'!$E$1:$V$1,0)
  ),
"")</f>
        <v>2</v>
      </c>
      <c r="P633" cm="1">
        <f t="array" ref="P633">IF(K633=3,"",
  IFERROR(
    INDEX('Fairway Log'!$E$2:$V$73,
      MATCH(1,
        ('Fairway Log'!$A$2:$A$73=$A633)*
        ('Fairway Log'!$B$2:$B$73=$B633)*
        ('Fairway Log'!$C$2:$C704=$C633),
      0),
      MATCH($G633,'Fairway Log'!$E$1:$V$1,0)
    ),
  "")
)</f>
        <v>1</v>
      </c>
      <c r="Q633" cm="1">
        <f t="array" ref="Q633">IFERROR(
  INDEX('GIR Log'!$E$2:$V$73,
    MATCH(1,
      ('GIR Log'!$A$2:$A$73=$A633)*
      ('GIR Log'!$B$2:$B$73=$B633)*
      ('GIR Log'!$C$2:$C$73=$C633),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Log'!$E$2:$V$73,
    MATCH(1,
      ('Golf Log'!$A$2:$A$73=$A634)*
      ('Golf Log'!$B$2:$B$73=$B634)*
      ('Golf Log'!$C$2:$C$73=$C634),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Log'!$E$2:$V$73,
    MATCH(1,
      ('Putt Log'!$A$2:$A$73=$A634)*
      ('Putt Log'!$B$2:$B$73=$B634)*
      ('Putt Log'!$C$2:$C$73=$C634),
    0),
    MATCH($G634,'Putt Log'!$E$1:$V$1,0)
  ),
"")</f>
        <v>2</v>
      </c>
      <c r="P634" t="str" cm="1">
        <f t="array" ref="P634">IF(K634=3,"",
  IFERROR(
    INDEX('Fairway Log'!$E$2:$V$73,
      MATCH(1,
        ('Fairway Log'!$A$2:$A$73=$A634)*
        ('Fairway Log'!$B$2:$B$73=$B634)*
        ('Fairway Log'!$C$2:$C705=$C634),
      0),
      MATCH($G634,'Fairway Log'!$E$1:$V$1,0)
    ),
  "")
)</f>
        <v/>
      </c>
      <c r="Q634" t="str" cm="1">
        <f t="array" ref="Q634">IFERROR(
  INDEX('GIR Log'!$E$2:$V$73,
    MATCH(1,
      ('GIR Log'!$A$2:$A$73=$A634)*
      ('GIR Log'!$B$2:$B$73=$B634)*
      ('GIR Log'!$C$2:$C$73=$C634),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Log'!$E$2:$V$73,
    MATCH(1,
      ('Golf Log'!$A$2:$A$73=$A635)*
      ('Golf Log'!$B$2:$B$73=$B635)*
      ('Golf Log'!$C$2:$C$73=$C635),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Log'!$E$2:$V$73,
    MATCH(1,
      ('Putt Log'!$A$2:$A$73=$A635)*
      ('Putt Log'!$B$2:$B$73=$B635)*
      ('Putt Log'!$C$2:$C$73=$C635),
    0),
    MATCH($G635,'Putt Log'!$E$1:$V$1,0)
  ),
"")</f>
        <v>3</v>
      </c>
      <c r="P635" t="str" cm="1">
        <f t="array" ref="P635">IF(K635=3,"",
  IFERROR(
    INDEX('Fairway Log'!$E$2:$V$73,
      MATCH(1,
        ('Fairway Log'!$A$2:$A$73=$A635)*
        ('Fairway Log'!$B$2:$B$73=$B635)*
        ('Fairway Log'!$C$2:$C706=$C635),
      0),
      MATCH($G635,'Fairway Log'!$E$1:$V$1,0)
    ),
  "")
)</f>
        <v>→</v>
      </c>
      <c r="Q635" cm="1">
        <f t="array" ref="Q635">IFERROR(
  INDEX('GIR Log'!$E$2:$V$73,
    MATCH(1,
      ('GIR Log'!$A$2:$A$73=$A635)*
      ('GIR Log'!$B$2:$B$73=$B635)*
      ('GIR Log'!$C$2:$C$73=$C635),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Log'!$E$2:$V$73,
    MATCH(1,
      ('Golf Log'!$A$2:$A$73=$A636)*
      ('Golf Log'!$B$2:$B$73=$B636)*
      ('Golf Log'!$C$2:$C$73=$C636),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Log'!$E$2:$V$73,
    MATCH(1,
      ('Putt Log'!$A$2:$A$73=$A636)*
      ('Putt Log'!$B$2:$B$73=$B636)*
      ('Putt Log'!$C$2:$C$73=$C636),
    0),
    MATCH($G636,'Putt Log'!$E$1:$V$1,0)
  ),
"")</f>
        <v>1</v>
      </c>
      <c r="P636" t="str" cm="1">
        <f t="array" ref="P636">IF(K636=3,"",
  IFERROR(
    INDEX('Fairway Log'!$E$2:$V$73,
      MATCH(1,
        ('Fairway Log'!$A$2:$A$73=$A636)*
        ('Fairway Log'!$B$2:$B$73=$B636)*
        ('Fairway Log'!$C$2:$C707=$C636),
      0),
      MATCH($G636,'Fairway Log'!$E$1:$V$1,0)
    ),
  "")
)</f>
        <v>↑</v>
      </c>
      <c r="Q636" t="str" cm="1">
        <f t="array" ref="Q636">IFERROR(
  INDEX('GIR Log'!$E$2:$V$73,
    MATCH(1,
      ('GIR Log'!$A$2:$A$73=$A636)*
      ('GIR Log'!$B$2:$B$73=$B636)*
      ('GIR Log'!$C$2:$C$73=$C636),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Log'!$E$2:$V$73,
    MATCH(1,
      ('Golf Log'!$A$2:$A$73=$A637)*
      ('Golf Log'!$B$2:$B$73=$B637)*
      ('Golf Log'!$C$2:$C$73=$C637),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Log'!$E$2:$V$73,
    MATCH(1,
      ('Putt Log'!$A$2:$A$73=$A637)*
      ('Putt Log'!$B$2:$B$73=$B637)*
      ('Putt Log'!$C$2:$C$73=$C637),
    0),
    MATCH($G637,'Putt Log'!$E$1:$V$1,0)
  ),
"")</f>
        <v>2</v>
      </c>
      <c r="P637" t="str" cm="1">
        <f t="array" ref="P637">IF(K637=3,"",
  IFERROR(
    INDEX('Fairway Log'!$E$2:$V$73,
      MATCH(1,
        ('Fairway Log'!$A$2:$A$73=$A637)*
        ('Fairway Log'!$B$2:$B$73=$B637)*
        ('Fairway Log'!$C$2:$C708=$C637),
      0),
      MATCH($G637,'Fairway Log'!$E$1:$V$1,0)
    ),
  "")
)</f>
        <v/>
      </c>
      <c r="Q637" cm="1">
        <f t="array" ref="Q637">IFERROR(
  INDEX('GIR Log'!$E$2:$V$73,
    MATCH(1,
      ('GIR Log'!$A$2:$A$73=$A637)*
      ('GIR Log'!$B$2:$B$73=$B637)*
      ('GIR Log'!$C$2:$C$73=$C637),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Log'!$E$2:$V$73,
    MATCH(1,
      ('Golf Log'!$A$2:$A$73=$A638)*
      ('Golf Log'!$B$2:$B$73=$B638)*
      ('Golf Log'!$C$2:$C$73=$C638),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Log'!$E$2:$V$73,
    MATCH(1,
      ('Putt Log'!$A$2:$A$73=$A638)*
      ('Putt Log'!$B$2:$B$73=$B638)*
      ('Putt Log'!$C$2:$C$73=$C638),
    0),
    MATCH($G638,'Putt Log'!$E$1:$V$1,0)
  ),
"")</f>
        <v>2</v>
      </c>
      <c r="P638" cm="1">
        <f t="array" ref="P638">IF(K638=3,"",
  IFERROR(
    INDEX('Fairway Log'!$E$2:$V$73,
      MATCH(1,
        ('Fairway Log'!$A$2:$A$73=$A638)*
        ('Fairway Log'!$B$2:$B$73=$B638)*
        ('Fairway Log'!$C$2:$C709=$C638),
      0),
      MATCH($G638,'Fairway Log'!$E$1:$V$1,0)
    ),
  "")
)</f>
        <v>1</v>
      </c>
      <c r="Q638" cm="1">
        <f t="array" ref="Q638">IFERROR(
  INDEX('GIR Log'!$E$2:$V$73,
    MATCH(1,
      ('GIR Log'!$A$2:$A$73=$A638)*
      ('GIR Log'!$B$2:$B$73=$B638)*
      ('GIR Log'!$C$2:$C$73=$C638),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Log'!$E$2:$V$73,
    MATCH(1,
      ('Golf Log'!$A$2:$A$73=$A639)*
      ('Golf Log'!$B$2:$B$73=$B639)*
      ('Golf Log'!$C$2:$C$73=$C639),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Log'!$E$2:$V$73,
    MATCH(1,
      ('Putt Log'!$A$2:$A$73=$A639)*
      ('Putt Log'!$B$2:$B$73=$B639)*
      ('Putt Log'!$C$2:$C$73=$C639),
    0),
    MATCH($G639,'Putt Log'!$E$1:$V$1,0)
  ),
"")</f>
        <v>2</v>
      </c>
      <c r="P639" cm="1">
        <f t="array" ref="P639">IF(K639=3,"",
  IFERROR(
    INDEX('Fairway Log'!$E$2:$V$73,
      MATCH(1,
        ('Fairway Log'!$A$2:$A$73=$A639)*
        ('Fairway Log'!$B$2:$B$73=$B639)*
        ('Fairway Log'!$C$2:$C710=$C639),
      0),
      MATCH($G639,'Fairway Log'!$E$1:$V$1,0)
    ),
  "")
)</f>
        <v>1</v>
      </c>
      <c r="Q639" cm="1">
        <f t="array" ref="Q639">IFERROR(
  INDEX('GIR Log'!$E$2:$V$73,
    MATCH(1,
      ('GIR Log'!$A$2:$A$73=$A639)*
      ('GIR Log'!$B$2:$B$73=$B639)*
      ('GIR Log'!$C$2:$C$73=$C639),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Log'!$E$2:$V$73,
    MATCH(1,
      ('Golf Log'!$A$2:$A$73=$A640)*
      ('Golf Log'!$B$2:$B$73=$B640)*
      ('Golf Log'!$C$2:$C$73=$C640),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Log'!$E$2:$V$73,
    MATCH(1,
      ('Putt Log'!$A$2:$A$73=$A640)*
      ('Putt Log'!$B$2:$B$73=$B640)*
      ('Putt Log'!$C$2:$C$73=$C640),
    0),
    MATCH($G640,'Putt Log'!$E$1:$V$1,0)
  ),
"")</f>
        <v>2</v>
      </c>
      <c r="P640" cm="1">
        <f t="array" ref="P640">IF(K640=3,"",
  IFERROR(
    INDEX('Fairway Log'!$E$2:$V$73,
      MATCH(1,
        ('Fairway Log'!$A$2:$A$73=$A640)*
        ('Fairway Log'!$B$2:$B$73=$B640)*
        ('Fairway Log'!$C$2:$C711=$C640),
      0),
      MATCH($G640,'Fairway Log'!$E$1:$V$1,0)
    ),
  "")
)</f>
        <v>1</v>
      </c>
      <c r="Q640" cm="1">
        <f t="array" ref="Q640">IFERROR(
  INDEX('GIR Log'!$E$2:$V$73,
    MATCH(1,
      ('GIR Log'!$A$2:$A$73=$A640)*
      ('GIR Log'!$B$2:$B$73=$B640)*
      ('GIR Log'!$C$2:$C$73=$C640),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Log'!$E$2:$V$73,
    MATCH(1,
      ('Golf Log'!$A$2:$A$73=$A641)*
      ('Golf Log'!$B$2:$B$73=$B641)*
      ('Golf Log'!$C$2:$C$73=$C641),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Log'!$E$2:$V$73,
    MATCH(1,
      ('Putt Log'!$A$2:$A$73=$A641)*
      ('Putt Log'!$B$2:$B$73=$B641)*
      ('Putt Log'!$C$2:$C$73=$C641),
    0),
    MATCH($G641,'Putt Log'!$E$1:$V$1,0)
  ),
"")</f>
        <v>2</v>
      </c>
      <c r="P641" t="str" cm="1">
        <f t="array" ref="P641">IF(K641=3,"",
  IFERROR(
    INDEX('Fairway Log'!$E$2:$V$73,
      MATCH(1,
        ('Fairway Log'!$A$2:$A$73=$A641)*
        ('Fairway Log'!$B$2:$B$73=$B641)*
        ('Fairway Log'!$C$2:$C712=$C641),
      0),
      MATCH($G641,'Fairway Log'!$E$1:$V$1,0)
    ),
  "")
)</f>
        <v>→</v>
      </c>
      <c r="Q641" cm="1">
        <f t="array" ref="Q641">IFERROR(
  INDEX('GIR Log'!$E$2:$V$73,
    MATCH(1,
      ('GIR Log'!$A$2:$A$73=$A641)*
      ('GIR Log'!$B$2:$B$73=$B641)*
      ('GIR Log'!$C$2:$C$73=$C641),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Log'!$E$2:$V$73,
    MATCH(1,
      ('Golf Log'!$A$2:$A$73=$A642)*
      ('Golf Log'!$B$2:$B$73=$B642)*
      ('Golf Log'!$C$2:$C$73=$C642),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Log'!$E$2:$V$73,
    MATCH(1,
      ('Putt Log'!$A$2:$A$73=$A642)*
      ('Putt Log'!$B$2:$B$73=$B642)*
      ('Putt Log'!$C$2:$C$73=$C642),
    0),
    MATCH($G642,'Putt Log'!$E$1:$V$1,0)
  ),
"")</f>
        <v>2</v>
      </c>
      <c r="P642" t="str" cm="1">
        <f t="array" ref="P642">IF(K642=3,"",
  IFERROR(
    INDEX('Fairway Log'!$E$2:$V$73,
      MATCH(1,
        ('Fairway Log'!$A$2:$A$73=$A642)*
        ('Fairway Log'!$B$2:$B$73=$B642)*
        ('Fairway Log'!$C$2:$C713=$C642),
      0),
      MATCH($G642,'Fairway Log'!$E$1:$V$1,0)
    ),
  "")
)</f>
        <v/>
      </c>
      <c r="Q642" cm="1">
        <f t="array" ref="Q642">IFERROR(
  INDEX('GIR Log'!$E$2:$V$73,
    MATCH(1,
      ('GIR Log'!$A$2:$A$73=$A642)*
      ('GIR Log'!$B$2:$B$73=$B642)*
      ('GIR Log'!$C$2:$C$73=$C642),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Log'!$E$2:$V$73,
    MATCH(1,
      ('Golf Log'!$A$2:$A$73=$A643)*
      ('Golf Log'!$B$2:$B$73=$B643)*
      ('Golf Log'!$C$2:$C$73=$C643),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Log'!$E$2:$V$73,
    MATCH(1,
      ('Putt Log'!$A$2:$A$73=$A643)*
      ('Putt Log'!$B$2:$B$73=$B643)*
      ('Putt Log'!$C$2:$C$73=$C643),
    0),
    MATCH($G643,'Putt Log'!$E$1:$V$1,0)
  ),
"")</f>
        <v>1</v>
      </c>
      <c r="P643" cm="1">
        <f t="array" ref="P643">IF(K643=3,"",
  IFERROR(
    INDEX('Fairway Log'!$E$2:$V$73,
      MATCH(1,
        ('Fairway Log'!$A$2:$A$73=$A643)*
        ('Fairway Log'!$B$2:$B$73=$B643)*
        ('Fairway Log'!$C$2:$C714=$C643),
      0),
      MATCH($G643,'Fairway Log'!$E$1:$V$1,0)
    ),
  "")
)</f>
        <v>1</v>
      </c>
      <c r="Q643" cm="1">
        <f t="array" ref="Q643">IFERROR(
  INDEX('GIR Log'!$E$2:$V$73,
    MATCH(1,
      ('GIR Log'!$A$2:$A$73=$A643)*
      ('GIR Log'!$B$2:$B$73=$B643)*
      ('GIR Log'!$C$2:$C$73=$C643),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Log'!$E$2:$V$73,
    MATCH(1,
      ('Golf Log'!$A$2:$A$73=$A644)*
      ('Golf Log'!$B$2:$B$73=$B644)*
      ('Golf Log'!$C$2:$C$73=$C644),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Log'!$E$2:$V$73,
    MATCH(1,
      ('Putt Log'!$A$2:$A$73=$A644)*
      ('Putt Log'!$B$2:$B$73=$B644)*
      ('Putt Log'!$C$2:$C$73=$C644),
    0),
    MATCH($G644,'Putt Log'!$E$1:$V$1,0)
  ),
"")</f>
        <v>2</v>
      </c>
      <c r="P644" t="str" cm="1">
        <f t="array" ref="P644">IF(K644=3,"",
  IFERROR(
    INDEX('Fairway Log'!$E$2:$V$73,
      MATCH(1,
        ('Fairway Log'!$A$2:$A$73=$A644)*
        ('Fairway Log'!$B$2:$B$73=$B644)*
        ('Fairway Log'!$C$2:$C715=$C644),
      0),
      MATCH($G644,'Fairway Log'!$E$1:$V$1,0)
    ),
  "")
)</f>
        <v>→</v>
      </c>
      <c r="Q644" t="str" cm="1">
        <f t="array" ref="Q644">IFERROR(
  INDEX('GIR Log'!$E$2:$V$73,
    MATCH(1,
      ('GIR Log'!$A$2:$A$73=$A644)*
      ('GIR Log'!$B$2:$B$73=$B644)*
      ('GIR Log'!$C$2:$C$73=$C644),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Log'!$E$2:$V$73,
    MATCH(1,
      ('Golf Log'!$A$2:$A$73=$A645)*
      ('Golf Log'!$B$2:$B$73=$B645)*
      ('Golf Log'!$C$2:$C$73=$C645),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Log'!$E$2:$V$73,
    MATCH(1,
      ('Putt Log'!$A$2:$A$73=$A645)*
      ('Putt Log'!$B$2:$B$73=$B645)*
      ('Putt Log'!$C$2:$C$73=$C645),
    0),
    MATCH($G645,'Putt Log'!$E$1:$V$1,0)
  ),
"")</f>
        <v>1</v>
      </c>
      <c r="P645" cm="1">
        <f t="array" ref="P645">IF(K645=3,"",
  IFERROR(
    INDEX('Fairway Log'!$E$2:$V$73,
      MATCH(1,
        ('Fairway Log'!$A$2:$A$73=$A645)*
        ('Fairway Log'!$B$2:$B$73=$B645)*
        ('Fairway Log'!$C$2:$C716=$C645),
      0),
      MATCH($G645,'Fairway Log'!$E$1:$V$1,0)
    ),
  "")
)</f>
        <v>1</v>
      </c>
      <c r="Q645" t="str" cm="1">
        <f t="array" ref="Q645">IFERROR(
  INDEX('GIR Log'!$E$2:$V$73,
    MATCH(1,
      ('GIR Log'!$A$2:$A$73=$A645)*
      ('GIR Log'!$B$2:$B$73=$B645)*
      ('GIR Log'!$C$2:$C$73=$C645),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Log'!$E$2:$V$73,
    MATCH(1,
      ('Golf Log'!$A$2:$A$73=$A646)*
      ('Golf Log'!$B$2:$B$73=$B646)*
      ('Golf Log'!$C$2:$C$73=$C646),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Log'!$E$2:$V$73,
    MATCH(1,
      ('Putt Log'!$A$2:$A$73=$A646)*
      ('Putt Log'!$B$2:$B$73=$B646)*
      ('Putt Log'!$C$2:$C$73=$C646),
    0),
    MATCH($G646,'Putt Log'!$E$1:$V$1,0)
  ),
"")</f>
        <v>2</v>
      </c>
      <c r="P646" t="str" cm="1">
        <f t="array" ref="P646">IF(K646=3,"",
  IFERROR(
    INDEX('Fairway Log'!$E$2:$V$73,
      MATCH(1,
        ('Fairway Log'!$A$2:$A$73=$A646)*
        ('Fairway Log'!$B$2:$B$73=$B646)*
        ('Fairway Log'!$C$2:$C717=$C646),
      0),
      MATCH($G646,'Fairway Log'!$E$1:$V$1,0)
    ),
  "")
)</f>
        <v/>
      </c>
      <c r="Q646" t="str" cm="1">
        <f t="array" ref="Q646">IFERROR(
  INDEX('GIR Log'!$E$2:$V$73,
    MATCH(1,
      ('GIR Log'!$A$2:$A$73=$A646)*
      ('GIR Log'!$B$2:$B$73=$B646)*
      ('GIR Log'!$C$2:$C$73=$C646),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Log'!$E$2:$V$73,
    MATCH(1,
      ('Golf Log'!$A$2:$A$73=$A647)*
      ('Golf Log'!$B$2:$B$73=$B647)*
      ('Golf Log'!$C$2:$C$73=$C647),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Log'!$E$2:$V$73,
    MATCH(1,
      ('Putt Log'!$A$2:$A$73=$A647)*
      ('Putt Log'!$B$2:$B$73=$B647)*
      ('Putt Log'!$C$2:$C$73=$C647),
    0),
    MATCH($G647,'Putt Log'!$E$1:$V$1,0)
  ),
"")</f>
        <v>2</v>
      </c>
      <c r="P647" t="str" cm="1">
        <f t="array" ref="P647">IF(K647=3,"",
  IFERROR(
    INDEX('Fairway Log'!$E$2:$V$73,
      MATCH(1,
        ('Fairway Log'!$A$2:$A$73=$A647)*
        ('Fairway Log'!$B$2:$B$73=$B647)*
        ('Fairway Log'!$C$2:$C718=$C647),
      0),
      MATCH($G647,'Fairway Log'!$E$1:$V$1,0)
    ),
  "")
)</f>
        <v>→</v>
      </c>
      <c r="Q647" t="str" cm="1">
        <f t="array" ref="Q647">IFERROR(
  INDEX('GIR Log'!$E$2:$V$73,
    MATCH(1,
      ('GIR Log'!$A$2:$A$73=$A647)*
      ('GIR Log'!$B$2:$B$73=$B647)*
      ('GIR Log'!$C$2:$C$73=$C647),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Log'!$E$2:$V$73,
    MATCH(1,
      ('Golf Log'!$A$2:$A$73=$A648)*
      ('Golf Log'!$B$2:$B$73=$B648)*
      ('Golf Log'!$C$2:$C$73=$C648),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Log'!$E$2:$V$73,
    MATCH(1,
      ('Putt Log'!$A$2:$A$73=$A648)*
      ('Putt Log'!$B$2:$B$73=$B648)*
      ('Putt Log'!$C$2:$C$73=$C648),
    0),
    MATCH($G648,'Putt Log'!$E$1:$V$1,0)
  ),
"")</f>
        <v>1</v>
      </c>
      <c r="P648" cm="1">
        <f t="array" ref="P648">IF(K648=3,"",
  IFERROR(
    INDEX('Fairway Log'!$E$2:$V$73,
      MATCH(1,
        ('Fairway Log'!$A$2:$A$73=$A648)*
        ('Fairway Log'!$B$2:$B$73=$B648)*
        ('Fairway Log'!$C$2:$C719=$C648),
      0),
      MATCH($G648,'Fairway Log'!$E$1:$V$1,0)
    ),
  "")
)</f>
        <v>1</v>
      </c>
      <c r="Q648" t="str" cm="1">
        <f t="array" ref="Q648">IFERROR(
  INDEX('GIR Log'!$E$2:$V$73,
    MATCH(1,
      ('GIR Log'!$A$2:$A$73=$A648)*
      ('GIR Log'!$B$2:$B$73=$B648)*
      ('GIR Log'!$C$2:$C$73=$C648),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Log'!$E$2:$V$73,
    MATCH(1,
      ('Golf Log'!$A$2:$A$73=$A649)*
      ('Golf Log'!$B$2:$B$73=$B649)*
      ('Golf Log'!$C$2:$C$73=$C649),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Log'!$E$2:$V$73,
    MATCH(1,
      ('Putt Log'!$A$2:$A$73=$A649)*
      ('Putt Log'!$B$2:$B$73=$B649)*
      ('Putt Log'!$C$2:$C$73=$C649),
    0),
    MATCH($G649,'Putt Log'!$E$1:$V$1,0)
  ),
"")</f>
        <v>2</v>
      </c>
      <c r="P649" cm="1">
        <f t="array" ref="P649">IF(K649=3,"",
  IFERROR(
    INDEX('Fairway Log'!$E$2:$V$73,
      MATCH(1,
        ('Fairway Log'!$A$2:$A$73=$A649)*
        ('Fairway Log'!$B$2:$B$73=$B649)*
        ('Fairway Log'!$C$2:$C720=$C649),
      0),
      MATCH($G649,'Fairway Log'!$E$1:$V$1,0)
    ),
  "")
)</f>
        <v>1</v>
      </c>
      <c r="Q649" cm="1">
        <f t="array" ref="Q649">IFERROR(
  INDEX('GIR Log'!$E$2:$V$73,
    MATCH(1,
      ('GIR Log'!$A$2:$A$73=$A649)*
      ('GIR Log'!$B$2:$B$73=$B649)*
      ('GIR Log'!$C$2:$C$73=$C649),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Log'!$E$2:$V$73,
    MATCH(1,
      ('Golf Log'!$A$2:$A$73=$A650)*
      ('Golf Log'!$B$2:$B$73=$B650)*
      ('Golf Log'!$C$2:$C$73=$C650),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Log'!$E$2:$V$73,
    MATCH(1,
      ('Putt Log'!$A$2:$A$73=$A650)*
      ('Putt Log'!$B$2:$B$73=$B650)*
      ('Putt Log'!$C$2:$C$73=$C650),
    0),
    MATCH($G650,'Putt Log'!$E$1:$V$1,0)
  ),
"")</f>
        <v>2</v>
      </c>
      <c r="P650" cm="1">
        <f t="array" ref="P650">IF(K650=3,"",
  IFERROR(
    INDEX('Fairway Log'!$E$2:$V$73,
      MATCH(1,
        ('Fairway Log'!$A$2:$A$73=$A650)*
        ('Fairway Log'!$B$2:$B$73=$B650)*
        ('Fairway Log'!$C$2:$C721=$C650),
      0),
      MATCH($G650,'Fairway Log'!$E$1:$V$1,0)
    ),
  "")
)</f>
        <v>1</v>
      </c>
      <c r="Q650" cm="1">
        <f t="array" ref="Q650">IFERROR(
  INDEX('GIR Log'!$E$2:$V$73,
    MATCH(1,
      ('GIR Log'!$A$2:$A$73=$A650)*
      ('GIR Log'!$B$2:$B$73=$B650)*
      ('GIR Log'!$C$2:$C$73=$C650),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Log'!$E$2:$V$73,
    MATCH(1,
      ('Golf Log'!$A$2:$A$73=$A651)*
      ('Golf Log'!$B$2:$B$73=$B651)*
      ('Golf Log'!$C$2:$C$73=$C651),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Log'!$E$2:$V$73,
    MATCH(1,
      ('Putt Log'!$A$2:$A$73=$A651)*
      ('Putt Log'!$B$2:$B$73=$B651)*
      ('Putt Log'!$C$2:$C$73=$C651),
    0),
    MATCH($G651,'Putt Log'!$E$1:$V$1,0)
  ),
"")</f>
        <v>2</v>
      </c>
      <c r="P651" t="str" cm="1">
        <f t="array" ref="P651">IF(K651=3,"",
  IFERROR(
    INDEX('Fairway Log'!$E$2:$V$73,
      MATCH(1,
        ('Fairway Log'!$A$2:$A$73=$A651)*
        ('Fairway Log'!$B$2:$B$73=$B651)*
        ('Fairway Log'!$C$2:$C722=$C651),
      0),
      MATCH($G651,'Fairway Log'!$E$1:$V$1,0)
    ),
  "")
)</f>
        <v>→</v>
      </c>
      <c r="Q651" t="str" cm="1">
        <f t="array" ref="Q651">IFERROR(
  INDEX('GIR Log'!$E$2:$V$73,
    MATCH(1,
      ('GIR Log'!$A$2:$A$73=$A651)*
      ('GIR Log'!$B$2:$B$73=$B651)*
      ('GIR Log'!$C$2:$C$73=$C651),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Log'!$E$2:$V$73,
    MATCH(1,
      ('Golf Log'!$A$2:$A$73=$A652)*
      ('Golf Log'!$B$2:$B$73=$B652)*
      ('Golf Log'!$C$2:$C$73=$C652),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Log'!$E$2:$V$73,
    MATCH(1,
      ('Putt Log'!$A$2:$A$73=$A652)*
      ('Putt Log'!$B$2:$B$73=$B652)*
      ('Putt Log'!$C$2:$C$73=$C652),
    0),
    MATCH($G652,'Putt Log'!$E$1:$V$1,0)
  ),
"")</f>
        <v>1</v>
      </c>
      <c r="P652" cm="1">
        <f t="array" ref="P652">IF(K652=3,"",
  IFERROR(
    INDEX('Fairway Log'!$E$2:$V$73,
      MATCH(1,
        ('Fairway Log'!$A$2:$A$73=$A652)*
        ('Fairway Log'!$B$2:$B$73=$B652)*
        ('Fairway Log'!$C$2:$C723=$C652),
      0),
      MATCH($G652,'Fairway Log'!$E$1:$V$1,0)
    ),
  "")
)</f>
        <v>1</v>
      </c>
      <c r="Q652" t="str" cm="1">
        <f t="array" ref="Q652">IFERROR(
  INDEX('GIR Log'!$E$2:$V$73,
    MATCH(1,
      ('GIR Log'!$A$2:$A$73=$A652)*
      ('GIR Log'!$B$2:$B$73=$B652)*
      ('GIR Log'!$C$2:$C$73=$C652),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Log'!$E$2:$V$73,
    MATCH(1,
      ('Golf Log'!$A$2:$A$73=$A653)*
      ('Golf Log'!$B$2:$B$73=$B653)*
      ('Golf Log'!$C$2:$C$73=$C653),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Log'!$E$2:$V$73,
    MATCH(1,
      ('Putt Log'!$A$2:$A$73=$A653)*
      ('Putt Log'!$B$2:$B$73=$B653)*
      ('Putt Log'!$C$2:$C$73=$C653),
    0),
    MATCH($G653,'Putt Log'!$E$1:$V$1,0)
  ),
"")</f>
        <v>2</v>
      </c>
      <c r="P653" t="str" cm="1">
        <f t="array" ref="P653">IF(K653=3,"",
  IFERROR(
    INDEX('Fairway Log'!$E$2:$V$73,
      MATCH(1,
        ('Fairway Log'!$A$2:$A$73=$A653)*
        ('Fairway Log'!$B$2:$B$73=$B653)*
        ('Fairway Log'!$C$2:$C724=$C653),
      0),
      MATCH($G653,'Fairway Log'!$E$1:$V$1,0)
    ),
  "")
)</f>
        <v/>
      </c>
      <c r="Q653" t="str" cm="1">
        <f t="array" ref="Q653">IFERROR(
  INDEX('GIR Log'!$E$2:$V$73,
    MATCH(1,
      ('GIR Log'!$A$2:$A$73=$A653)*
      ('GIR Log'!$B$2:$B$73=$B653)*
      ('GIR Log'!$C$2:$C$73=$C653),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Log'!$E$2:$V$73,
    MATCH(1,
      ('Golf Log'!$A$2:$A$73=$A654)*
      ('Golf Log'!$B$2:$B$73=$B654)*
      ('Golf Log'!$C$2:$C$73=$C654),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Log'!$E$2:$V$73,
    MATCH(1,
      ('Putt Log'!$A$2:$A$73=$A654)*
      ('Putt Log'!$B$2:$B$73=$B654)*
      ('Putt Log'!$C$2:$C$73=$C654),
    0),
    MATCH($G654,'Putt Log'!$E$1:$V$1,0)
  ),
"")</f>
        <v>2</v>
      </c>
      <c r="P654" cm="1">
        <f t="array" ref="P654">IF(K654=3,"",
  IFERROR(
    INDEX('Fairway Log'!$E$2:$V$73,
      MATCH(1,
        ('Fairway Log'!$A$2:$A$73=$A654)*
        ('Fairway Log'!$B$2:$B$73=$B654)*
        ('Fairway Log'!$C$2:$C725=$C654),
      0),
      MATCH($G654,'Fairway Log'!$E$1:$V$1,0)
    ),
  "")
)</f>
        <v>1</v>
      </c>
      <c r="Q654" cm="1">
        <f t="array" ref="Q654">IFERROR(
  INDEX('GIR Log'!$E$2:$V$73,
    MATCH(1,
      ('GIR Log'!$A$2:$A$73=$A654)*
      ('GIR Log'!$B$2:$B$73=$B654)*
      ('GIR Log'!$C$2:$C$73=$C654),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Log'!$E$2:$V$73,
    MATCH(1,
      ('Golf Log'!$A$2:$A$73=$A655)*
      ('Golf Log'!$B$2:$B$73=$B655)*
      ('Golf Log'!$C$2:$C$73=$C655),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Log'!$E$2:$V$73,
    MATCH(1,
      ('Putt Log'!$A$2:$A$73=$A655)*
      ('Putt Log'!$B$2:$B$73=$B655)*
      ('Putt Log'!$C$2:$C$73=$C655),
    0),
    MATCH($G655,'Putt Log'!$E$1:$V$1,0)
  ),
"")</f>
        <v>2</v>
      </c>
      <c r="P655" t="str" cm="1">
        <f t="array" ref="P655">IF(K655=3,"",
  IFERROR(
    INDEX('Fairway Log'!$E$2:$V$73,
      MATCH(1,
        ('Fairway Log'!$A$2:$A$73=$A655)*
        ('Fairway Log'!$B$2:$B$73=$B655)*
        ('Fairway Log'!$C$2:$C726=$C655),
      0),
      MATCH($G655,'Fairway Log'!$E$1:$V$1,0)
    ),
  "")
)</f>
        <v>→</v>
      </c>
      <c r="Q655" t="str" cm="1">
        <f t="array" ref="Q655">IFERROR(
  INDEX('GIR Log'!$E$2:$V$73,
    MATCH(1,
      ('GIR Log'!$A$2:$A$73=$A655)*
      ('GIR Log'!$B$2:$B$73=$B655)*
      ('GIR Log'!$C$2:$C$73=$C655),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Log'!$E$2:$V$73,
    MATCH(1,
      ('Golf Log'!$A$2:$A$73=$A656)*
      ('Golf Log'!$B$2:$B$73=$B656)*
      ('Golf Log'!$C$2:$C$73=$C656),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Log'!$E$2:$V$73,
    MATCH(1,
      ('Putt Log'!$A$2:$A$73=$A656)*
      ('Putt Log'!$B$2:$B$73=$B656)*
      ('Putt Log'!$C$2:$C$73=$C656),
    0),
    MATCH($G656,'Putt Log'!$E$1:$V$1,0)
  ),
"")</f>
        <v>1</v>
      </c>
      <c r="P656" t="str" cm="1">
        <f t="array" ref="P656">IF(K656=3,"",
  IFERROR(
    INDEX('Fairway Log'!$E$2:$V$73,
      MATCH(1,
        ('Fairway Log'!$A$2:$A$73=$A656)*
        ('Fairway Log'!$B$2:$B$73=$B656)*
        ('Fairway Log'!$C$2:$C727=$C656),
      0),
      MATCH($G656,'Fairway Log'!$E$1:$V$1,0)
    ),
  "")
)</f>
        <v/>
      </c>
      <c r="Q656" t="str" cm="1">
        <f t="array" ref="Q656">IFERROR(
  INDEX('GIR Log'!$E$2:$V$73,
    MATCH(1,
      ('GIR Log'!$A$2:$A$73=$A656)*
      ('GIR Log'!$B$2:$B$73=$B656)*
      ('GIR Log'!$C$2:$C$73=$C656),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Log'!$E$2:$V$73,
    MATCH(1,
      ('Golf Log'!$A$2:$A$73=$A657)*
      ('Golf Log'!$B$2:$B$73=$B657)*
      ('Golf Log'!$C$2:$C$73=$C657),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Log'!$E$2:$V$73,
    MATCH(1,
      ('Putt Log'!$A$2:$A$73=$A657)*
      ('Putt Log'!$B$2:$B$73=$B657)*
      ('Putt Log'!$C$2:$C$73=$C657),
    0),
    MATCH($G657,'Putt Log'!$E$1:$V$1,0)
  ),
"")</f>
        <v>1</v>
      </c>
      <c r="P657" cm="1">
        <f t="array" ref="P657">IF(K657=3,"",
  IFERROR(
    INDEX('Fairway Log'!$E$2:$V$73,
      MATCH(1,
        ('Fairway Log'!$A$2:$A$73=$A657)*
        ('Fairway Log'!$B$2:$B$73=$B657)*
        ('Fairway Log'!$C$2:$C728=$C657),
      0),
      MATCH($G657,'Fairway Log'!$E$1:$V$1,0)
    ),
  "")
)</f>
        <v>1</v>
      </c>
      <c r="Q657" t="str" cm="1">
        <f t="array" ref="Q657">IFERROR(
  INDEX('GIR Log'!$E$2:$V$73,
    MATCH(1,
      ('GIR Log'!$A$2:$A$73=$A657)*
      ('GIR Log'!$B$2:$B$73=$B657)*
      ('GIR Log'!$C$2:$C$73=$C657),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Log'!$E$2:$V$73,
    MATCH(1,
      ('Golf Log'!$A$2:$A$73=$A658)*
      ('Golf Log'!$B$2:$B$73=$B658)*
      ('Golf Log'!$C$2:$C$73=$C658),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Log'!$E$2:$V$73,
    MATCH(1,
      ('Putt Log'!$A$2:$A$73=$A658)*
      ('Putt Log'!$B$2:$B$73=$B658)*
      ('Putt Log'!$C$2:$C$73=$C658),
    0),
    MATCH($G658,'Putt Log'!$E$1:$V$1,0)
  ),
"")</f>
        <v>2</v>
      </c>
      <c r="P658" cm="1">
        <f t="array" ref="P658">IF(K658=3,"",
  IFERROR(
    INDEX('Fairway Log'!$E$2:$V$73,
      MATCH(1,
        ('Fairway Log'!$A$2:$A$73=$A658)*
        ('Fairway Log'!$B$2:$B$73=$B658)*
        ('Fairway Log'!$C$2:$C729=$C658),
      0),
      MATCH($G658,'Fairway Log'!$E$1:$V$1,0)
    ),
  "")
)</f>
        <v>1</v>
      </c>
      <c r="Q658" t="str" cm="1">
        <f t="array" ref="Q658">IFERROR(
  INDEX('GIR Log'!$E$2:$V$73,
    MATCH(1,
      ('GIR Log'!$A$2:$A$73=$A658)*
      ('GIR Log'!$B$2:$B$73=$B658)*
      ('GIR Log'!$C$2:$C$73=$C658),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Log'!$E$2:$V$73,
    MATCH(1,
      ('Golf Log'!$A$2:$A$73=$A659)*
      ('Golf Log'!$B$2:$B$73=$B659)*
      ('Golf Log'!$C$2:$C$73=$C659),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Log'!$E$2:$V$73,
    MATCH(1,
      ('Putt Log'!$A$2:$A$73=$A659)*
      ('Putt Log'!$B$2:$B$73=$B659)*
      ('Putt Log'!$C$2:$C$73=$C659),
    0),
    MATCH($G659,'Putt Log'!$E$1:$V$1,0)
  ),
"")</f>
        <v>1</v>
      </c>
      <c r="P659" t="str" cm="1">
        <f t="array" ref="P659">IF(K659=3,"",
  IFERROR(
    INDEX('Fairway Log'!$E$2:$V$73,
      MATCH(1,
        ('Fairway Log'!$A$2:$A$73=$A659)*
        ('Fairway Log'!$B$2:$B$73=$B659)*
        ('Fairway Log'!$C$2:$C730=$C659),
      0),
      MATCH($G659,'Fairway Log'!$E$1:$V$1,0)
    ),
  "")
)</f>
        <v>→</v>
      </c>
      <c r="Q659" t="str" cm="1">
        <f t="array" ref="Q659">IFERROR(
  INDEX('GIR Log'!$E$2:$V$73,
    MATCH(1,
      ('GIR Log'!$A$2:$A$73=$A659)*
      ('GIR Log'!$B$2:$B$73=$B659)*
      ('GIR Log'!$C$2:$C$73=$C659),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Log'!$E$2:$V$73,
    MATCH(1,
      ('Golf Log'!$A$2:$A$73=$A660)*
      ('Golf Log'!$B$2:$B$73=$B660)*
      ('Golf Log'!$C$2:$C$73=$C660),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Log'!$E$2:$V$73,
    MATCH(1,
      ('Putt Log'!$A$2:$A$73=$A660)*
      ('Putt Log'!$B$2:$B$73=$B660)*
      ('Putt Log'!$C$2:$C$73=$C660),
    0),
    MATCH($G660,'Putt Log'!$E$1:$V$1,0)
  ),
"")</f>
        <v>1</v>
      </c>
      <c r="P660" t="str" cm="1">
        <f t="array" ref="P660">IF(K660=3,"",
  IFERROR(
    INDEX('Fairway Log'!$E$2:$V$73,
      MATCH(1,
        ('Fairway Log'!$A$2:$A$73=$A660)*
        ('Fairway Log'!$B$2:$B$73=$B660)*
        ('Fairway Log'!$C$2:$C731=$C660),
      0),
      MATCH($G660,'Fairway Log'!$E$1:$V$1,0)
    ),
  "")
)</f>
        <v>→</v>
      </c>
      <c r="Q660" t="str" cm="1">
        <f t="array" ref="Q660">IFERROR(
  INDEX('GIR Log'!$E$2:$V$73,
    MATCH(1,
      ('GIR Log'!$A$2:$A$73=$A660)*
      ('GIR Log'!$B$2:$B$73=$B660)*
      ('GIR Log'!$C$2:$C$73=$C660),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Log'!$E$2:$V$73,
    MATCH(1,
      ('Golf Log'!$A$2:$A$73=$A661)*
      ('Golf Log'!$B$2:$B$73=$B661)*
      ('Golf Log'!$C$2:$C$73=$C661),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Log'!$E$2:$V$73,
    MATCH(1,
      ('Putt Log'!$A$2:$A$73=$A661)*
      ('Putt Log'!$B$2:$B$73=$B661)*
      ('Putt Log'!$C$2:$C$73=$C661),
    0),
    MATCH($G661,'Putt Log'!$E$1:$V$1,0)
  ),
"")</f>
        <v>1</v>
      </c>
      <c r="P661" t="str" cm="1">
        <f t="array" ref="P661">IF(K661=3,"",
  IFERROR(
    INDEX('Fairway Log'!$E$2:$V$73,
      MATCH(1,
        ('Fairway Log'!$A$2:$A$73=$A661)*
        ('Fairway Log'!$B$2:$B$73=$B661)*
        ('Fairway Log'!$C$2:$C732=$C661),
      0),
      MATCH($G661,'Fairway Log'!$E$1:$V$1,0)
    ),
  "")
)</f>
        <v/>
      </c>
      <c r="Q661" t="str" cm="1">
        <f t="array" ref="Q661">IFERROR(
  INDEX('GIR Log'!$E$2:$V$73,
    MATCH(1,
      ('GIR Log'!$A$2:$A$73=$A661)*
      ('GIR Log'!$B$2:$B$73=$B661)*
      ('GIR Log'!$C$2:$C$73=$C661),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Log'!$E$2:$V$73,
    MATCH(1,
      ('Golf Log'!$A$2:$A$73=$A662)*
      ('Golf Log'!$B$2:$B$73=$B662)*
      ('Golf Log'!$C$2:$C$73=$C662),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Log'!$E$2:$V$73,
    MATCH(1,
      ('Putt Log'!$A$2:$A$73=$A662)*
      ('Putt Log'!$B$2:$B$73=$B662)*
      ('Putt Log'!$C$2:$C$73=$C662),
    0),
    MATCH($G662,'Putt Log'!$E$1:$V$1,0)
  ),
"")</f>
        <v>1</v>
      </c>
      <c r="P662" t="str" cm="1">
        <f t="array" ref="P662">IF(K662=3,"",
  IFERROR(
    INDEX('Fairway Log'!$E$2:$V$73,
      MATCH(1,
        ('Fairway Log'!$A$2:$A$73=$A662)*
        ('Fairway Log'!$B$2:$B$73=$B662)*
        ('Fairway Log'!$C$2:$C733=$C662),
      0),
      MATCH($G662,'Fairway Log'!$E$1:$V$1,0)
    ),
  "")
)</f>
        <v>→</v>
      </c>
      <c r="Q662" t="str" cm="1">
        <f t="array" ref="Q662">IFERROR(
  INDEX('GIR Log'!$E$2:$V$73,
    MATCH(1,
      ('GIR Log'!$A$2:$A$73=$A662)*
      ('GIR Log'!$B$2:$B$73=$B662)*
      ('GIR Log'!$C$2:$C$73=$C662),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Log'!$E$2:$V$73,
    MATCH(1,
      ('Golf Log'!$A$2:$A$73=$A663)*
      ('Golf Log'!$B$2:$B$73=$B663)*
      ('Golf Log'!$C$2:$C$73=$C663),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Log'!$E$2:$V$73,
    MATCH(1,
      ('Putt Log'!$A$2:$A$73=$A663)*
      ('Putt Log'!$B$2:$B$73=$B663)*
      ('Putt Log'!$C$2:$C$73=$C663),
    0),
    MATCH($G663,'Putt Log'!$E$1:$V$1,0)
  ),
"")</f>
        <v>2</v>
      </c>
      <c r="P663" cm="1">
        <f t="array" ref="P663">IF(K663=3,"",
  IFERROR(
    INDEX('Fairway Log'!$E$2:$V$73,
      MATCH(1,
        ('Fairway Log'!$A$2:$A$73=$A663)*
        ('Fairway Log'!$B$2:$B$73=$B663)*
        ('Fairway Log'!$C$2:$C734=$C663),
      0),
      MATCH($G663,'Fairway Log'!$E$1:$V$1,0)
    ),
  "")
)</f>
        <v>1</v>
      </c>
      <c r="Q663" t="str" cm="1">
        <f t="array" ref="Q663">IFERROR(
  INDEX('GIR Log'!$E$2:$V$73,
    MATCH(1,
      ('GIR Log'!$A$2:$A$73=$A663)*
      ('GIR Log'!$B$2:$B$73=$B663)*
      ('GIR Log'!$C$2:$C$73=$C663),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Log'!$E$2:$V$73,
    MATCH(1,
      ('Golf Log'!$A$2:$A$73=$A664)*
      ('Golf Log'!$B$2:$B$73=$B664)*
      ('Golf Log'!$C$2:$C$73=$C664),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Log'!$E$2:$V$73,
    MATCH(1,
      ('Putt Log'!$A$2:$A$73=$A664)*
      ('Putt Log'!$B$2:$B$73=$B664)*
      ('Putt Log'!$C$2:$C$73=$C664),
    0),
    MATCH($G664,'Putt Log'!$E$1:$V$1,0)
  ),
"")</f>
        <v>2</v>
      </c>
      <c r="P664" t="str" cm="1">
        <f t="array" ref="P664">IF(K664=3,"",
  IFERROR(
    INDEX('Fairway Log'!$E$2:$V$73,
      MATCH(1,
        ('Fairway Log'!$A$2:$A$73=$A664)*
        ('Fairway Log'!$B$2:$B$73=$B664)*
        ('Fairway Log'!$C$2:$C735=$C664),
      0),
      MATCH($G664,'Fairway Log'!$E$1:$V$1,0)
    ),
  "")
)</f>
        <v>→</v>
      </c>
      <c r="Q664" t="str" cm="1">
        <f t="array" ref="Q664">IFERROR(
  INDEX('GIR Log'!$E$2:$V$73,
    MATCH(1,
      ('GIR Log'!$A$2:$A$73=$A664)*
      ('GIR Log'!$B$2:$B$73=$B664)*
      ('GIR Log'!$C$2:$C$73=$C664),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Log'!$E$2:$V$73,
    MATCH(1,
      ('Golf Log'!$A$2:$A$73=$A665)*
      ('Golf Log'!$B$2:$B$73=$B665)*
      ('Golf Log'!$C$2:$C$73=$C665),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Log'!$E$2:$V$73,
    MATCH(1,
      ('Putt Log'!$A$2:$A$73=$A665)*
      ('Putt Log'!$B$2:$B$73=$B665)*
      ('Putt Log'!$C$2:$C$73=$C665),
    0),
    MATCH($G665,'Putt Log'!$E$1:$V$1,0)
  ),
"")</f>
        <v>2</v>
      </c>
      <c r="P665" cm="1">
        <f t="array" ref="P665">IF(K665=3,"",
  IFERROR(
    INDEX('Fairway Log'!$E$2:$V$73,
      MATCH(1,
        ('Fairway Log'!$A$2:$A$73=$A665)*
        ('Fairway Log'!$B$2:$B$73=$B665)*
        ('Fairway Log'!$C$2:$C736=$C665),
      0),
      MATCH($G665,'Fairway Log'!$E$1:$V$1,0)
    ),
  "")
)</f>
        <v>1</v>
      </c>
      <c r="Q665" cm="1">
        <f t="array" ref="Q665">IFERROR(
  INDEX('GIR Log'!$E$2:$V$73,
    MATCH(1,
      ('GIR Log'!$A$2:$A$73=$A665)*
      ('GIR Log'!$B$2:$B$73=$B665)*
      ('GIR Log'!$C$2:$C$73=$C665),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Log'!$E$2:$V$73,
    MATCH(1,
      ('Golf Log'!$A$2:$A$73=$A666)*
      ('Golf Log'!$B$2:$B$73=$B666)*
      ('Golf Log'!$C$2:$C$73=$C666),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Log'!$E$2:$V$73,
    MATCH(1,
      ('Putt Log'!$A$2:$A$73=$A666)*
      ('Putt Log'!$B$2:$B$73=$B666)*
      ('Putt Log'!$C$2:$C$73=$C666),
    0),
    MATCH($G666,'Putt Log'!$E$1:$V$1,0)
  ),
"")</f>
        <v>2</v>
      </c>
      <c r="P666" t="str" cm="1">
        <f t="array" ref="P666">IF(K666=3,"",
  IFERROR(
    INDEX('Fairway Log'!$E$2:$V$73,
      MATCH(1,
        ('Fairway Log'!$A$2:$A$73=$A666)*
        ('Fairway Log'!$B$2:$B$73=$B666)*
        ('Fairway Log'!$C$2:$C737=$C666),
      0),
      MATCH($G666,'Fairway Log'!$E$1:$V$1,0)
    ),
  "")
)</f>
        <v/>
      </c>
      <c r="Q666" cm="1">
        <f t="array" ref="Q666">IFERROR(
  INDEX('GIR Log'!$E$2:$V$73,
    MATCH(1,
      ('GIR Log'!$A$2:$A$73=$A666)*
      ('GIR Log'!$B$2:$B$73=$B666)*
      ('GIR Log'!$C$2:$C$73=$C666),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Log'!$E$2:$V$73,
    MATCH(1,
      ('Golf Log'!$A$2:$A$73=$A667)*
      ('Golf Log'!$B$2:$B$73=$B667)*
      ('Golf Log'!$C$2:$C$73=$C667),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Log'!$E$2:$V$73,
    MATCH(1,
      ('Putt Log'!$A$2:$A$73=$A667)*
      ('Putt Log'!$B$2:$B$73=$B667)*
      ('Putt Log'!$C$2:$C$73=$C667),
    0),
    MATCH($G667,'Putt Log'!$E$1:$V$1,0)
  ),
"")</f>
        <v>2</v>
      </c>
      <c r="P667" t="str" cm="1">
        <f t="array" ref="P667">IF(K667=3,"",
  IFERROR(
    INDEX('Fairway Log'!$E$2:$V$73,
      MATCH(1,
        ('Fairway Log'!$A$2:$A$73=$A667)*
        ('Fairway Log'!$B$2:$B$73=$B667)*
        ('Fairway Log'!$C$2:$C738=$C667),
      0),
      MATCH($G667,'Fairway Log'!$E$1:$V$1,0)
    ),
  "")
)</f>
        <v>→</v>
      </c>
      <c r="Q667" t="str" cm="1">
        <f t="array" ref="Q667">IFERROR(
  INDEX('GIR Log'!$E$2:$V$73,
    MATCH(1,
      ('GIR Log'!$A$2:$A$73=$A667)*
      ('GIR Log'!$B$2:$B$73=$B667)*
      ('GIR Log'!$C$2:$C$73=$C667),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Log'!$E$2:$V$73,
    MATCH(1,
      ('Golf Log'!$A$2:$A$73=$A668)*
      ('Golf Log'!$B$2:$B$73=$B668)*
      ('Golf Log'!$C$2:$C$73=$C668),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Log'!$E$2:$V$73,
    MATCH(1,
      ('Putt Log'!$A$2:$A$73=$A668)*
      ('Putt Log'!$B$2:$B$73=$B668)*
      ('Putt Log'!$C$2:$C$73=$C668),
    0),
    MATCH($G668,'Putt Log'!$E$1:$V$1,0)
  ),
"")</f>
        <v>2</v>
      </c>
      <c r="P668" cm="1">
        <f t="array" ref="P668">IF(K668=3,"",
  IFERROR(
    INDEX('Fairway Log'!$E$2:$V$73,
      MATCH(1,
        ('Fairway Log'!$A$2:$A$73=$A668)*
        ('Fairway Log'!$B$2:$B$73=$B668)*
        ('Fairway Log'!$C$2:$C739=$C668),
      0),
      MATCH($G668,'Fairway Log'!$E$1:$V$1,0)
    ),
  "")
)</f>
        <v>1</v>
      </c>
      <c r="Q668" t="str" cm="1">
        <f t="array" ref="Q668">IFERROR(
  INDEX('GIR Log'!$E$2:$V$73,
    MATCH(1,
      ('GIR Log'!$A$2:$A$73=$A668)*
      ('GIR Log'!$B$2:$B$73=$B668)*
      ('GIR Log'!$C$2:$C$73=$C668),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Log'!$E$2:$V$73,
    MATCH(1,
      ('Golf Log'!$A$2:$A$73=$A669)*
      ('Golf Log'!$B$2:$B$73=$B669)*
      ('Golf Log'!$C$2:$C$73=$C669),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Log'!$E$2:$V$73,
    MATCH(1,
      ('Putt Log'!$A$2:$A$73=$A669)*
      ('Putt Log'!$B$2:$B$73=$B669)*
      ('Putt Log'!$C$2:$C$73=$C669),
    0),
    MATCH($G669,'Putt Log'!$E$1:$V$1,0)
  ),
"")</f>
        <v>2</v>
      </c>
      <c r="P669" cm="1">
        <f t="array" ref="P669">IF(K669=3,"",
  IFERROR(
    INDEX('Fairway Log'!$E$2:$V$73,
      MATCH(1,
        ('Fairway Log'!$A$2:$A$73=$A669)*
        ('Fairway Log'!$B$2:$B$73=$B669)*
        ('Fairway Log'!$C$2:$C740=$C669),
      0),
      MATCH($G669,'Fairway Log'!$E$1:$V$1,0)
    ),
  "")
)</f>
        <v>1</v>
      </c>
      <c r="Q669" t="str" cm="1">
        <f t="array" ref="Q669">IFERROR(
  INDEX('GIR Log'!$E$2:$V$73,
    MATCH(1,
      ('GIR Log'!$A$2:$A$73=$A669)*
      ('GIR Log'!$B$2:$B$73=$B669)*
      ('GIR Log'!$C$2:$C$73=$C669),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Log'!$E$2:$V$73,
    MATCH(1,
      ('Golf Log'!$A$2:$A$73=$A670)*
      ('Golf Log'!$B$2:$B$73=$B670)*
      ('Golf Log'!$C$2:$C$73=$C670),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Log'!$E$2:$V$73,
    MATCH(1,
      ('Putt Log'!$A$2:$A$73=$A670)*
      ('Putt Log'!$B$2:$B$73=$B670)*
      ('Putt Log'!$C$2:$C$73=$C670),
    0),
    MATCH($G670,'Putt Log'!$E$1:$V$1,0)
  ),
"")</f>
        <v>2</v>
      </c>
      <c r="P670" t="str" cm="1">
        <f t="array" ref="P670">IF(K670=3,"",
  IFERROR(
    INDEX('Fairway Log'!$E$2:$V$73,
      MATCH(1,
        ('Fairway Log'!$A$2:$A$73=$A670)*
        ('Fairway Log'!$B$2:$B$73=$B670)*
        ('Fairway Log'!$C$2:$C741=$C670),
      0),
      MATCH($G670,'Fairway Log'!$E$1:$V$1,0)
    ),
  "")
)</f>
        <v/>
      </c>
      <c r="Q670" cm="1">
        <f t="array" ref="Q670">IFERROR(
  INDEX('GIR Log'!$E$2:$V$73,
    MATCH(1,
      ('GIR Log'!$A$2:$A$73=$A670)*
      ('GIR Log'!$B$2:$B$73=$B670)*
      ('GIR Log'!$C$2:$C$73=$C670),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Log'!$E$2:$V$73,
    MATCH(1,
      ('Golf Log'!$A$2:$A$73=$A671)*
      ('Golf Log'!$B$2:$B$73=$B671)*
      ('Golf Log'!$C$2:$C$73=$C671),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Log'!$E$2:$V$73,
    MATCH(1,
      ('Putt Log'!$A$2:$A$73=$A671)*
      ('Putt Log'!$B$2:$B$73=$B671)*
      ('Putt Log'!$C$2:$C$73=$C671),
    0),
    MATCH($G671,'Putt Log'!$E$1:$V$1,0)
  ),
"")</f>
        <v>2</v>
      </c>
      <c r="P671" t="str" cm="1">
        <f t="array" ref="P671">IF(K671=3,"",
  IFERROR(
    INDEX('Fairway Log'!$E$2:$V$73,
      MATCH(1,
        ('Fairway Log'!$A$2:$A$73=$A671)*
        ('Fairway Log'!$B$2:$B$73=$B671)*
        ('Fairway Log'!$C$2:$C742=$C671),
      0),
      MATCH($G671,'Fairway Log'!$E$1:$V$1,0)
    ),
  "")
)</f>
        <v>→</v>
      </c>
      <c r="Q671" t="str" cm="1">
        <f t="array" ref="Q671">IFERROR(
  INDEX('GIR Log'!$E$2:$V$73,
    MATCH(1,
      ('GIR Log'!$A$2:$A$73=$A671)*
      ('GIR Log'!$B$2:$B$73=$B671)*
      ('GIR Log'!$C$2:$C$73=$C671),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Log'!$E$2:$V$73,
    MATCH(1,
      ('Golf Log'!$A$2:$A$73=$A672)*
      ('Golf Log'!$B$2:$B$73=$B672)*
      ('Golf Log'!$C$2:$C$73=$C672),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Log'!$E$2:$V$73,
    MATCH(1,
      ('Putt Log'!$A$2:$A$73=$A672)*
      ('Putt Log'!$B$2:$B$73=$B672)*
      ('Putt Log'!$C$2:$C$73=$C672),
    0),
    MATCH($G672,'Putt Log'!$E$1:$V$1,0)
  ),
"")</f>
        <v>1</v>
      </c>
      <c r="P672" cm="1">
        <f t="array" ref="P672">IF(K672=3,"",
  IFERROR(
    INDEX('Fairway Log'!$E$2:$V$73,
      MATCH(1,
        ('Fairway Log'!$A$2:$A$73=$A672)*
        ('Fairway Log'!$B$2:$B$73=$B672)*
        ('Fairway Log'!$C$2:$C743=$C672),
      0),
      MATCH($G672,'Fairway Log'!$E$1:$V$1,0)
    ),
  "")
)</f>
        <v>1</v>
      </c>
      <c r="Q672" t="str" cm="1">
        <f t="array" ref="Q672">IFERROR(
  INDEX('GIR Log'!$E$2:$V$73,
    MATCH(1,
      ('GIR Log'!$A$2:$A$73=$A672)*
      ('GIR Log'!$B$2:$B$73=$B672)*
      ('GIR Log'!$C$2:$C$73=$C672),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Log'!$E$2:$V$73,
    MATCH(1,
      ('Golf Log'!$A$2:$A$73=$A673)*
      ('Golf Log'!$B$2:$B$73=$B673)*
      ('Golf Log'!$C$2:$C$73=$C673),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Log'!$E$2:$V$73,
    MATCH(1,
      ('Putt Log'!$A$2:$A$73=$A673)*
      ('Putt Log'!$B$2:$B$73=$B673)*
      ('Putt Log'!$C$2:$C$73=$C673),
    0),
    MATCH($G673,'Putt Log'!$E$1:$V$1,0)
  ),
"")</f>
        <v>2</v>
      </c>
      <c r="P673" t="str" cm="1">
        <f t="array" ref="P673">IF(K673=3,"",
  IFERROR(
    INDEX('Fairway Log'!$E$2:$V$73,
      MATCH(1,
        ('Fairway Log'!$A$2:$A$73=$A673)*
        ('Fairway Log'!$B$2:$B$73=$B673)*
        ('Fairway Log'!$C$2:$C744=$C673),
      0),
      MATCH($G673,'Fairway Log'!$E$1:$V$1,0)
    ),
  "")
)</f>
        <v/>
      </c>
      <c r="Q673" cm="1">
        <f t="array" ref="Q673">IFERROR(
  INDEX('GIR Log'!$E$2:$V$73,
    MATCH(1,
      ('GIR Log'!$A$2:$A$73=$A673)*
      ('GIR Log'!$B$2:$B$73=$B673)*
      ('GIR Log'!$C$2:$C$73=$C673),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Log'!$E$2:$V$73,
    MATCH(1,
      ('Golf Log'!$A$2:$A$73=$A674)*
      ('Golf Log'!$B$2:$B$73=$B674)*
      ('Golf Log'!$C$2:$C$73=$C674),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Log'!$E$2:$V$73,
    MATCH(1,
      ('Putt Log'!$A$2:$A$73=$A674)*
      ('Putt Log'!$B$2:$B$73=$B674)*
      ('Putt Log'!$C$2:$C$73=$C674),
    0),
    MATCH($G674,'Putt Log'!$E$1:$V$1,0)
  ),
"")</f>
        <v>2</v>
      </c>
      <c r="P674" cm="1">
        <f t="array" ref="P674">IF(K674=3,"",
  IFERROR(
    INDEX('Fairway Log'!$E$2:$V$73,
      MATCH(1,
        ('Fairway Log'!$A$2:$A$73=$A674)*
        ('Fairway Log'!$B$2:$B$73=$B674)*
        ('Fairway Log'!$C$2:$C745=$C674),
      0),
      MATCH($G674,'Fairway Log'!$E$1:$V$1,0)
    ),
  "")
)</f>
        <v>1</v>
      </c>
      <c r="Q674" t="str" cm="1">
        <f t="array" ref="Q674">IFERROR(
  INDEX('GIR Log'!$E$2:$V$73,
    MATCH(1,
      ('GIR Log'!$A$2:$A$73=$A674)*
      ('GIR Log'!$B$2:$B$73=$B674)*
      ('GIR Log'!$C$2:$C$73=$C674),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Log'!$E$2:$V$73,
    MATCH(1,
      ('Golf Log'!$A$2:$A$73=$A675)*
      ('Golf Log'!$B$2:$B$73=$B675)*
      ('Golf Log'!$C$2:$C$73=$C675),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Log'!$E$2:$V$73,
    MATCH(1,
      ('Putt Log'!$A$2:$A$73=$A675)*
      ('Putt Log'!$B$2:$B$73=$B675)*
      ('Putt Log'!$C$2:$C$73=$C675),
    0),
    MATCH($G675,'Putt Log'!$E$1:$V$1,0)
  ),
"")</f>
        <v>2</v>
      </c>
      <c r="P675" t="str" cm="1">
        <f t="array" ref="P675">IF(K675=3,"",
  IFERROR(
    INDEX('Fairway Log'!$E$2:$V$73,
      MATCH(1,
        ('Fairway Log'!$A$2:$A$73=$A675)*
        ('Fairway Log'!$B$2:$B$73=$B675)*
        ('Fairway Log'!$C$2:$C746=$C675),
      0),
      MATCH($G675,'Fairway Log'!$E$1:$V$1,0)
    ),
  "")
)</f>
        <v>→</v>
      </c>
      <c r="Q675" t="str" cm="1">
        <f t="array" ref="Q675">IFERROR(
  INDEX('GIR Log'!$E$2:$V$73,
    MATCH(1,
      ('GIR Log'!$A$2:$A$73=$A675)*
      ('GIR Log'!$B$2:$B$73=$B675)*
      ('GIR Log'!$C$2:$C$73=$C675),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Log'!$E$2:$V$73,
    MATCH(1,
      ('Golf Log'!$A$2:$A$73=$A676)*
      ('Golf Log'!$B$2:$B$73=$B676)*
      ('Golf Log'!$C$2:$C$73=$C676),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Log'!$E$2:$V$73,
    MATCH(1,
      ('Putt Log'!$A$2:$A$73=$A676)*
      ('Putt Log'!$B$2:$B$73=$B676)*
      ('Putt Log'!$C$2:$C$73=$C676),
    0),
    MATCH($G676,'Putt Log'!$E$1:$V$1,0)
  ),
"")</f>
        <v>2</v>
      </c>
      <c r="P676" cm="1">
        <f t="array" ref="P676">IF(K676=3,"",
  IFERROR(
    INDEX('Fairway Log'!$E$2:$V$73,
      MATCH(1,
        ('Fairway Log'!$A$2:$A$73=$A676)*
        ('Fairway Log'!$B$2:$B$73=$B676)*
        ('Fairway Log'!$C$2:$C747=$C676),
      0),
      MATCH($G676,'Fairway Log'!$E$1:$V$1,0)
    ),
  "")
)</f>
        <v>1</v>
      </c>
      <c r="Q676" cm="1">
        <f t="array" ref="Q676">IFERROR(
  INDEX('GIR Log'!$E$2:$V$73,
    MATCH(1,
      ('GIR Log'!$A$2:$A$73=$A676)*
      ('GIR Log'!$B$2:$B$73=$B676)*
      ('GIR Log'!$C$2:$C$73=$C676),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Log'!$E$2:$V$73,
    MATCH(1,
      ('Golf Log'!$A$2:$A$73=$A677)*
      ('Golf Log'!$B$2:$B$73=$B677)*
      ('Golf Log'!$C$2:$C$73=$C677),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Log'!$E$2:$V$73,
    MATCH(1,
      ('Putt Log'!$A$2:$A$73=$A677)*
      ('Putt Log'!$B$2:$B$73=$B677)*
      ('Putt Log'!$C$2:$C$73=$C677),
    0),
    MATCH($G677,'Putt Log'!$E$1:$V$1,0)
  ),
"")</f>
        <v>2</v>
      </c>
      <c r="P677" cm="1">
        <f t="array" ref="P677">IF(K677=3,"",
  IFERROR(
    INDEX('Fairway Log'!$E$2:$V$73,
      MATCH(1,
        ('Fairway Log'!$A$2:$A$73=$A677)*
        ('Fairway Log'!$B$2:$B$73=$B677)*
        ('Fairway Log'!$C$2:$C748=$C677),
      0),
      MATCH($G677,'Fairway Log'!$E$1:$V$1,0)
    ),
  "")
)</f>
        <v>1</v>
      </c>
      <c r="Q677" cm="1">
        <f t="array" ref="Q677">IFERROR(
  INDEX('GIR Log'!$E$2:$V$73,
    MATCH(1,
      ('GIR Log'!$A$2:$A$73=$A677)*
      ('GIR Log'!$B$2:$B$73=$B677)*
      ('GIR Log'!$C$2:$C$73=$C677),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Log'!$E$2:$V$73,
    MATCH(1,
      ('Golf Log'!$A$2:$A$73=$A678)*
      ('Golf Log'!$B$2:$B$73=$B678)*
      ('Golf Log'!$C$2:$C$73=$C678),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Log'!$E$2:$V$73,
    MATCH(1,
      ('Putt Log'!$A$2:$A$73=$A678)*
      ('Putt Log'!$B$2:$B$73=$B678)*
      ('Putt Log'!$C$2:$C$73=$C678),
    0),
    MATCH($G678,'Putt Log'!$E$1:$V$1,0)
  ),
"")</f>
        <v>1</v>
      </c>
      <c r="P678" t="str" cm="1">
        <f t="array" ref="P678">IF(K678=3,"",
  IFERROR(
    INDEX('Fairway Log'!$E$2:$V$73,
      MATCH(1,
        ('Fairway Log'!$A$2:$A$73=$A678)*
        ('Fairway Log'!$B$2:$B$73=$B678)*
        ('Fairway Log'!$C$2:$C749=$C678),
      0),
      MATCH($G678,'Fairway Log'!$E$1:$V$1,0)
    ),
  "")
)</f>
        <v>→</v>
      </c>
      <c r="Q678" t="str" cm="1">
        <f t="array" ref="Q678">IFERROR(
  INDEX('GIR Log'!$E$2:$V$73,
    MATCH(1,
      ('GIR Log'!$A$2:$A$73=$A678)*
      ('GIR Log'!$B$2:$B$73=$B678)*
      ('GIR Log'!$C$2:$C$73=$C678),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Log'!$E$2:$V$73,
    MATCH(1,
      ('Golf Log'!$A$2:$A$73=$A679)*
      ('Golf Log'!$B$2:$B$73=$B679)*
      ('Golf Log'!$C$2:$C$73=$C679),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Log'!$E$2:$V$73,
    MATCH(1,
      ('Putt Log'!$A$2:$A$73=$A679)*
      ('Putt Log'!$B$2:$B$73=$B679)*
      ('Putt Log'!$C$2:$C$73=$C679),
    0),
    MATCH($G679,'Putt Log'!$E$1:$V$1,0)
  ),
"")</f>
        <v>1</v>
      </c>
      <c r="P679" cm="1">
        <f t="array" ref="P679">IF(K679=3,"",
  IFERROR(
    INDEX('Fairway Log'!$E$2:$V$73,
      MATCH(1,
        ('Fairway Log'!$A$2:$A$73=$A679)*
        ('Fairway Log'!$B$2:$B$73=$B679)*
        ('Fairway Log'!$C$2:$C750=$C679),
      0),
      MATCH($G679,'Fairway Log'!$E$1:$V$1,0)
    ),
  "")
)</f>
        <v>1</v>
      </c>
      <c r="Q679" t="str" cm="1">
        <f t="array" ref="Q679">IFERROR(
  INDEX('GIR Log'!$E$2:$V$73,
    MATCH(1,
      ('GIR Log'!$A$2:$A$73=$A679)*
      ('GIR Log'!$B$2:$B$73=$B679)*
      ('GIR Log'!$C$2:$C$73=$C679),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Log'!$E$2:$V$73,
    MATCH(1,
      ('Golf Log'!$A$2:$A$73=$A680)*
      ('Golf Log'!$B$2:$B$73=$B680)*
      ('Golf Log'!$C$2:$C$73=$C680),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Log'!$E$2:$V$73,
    MATCH(1,
      ('Putt Log'!$A$2:$A$73=$A680)*
      ('Putt Log'!$B$2:$B$73=$B680)*
      ('Putt Log'!$C$2:$C$73=$C680),
    0),
    MATCH($G680,'Putt Log'!$E$1:$V$1,0)
  ),
"")</f>
        <v>2</v>
      </c>
      <c r="P680" t="str" cm="1">
        <f t="array" ref="P680">IF(K680=3,"",
  IFERROR(
    INDEX('Fairway Log'!$E$2:$V$73,
      MATCH(1,
        ('Fairway Log'!$A$2:$A$73=$A680)*
        ('Fairway Log'!$B$2:$B$73=$B680)*
        ('Fairway Log'!$C$2:$C751=$C680),
      0),
      MATCH($G680,'Fairway Log'!$E$1:$V$1,0)
    ),
  "")
)</f>
        <v/>
      </c>
      <c r="Q680" t="str" cm="1">
        <f t="array" ref="Q680">IFERROR(
  INDEX('GIR Log'!$E$2:$V$73,
    MATCH(1,
      ('GIR Log'!$A$2:$A$73=$A680)*
      ('GIR Log'!$B$2:$B$73=$B680)*
      ('GIR Log'!$C$2:$C$73=$C680),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Log'!$E$2:$V$73,
    MATCH(1,
      ('Golf Log'!$A$2:$A$73=$A681)*
      ('Golf Log'!$B$2:$B$73=$B681)*
      ('Golf Log'!$C$2:$C$73=$C681),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Log'!$E$2:$V$73,
    MATCH(1,
      ('Putt Log'!$A$2:$A$73=$A681)*
      ('Putt Log'!$B$2:$B$73=$B681)*
      ('Putt Log'!$C$2:$C$73=$C681),
    0),
    MATCH($G681,'Putt Log'!$E$1:$V$1,0)
  ),
"")</f>
        <v>1</v>
      </c>
      <c r="P681" cm="1">
        <f t="array" ref="P681">IF(K681=3,"",
  IFERROR(
    INDEX('Fairway Log'!$E$2:$V$73,
      MATCH(1,
        ('Fairway Log'!$A$2:$A$73=$A681)*
        ('Fairway Log'!$B$2:$B$73=$B681)*
        ('Fairway Log'!$C$2:$C752=$C681),
      0),
      MATCH($G681,'Fairway Log'!$E$1:$V$1,0)
    ),
  "")
)</f>
        <v>1</v>
      </c>
      <c r="Q681" t="str" cm="1">
        <f t="array" ref="Q681">IFERROR(
  INDEX('GIR Log'!$E$2:$V$73,
    MATCH(1,
      ('GIR Log'!$A$2:$A$73=$A681)*
      ('GIR Log'!$B$2:$B$73=$B681)*
      ('GIR Log'!$C$2:$C$73=$C681),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Log'!$E$2:$V$73,
    MATCH(1,
      ('Golf Log'!$A$2:$A$73=$A682)*
      ('Golf Log'!$B$2:$B$73=$B682)*
      ('Golf Log'!$C$2:$C$73=$C682),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Log'!$E$2:$V$73,
    MATCH(1,
      ('Putt Log'!$A$2:$A$73=$A682)*
      ('Putt Log'!$B$2:$B$73=$B682)*
      ('Putt Log'!$C$2:$C$73=$C682),
    0),
    MATCH($G682,'Putt Log'!$E$1:$V$1,0)
  ),
"")</f>
        <v>1</v>
      </c>
      <c r="P682" cm="1">
        <f t="array" ref="P682">IF(K682=3,"",
  IFERROR(
    INDEX('Fairway Log'!$E$2:$V$73,
      MATCH(1,
        ('Fairway Log'!$A$2:$A$73=$A682)*
        ('Fairway Log'!$B$2:$B$73=$B682)*
        ('Fairway Log'!$C$2:$C753=$C682),
      0),
      MATCH($G682,'Fairway Log'!$E$1:$V$1,0)
    ),
  "")
)</f>
        <v>1</v>
      </c>
      <c r="Q682" t="str" cm="1">
        <f t="array" ref="Q682">IFERROR(
  INDEX('GIR Log'!$E$2:$V$73,
    MATCH(1,
      ('GIR Log'!$A$2:$A$73=$A682)*
      ('GIR Log'!$B$2:$B$73=$B682)*
      ('GIR Log'!$C$2:$C$73=$C682),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Log'!$E$2:$V$73,
    MATCH(1,
      ('Golf Log'!$A$2:$A$73=$A683)*
      ('Golf Log'!$B$2:$B$73=$B683)*
      ('Golf Log'!$C$2:$C$73=$C683),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Log'!$E$2:$V$73,
    MATCH(1,
      ('Putt Log'!$A$2:$A$73=$A683)*
      ('Putt Log'!$B$2:$B$73=$B683)*
      ('Putt Log'!$C$2:$C$73=$C683),
    0),
    MATCH($G683,'Putt Log'!$E$1:$V$1,0)
  ),
"")</f>
        <v>1</v>
      </c>
      <c r="P683" t="str" cm="1">
        <f t="array" ref="P683">IF(K683=3,"",
  IFERROR(
    INDEX('Fairway Log'!$E$2:$V$73,
      MATCH(1,
        ('Fairway Log'!$A$2:$A$73=$A683)*
        ('Fairway Log'!$B$2:$B$73=$B683)*
        ('Fairway Log'!$C$2:$C754=$C683),
      0),
      MATCH($G683,'Fairway Log'!$E$1:$V$1,0)
    ),
  "")
)</f>
        <v/>
      </c>
      <c r="Q683" t="str" cm="1">
        <f t="array" ref="Q683">IFERROR(
  INDEX('GIR Log'!$E$2:$V$73,
    MATCH(1,
      ('GIR Log'!$A$2:$A$73=$A683)*
      ('GIR Log'!$B$2:$B$73=$B683)*
      ('GIR Log'!$C$2:$C$73=$C683),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Log'!$E$2:$V$73,
    MATCH(1,
      ('Golf Log'!$A$2:$A$73=$A684)*
      ('Golf Log'!$B$2:$B$73=$B684)*
      ('Golf Log'!$C$2:$C$73=$C684),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Log'!$E$2:$V$73,
    MATCH(1,
      ('Putt Log'!$A$2:$A$73=$A684)*
      ('Putt Log'!$B$2:$B$73=$B684)*
      ('Putt Log'!$C$2:$C$73=$C684),
    0),
    MATCH($G684,'Putt Log'!$E$1:$V$1,0)
  ),
"")</f>
        <v>3</v>
      </c>
      <c r="P684" cm="1">
        <f t="array" ref="P684">IF(K684=3,"",
  IFERROR(
    INDEX('Fairway Log'!$E$2:$V$73,
      MATCH(1,
        ('Fairway Log'!$A$2:$A$73=$A684)*
        ('Fairway Log'!$B$2:$B$73=$B684)*
        ('Fairway Log'!$C$2:$C755=$C684),
      0),
      MATCH($G684,'Fairway Log'!$E$1:$V$1,0)
    ),
  "")
)</f>
        <v>1</v>
      </c>
      <c r="Q684" t="str" cm="1">
        <f t="array" ref="Q684">IFERROR(
  INDEX('GIR Log'!$E$2:$V$73,
    MATCH(1,
      ('GIR Log'!$A$2:$A$73=$A684)*
      ('GIR Log'!$B$2:$B$73=$B684)*
      ('GIR Log'!$C$2:$C$73=$C684),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Log'!$E$2:$V$73,
    MATCH(1,
      ('Golf Log'!$A$2:$A$73=$A685)*
      ('Golf Log'!$B$2:$B$73=$B685)*
      ('Golf Log'!$C$2:$C$73=$C685),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Log'!$E$2:$V$73,
    MATCH(1,
      ('Putt Log'!$A$2:$A$73=$A685)*
      ('Putt Log'!$B$2:$B$73=$B685)*
      ('Putt Log'!$C$2:$C$73=$C685),
    0),
    MATCH($G685,'Putt Log'!$E$1:$V$1,0)
  ),
"")</f>
        <v>1</v>
      </c>
      <c r="P685" cm="1">
        <f t="array" ref="P685">IF(K685=3,"",
  IFERROR(
    INDEX('Fairway Log'!$E$2:$V$73,
      MATCH(1,
        ('Fairway Log'!$A$2:$A$73=$A685)*
        ('Fairway Log'!$B$2:$B$73=$B685)*
        ('Fairway Log'!$C$2:$C756=$C685),
      0),
      MATCH($G685,'Fairway Log'!$E$1:$V$1,0)
    ),
  "")
)</f>
        <v>1</v>
      </c>
      <c r="Q685" t="str" cm="1">
        <f t="array" ref="Q685">IFERROR(
  INDEX('GIR Log'!$E$2:$V$73,
    MATCH(1,
      ('GIR Log'!$A$2:$A$73=$A685)*
      ('GIR Log'!$B$2:$B$73=$B685)*
      ('GIR Log'!$C$2:$C$73=$C685),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Log'!$E$2:$V$73,
    MATCH(1,
      ('Golf Log'!$A$2:$A$73=$A686)*
      ('Golf Log'!$B$2:$B$73=$B686)*
      ('Golf Log'!$C$2:$C$73=$C686),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Log'!$E$2:$V$73,
    MATCH(1,
      ('Putt Log'!$A$2:$A$73=$A686)*
      ('Putt Log'!$B$2:$B$73=$B686)*
      ('Putt Log'!$C$2:$C$73=$C686),
    0),
    MATCH($G686,'Putt Log'!$E$1:$V$1,0)
  ),
"")</f>
        <v>2</v>
      </c>
      <c r="P686" cm="1">
        <f t="array" ref="P686">IF(K686=3,"",
  IFERROR(
    INDEX('Fairway Log'!$E$2:$V$73,
      MATCH(1,
        ('Fairway Log'!$A$2:$A$73=$A686)*
        ('Fairway Log'!$B$2:$B$73=$B686)*
        ('Fairway Log'!$C$2:$C757=$C686),
      0),
      MATCH($G686,'Fairway Log'!$E$1:$V$1,0)
    ),
  "")
)</f>
        <v>1</v>
      </c>
      <c r="Q686" cm="1">
        <f t="array" ref="Q686">IFERROR(
  INDEX('GIR Log'!$E$2:$V$73,
    MATCH(1,
      ('GIR Log'!$A$2:$A$73=$A686)*
      ('GIR Log'!$B$2:$B$73=$B686)*
      ('GIR Log'!$C$2:$C$73=$C686),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Log'!$E$2:$V$73,
    MATCH(1,
      ('Golf Log'!$A$2:$A$73=$A687)*
      ('Golf Log'!$B$2:$B$73=$B687)*
      ('Golf Log'!$C$2:$C$73=$C687),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Log'!$E$2:$V$73,
    MATCH(1,
      ('Putt Log'!$A$2:$A$73=$A687)*
      ('Putt Log'!$B$2:$B$73=$B687)*
      ('Putt Log'!$C$2:$C$73=$C687),
    0),
    MATCH($G687,'Putt Log'!$E$1:$V$1,0)
  ),
"")</f>
        <v>2</v>
      </c>
      <c r="P687" t="str" cm="1">
        <f t="array" ref="P687">IF(K687=3,"",
  IFERROR(
    INDEX('Fairway Log'!$E$2:$V$73,
      MATCH(1,
        ('Fairway Log'!$A$2:$A$73=$A687)*
        ('Fairway Log'!$B$2:$B$73=$B687)*
        ('Fairway Log'!$C$2:$C758=$C687),
      0),
      MATCH($G687,'Fairway Log'!$E$1:$V$1,0)
    ),
  "")
)</f>
        <v>→</v>
      </c>
      <c r="Q687" cm="1">
        <f t="array" ref="Q687">IFERROR(
  INDEX('GIR Log'!$E$2:$V$73,
    MATCH(1,
      ('GIR Log'!$A$2:$A$73=$A687)*
      ('GIR Log'!$B$2:$B$73=$B687)*
      ('GIR Log'!$C$2:$C$73=$C687),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Log'!$E$2:$V$73,
    MATCH(1,
      ('Golf Log'!$A$2:$A$73=$A688)*
      ('Golf Log'!$B$2:$B$73=$B688)*
      ('Golf Log'!$C$2:$C$73=$C688),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Log'!$E$2:$V$73,
    MATCH(1,
      ('Putt Log'!$A$2:$A$73=$A688)*
      ('Putt Log'!$B$2:$B$73=$B688)*
      ('Putt Log'!$C$2:$C$73=$C688),
    0),
    MATCH($G688,'Putt Log'!$E$1:$V$1,0)
  ),
"")</f>
        <v>1</v>
      </c>
      <c r="P688" t="str" cm="1">
        <f t="array" ref="P688">IF(K688=3,"",
  IFERROR(
    INDEX('Fairway Log'!$E$2:$V$73,
      MATCH(1,
        ('Fairway Log'!$A$2:$A$73=$A688)*
        ('Fairway Log'!$B$2:$B$73=$B688)*
        ('Fairway Log'!$C$2:$C759=$C688),
      0),
      MATCH($G688,'Fairway Log'!$E$1:$V$1,0)
    ),
  "")
)</f>
        <v/>
      </c>
      <c r="Q688" cm="1">
        <f t="array" ref="Q688">IFERROR(
  INDEX('GIR Log'!$E$2:$V$73,
    MATCH(1,
      ('GIR Log'!$A$2:$A$73=$A688)*
      ('GIR Log'!$B$2:$B$73=$B688)*
      ('GIR Log'!$C$2:$C$73=$C688),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Log'!$E$2:$V$73,
    MATCH(1,
      ('Golf Log'!$A$2:$A$73=$A689)*
      ('Golf Log'!$B$2:$B$73=$B689)*
      ('Golf Log'!$C$2:$C$73=$C689),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Log'!$E$2:$V$73,
    MATCH(1,
      ('Putt Log'!$A$2:$A$73=$A689)*
      ('Putt Log'!$B$2:$B$73=$B689)*
      ('Putt Log'!$C$2:$C$73=$C689),
    0),
    MATCH($G689,'Putt Log'!$E$1:$V$1,0)
  ),
"")</f>
        <v>1</v>
      </c>
      <c r="P689" t="str" cm="1">
        <f t="array" ref="P689">IF(K689=3,"",
  IFERROR(
    INDEX('Fairway Log'!$E$2:$V$73,
      MATCH(1,
        ('Fairway Log'!$A$2:$A$73=$A689)*
        ('Fairway Log'!$B$2:$B$73=$B689)*
        ('Fairway Log'!$C$2:$C760=$C689),
      0),
      MATCH($G689,'Fairway Log'!$E$1:$V$1,0)
    ),
  "")
)</f>
        <v>→</v>
      </c>
      <c r="Q689" cm="1">
        <f t="array" ref="Q689">IFERROR(
  INDEX('GIR Log'!$E$2:$V$73,
    MATCH(1,
      ('GIR Log'!$A$2:$A$73=$A689)*
      ('GIR Log'!$B$2:$B$73=$B689)*
      ('GIR Log'!$C$2:$C$73=$C689),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Log'!$E$2:$V$73,
    MATCH(1,
      ('Golf Log'!$A$2:$A$73=$A690)*
      ('Golf Log'!$B$2:$B$73=$B690)*
      ('Golf Log'!$C$2:$C$73=$C690),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Log'!$E$2:$V$73,
    MATCH(1,
      ('Putt Log'!$A$2:$A$73=$A690)*
      ('Putt Log'!$B$2:$B$73=$B690)*
      ('Putt Log'!$C$2:$C$73=$C690),
    0),
    MATCH($G690,'Putt Log'!$E$1:$V$1,0)
  ),
"")</f>
        <v>2</v>
      </c>
      <c r="P690" cm="1">
        <f t="array" ref="P690">IF(K690=3,"",
  IFERROR(
    INDEX('Fairway Log'!$E$2:$V$73,
      MATCH(1,
        ('Fairway Log'!$A$2:$A$73=$A690)*
        ('Fairway Log'!$B$2:$B$73=$B690)*
        ('Fairway Log'!$C$2:$C761=$C690),
      0),
      MATCH($G690,'Fairway Log'!$E$1:$V$1,0)
    ),
  "")
)</f>
        <v>1</v>
      </c>
      <c r="Q690" cm="1">
        <f t="array" ref="Q690">IFERROR(
  INDEX('GIR Log'!$E$2:$V$73,
    MATCH(1,
      ('GIR Log'!$A$2:$A$73=$A690)*
      ('GIR Log'!$B$2:$B$73=$B690)*
      ('GIR Log'!$C$2:$C$73=$C690),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Log'!$E$2:$V$73,
    MATCH(1,
      ('Golf Log'!$A$2:$A$73=$A691)*
      ('Golf Log'!$B$2:$B$73=$B691)*
      ('Golf Log'!$C$2:$C$73=$C691),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Log'!$E$2:$V$73,
    MATCH(1,
      ('Putt Log'!$A$2:$A$73=$A691)*
      ('Putt Log'!$B$2:$B$73=$B691)*
      ('Putt Log'!$C$2:$C$73=$C691),
    0),
    MATCH($G691,'Putt Log'!$E$1:$V$1,0)
  ),
"")</f>
        <v>1</v>
      </c>
      <c r="P691" t="str" cm="1">
        <f t="array" ref="P691">IF(K691=3,"",
  IFERROR(
    INDEX('Fairway Log'!$E$2:$V$73,
      MATCH(1,
        ('Fairway Log'!$A$2:$A$73=$A691)*
        ('Fairway Log'!$B$2:$B$73=$B691)*
        ('Fairway Log'!$C$2:$C762=$C691),
      0),
      MATCH($G691,'Fairway Log'!$E$1:$V$1,0)
    ),
  "")
)</f>
        <v/>
      </c>
      <c r="Q691" cm="1">
        <f t="array" ref="Q691">IFERROR(
  INDEX('GIR Log'!$E$2:$V$73,
    MATCH(1,
      ('GIR Log'!$A$2:$A$73=$A691)*
      ('GIR Log'!$B$2:$B$73=$B691)*
      ('GIR Log'!$C$2:$C$73=$C691),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Log'!$E$2:$V$73,
    MATCH(1,
      ('Golf Log'!$A$2:$A$73=$A692)*
      ('Golf Log'!$B$2:$B$73=$B692)*
      ('Golf Log'!$C$2:$C$73=$C692),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Log'!$E$2:$V$73,
    MATCH(1,
      ('Putt Log'!$A$2:$A$73=$A692)*
      ('Putt Log'!$B$2:$B$73=$B692)*
      ('Putt Log'!$C$2:$C$73=$C692),
    0),
    MATCH($G692,'Putt Log'!$E$1:$V$1,0)
  ),
"")</f>
        <v>2</v>
      </c>
      <c r="P692" t="str" cm="1">
        <f t="array" ref="P692">IF(K692=3,"",
  IFERROR(
    INDEX('Fairway Log'!$E$2:$V$73,
      MATCH(1,
        ('Fairway Log'!$A$2:$A$73=$A692)*
        ('Fairway Log'!$B$2:$B$73=$B692)*
        ('Fairway Log'!$C$2:$C763=$C692),
      0),
      MATCH($G692,'Fairway Log'!$E$1:$V$1,0)
    ),
  "")
)</f>
        <v>→</v>
      </c>
      <c r="Q692" cm="1">
        <f t="array" ref="Q692">IFERROR(
  INDEX('GIR Log'!$E$2:$V$73,
    MATCH(1,
      ('GIR Log'!$A$2:$A$73=$A692)*
      ('GIR Log'!$B$2:$B$73=$B692)*
      ('GIR Log'!$C$2:$C$73=$C692),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Log'!$E$2:$V$73,
    MATCH(1,
      ('Golf Log'!$A$2:$A$73=$A693)*
      ('Golf Log'!$B$2:$B$73=$B693)*
      ('Golf Log'!$C$2:$C$73=$C693),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Log'!$E$2:$V$73,
    MATCH(1,
      ('Putt Log'!$A$2:$A$73=$A693)*
      ('Putt Log'!$B$2:$B$73=$B693)*
      ('Putt Log'!$C$2:$C$73=$C693),
    0),
    MATCH($G693,'Putt Log'!$E$1:$V$1,0)
  ),
"")</f>
        <v>1</v>
      </c>
      <c r="P693" cm="1">
        <f t="array" ref="P693">IF(K693=3,"",
  IFERROR(
    INDEX('Fairway Log'!$E$2:$V$73,
      MATCH(1,
        ('Fairway Log'!$A$2:$A$73=$A693)*
        ('Fairway Log'!$B$2:$B$73=$B693)*
        ('Fairway Log'!$C$2:$C764=$C693),
      0),
      MATCH($G693,'Fairway Log'!$E$1:$V$1,0)
    ),
  "")
)</f>
        <v>1</v>
      </c>
      <c r="Q693" cm="1">
        <f t="array" ref="Q693">IFERROR(
  INDEX('GIR Log'!$E$2:$V$73,
    MATCH(1,
      ('GIR Log'!$A$2:$A$73=$A693)*
      ('GIR Log'!$B$2:$B$73=$B693)*
      ('GIR Log'!$C$2:$C$73=$C693),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Log'!$E$2:$V$73,
    MATCH(1,
      ('Golf Log'!$A$2:$A$73=$A694)*
      ('Golf Log'!$B$2:$B$73=$B694)*
      ('Golf Log'!$C$2:$C$73=$C694),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Log'!$E$2:$V$73,
    MATCH(1,
      ('Putt Log'!$A$2:$A$73=$A694)*
      ('Putt Log'!$B$2:$B$73=$B694)*
      ('Putt Log'!$C$2:$C$73=$C694),
    0),
    MATCH($G694,'Putt Log'!$E$1:$V$1,0)
  ),
"")</f>
        <v>2</v>
      </c>
      <c r="P694" t="str" cm="1">
        <f t="array" ref="P694">IF(K694=3,"",
  IFERROR(
    INDEX('Fairway Log'!$E$2:$V$73,
      MATCH(1,
        ('Fairway Log'!$A$2:$A$73=$A694)*
        ('Fairway Log'!$B$2:$B$73=$B694)*
        ('Fairway Log'!$C$2:$C765=$C694),
      0),
      MATCH($G694,'Fairway Log'!$E$1:$V$1,0)
    ),
  "")
)</f>
        <v>→</v>
      </c>
      <c r="Q694" cm="1">
        <f t="array" ref="Q694">IFERROR(
  INDEX('GIR Log'!$E$2:$V$73,
    MATCH(1,
      ('GIR Log'!$A$2:$A$73=$A694)*
      ('GIR Log'!$B$2:$B$73=$B694)*
      ('GIR Log'!$C$2:$C$73=$C694),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Log'!$E$2:$V$73,
    MATCH(1,
      ('Golf Log'!$A$2:$A$73=$A695)*
      ('Golf Log'!$B$2:$B$73=$B695)*
      ('Golf Log'!$C$2:$C$73=$C695),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Log'!$E$2:$V$73,
    MATCH(1,
      ('Putt Log'!$A$2:$A$73=$A695)*
      ('Putt Log'!$B$2:$B$73=$B695)*
      ('Putt Log'!$C$2:$C$73=$C695),
    0),
    MATCH($G695,'Putt Log'!$E$1:$V$1,0)
  ),
"")</f>
        <v>2</v>
      </c>
      <c r="P695" t="str" cm="1">
        <f t="array" ref="P695">IF(K695=3,"",
  IFERROR(
    INDEX('Fairway Log'!$E$2:$V$73,
      MATCH(1,
        ('Fairway Log'!$A$2:$A$73=$A695)*
        ('Fairway Log'!$B$2:$B$73=$B695)*
        ('Fairway Log'!$C$2:$C766=$C695),
      0),
      MATCH($G695,'Fairway Log'!$E$1:$V$1,0)
    ),
  "")
)</f>
        <v>→</v>
      </c>
      <c r="Q695" cm="1">
        <f t="array" ref="Q695">IFERROR(
  INDEX('GIR Log'!$E$2:$V$73,
    MATCH(1,
      ('GIR Log'!$A$2:$A$73=$A695)*
      ('GIR Log'!$B$2:$B$73=$B695)*
      ('GIR Log'!$C$2:$C$73=$C695),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Log'!$E$2:$V$73,
    MATCH(1,
      ('Golf Log'!$A$2:$A$73=$A696)*
      ('Golf Log'!$B$2:$B$73=$B696)*
      ('Golf Log'!$C$2:$C$73=$C696),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Log'!$E$2:$V$73,
    MATCH(1,
      ('Putt Log'!$A$2:$A$73=$A696)*
      ('Putt Log'!$B$2:$B$73=$B696)*
      ('Putt Log'!$C$2:$C$73=$C696),
    0),
    MATCH($G696,'Putt Log'!$E$1:$V$1,0)
  ),
"")</f>
        <v>2</v>
      </c>
      <c r="P696" cm="1">
        <f t="array" ref="P696">IF(K696=3,"",
  IFERROR(
    INDEX('Fairway Log'!$E$2:$V$73,
      MATCH(1,
        ('Fairway Log'!$A$2:$A$73=$A696)*
        ('Fairway Log'!$B$2:$B$73=$B696)*
        ('Fairway Log'!$C$2:$C767=$C696),
      0),
      MATCH($G696,'Fairway Log'!$E$1:$V$1,0)
    ),
  "")
)</f>
        <v>1</v>
      </c>
      <c r="Q696" cm="1">
        <f t="array" ref="Q696">IFERROR(
  INDEX('GIR Log'!$E$2:$V$73,
    MATCH(1,
      ('GIR Log'!$A$2:$A$73=$A696)*
      ('GIR Log'!$B$2:$B$73=$B696)*
      ('GIR Log'!$C$2:$C$73=$C696),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Log'!$E$2:$V$73,
    MATCH(1,
      ('Golf Log'!$A$2:$A$73=$A697)*
      ('Golf Log'!$B$2:$B$73=$B697)*
      ('Golf Log'!$C$2:$C$73=$C697),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Log'!$E$2:$V$73,
    MATCH(1,
      ('Putt Log'!$A$2:$A$73=$A697)*
      ('Putt Log'!$B$2:$B$73=$B697)*
      ('Putt Log'!$C$2:$C$73=$C697),
    0),
    MATCH($G697,'Putt Log'!$E$1:$V$1,0)
  ),
"")</f>
        <v>2</v>
      </c>
      <c r="P697" t="str" cm="1">
        <f t="array" ref="P697">IF(K697=3,"",
  IFERROR(
    INDEX('Fairway Log'!$E$2:$V$73,
      MATCH(1,
        ('Fairway Log'!$A$2:$A$73=$A697)*
        ('Fairway Log'!$B$2:$B$73=$B697)*
        ('Fairway Log'!$C$2:$C768=$C697),
      0),
      MATCH($G697,'Fairway Log'!$E$1:$V$1,0)
    ),
  "")
)</f>
        <v>↓</v>
      </c>
      <c r="Q697" cm="1">
        <f t="array" ref="Q697">IFERROR(
  INDEX('GIR Log'!$E$2:$V$73,
    MATCH(1,
      ('GIR Log'!$A$2:$A$73=$A697)*
      ('GIR Log'!$B$2:$B$73=$B697)*
      ('GIR Log'!$C$2:$C$73=$C697),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Log'!$E$2:$V$73,
    MATCH(1,
      ('Golf Log'!$A$2:$A$73=$A698)*
      ('Golf Log'!$B$2:$B$73=$B698)*
      ('Golf Log'!$C$2:$C$73=$C698),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Log'!$E$2:$V$73,
    MATCH(1,
      ('Putt Log'!$A$2:$A$73=$A698)*
      ('Putt Log'!$B$2:$B$73=$B698)*
      ('Putt Log'!$C$2:$C$73=$C698),
    0),
    MATCH($G698,'Putt Log'!$E$1:$V$1,0)
  ),
"")</f>
        <v>2</v>
      </c>
      <c r="P698" t="str" cm="1">
        <f t="array" ref="P698">IF(K698=3,"",
  IFERROR(
    INDEX('Fairway Log'!$E$2:$V$73,
      MATCH(1,
        ('Fairway Log'!$A$2:$A$73=$A698)*
        ('Fairway Log'!$B$2:$B$73=$B698)*
        ('Fairway Log'!$C$2:$C769=$C698),
      0),
      MATCH($G698,'Fairway Log'!$E$1:$V$1,0)
    ),
  "")
)</f>
        <v/>
      </c>
      <c r="Q698" cm="1">
        <f t="array" ref="Q698">IFERROR(
  INDEX('GIR Log'!$E$2:$V$73,
    MATCH(1,
      ('GIR Log'!$A$2:$A$73=$A698)*
      ('GIR Log'!$B$2:$B$73=$B698)*
      ('GIR Log'!$C$2:$C$73=$C698),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Log'!$E$2:$V$73,
    MATCH(1,
      ('Golf Log'!$A$2:$A$73=$A699)*
      ('Golf Log'!$B$2:$B$73=$B699)*
      ('Golf Log'!$C$2:$C$73=$C699),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Log'!$E$2:$V$73,
    MATCH(1,
      ('Putt Log'!$A$2:$A$73=$A699)*
      ('Putt Log'!$B$2:$B$73=$B699)*
      ('Putt Log'!$C$2:$C$73=$C699),
    0),
    MATCH($G699,'Putt Log'!$E$1:$V$1,0)
  ),
"")</f>
        <v>2</v>
      </c>
      <c r="P699" t="str" cm="1">
        <f t="array" ref="P699">IF(K699=3,"",
  IFERROR(
    INDEX('Fairway Log'!$E$2:$V$73,
      MATCH(1,
        ('Fairway Log'!$A$2:$A$73=$A699)*
        ('Fairway Log'!$B$2:$B$73=$B699)*
        ('Fairway Log'!$C$2:$C770=$C699),
      0),
      MATCH($G699,'Fairway Log'!$E$1:$V$1,0)
    ),
  "")
)</f>
        <v>↓</v>
      </c>
      <c r="Q699" cm="1">
        <f t="array" ref="Q699">IFERROR(
  INDEX('GIR Log'!$E$2:$V$73,
    MATCH(1,
      ('GIR Log'!$A$2:$A$73=$A699)*
      ('GIR Log'!$B$2:$B$73=$B699)*
      ('GIR Log'!$C$2:$C$73=$C699),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Log'!$E$2:$V$73,
    MATCH(1,
      ('Golf Log'!$A$2:$A$73=$A700)*
      ('Golf Log'!$B$2:$B$73=$B700)*
      ('Golf Log'!$C$2:$C$73=$C700),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Log'!$E$2:$V$73,
    MATCH(1,
      ('Putt Log'!$A$2:$A$73=$A700)*
      ('Putt Log'!$B$2:$B$73=$B700)*
      ('Putt Log'!$C$2:$C$73=$C700),
    0),
    MATCH($G700,'Putt Log'!$E$1:$V$1,0)
  ),
"")</f>
        <v>2</v>
      </c>
      <c r="P700" cm="1">
        <f t="array" ref="P700">IF(K700=3,"",
  IFERROR(
    INDEX('Fairway Log'!$E$2:$V$73,
      MATCH(1,
        ('Fairway Log'!$A$2:$A$73=$A700)*
        ('Fairway Log'!$B$2:$B$73=$B700)*
        ('Fairway Log'!$C$2:$C771=$C700),
      0),
      MATCH($G700,'Fairway Log'!$E$1:$V$1,0)
    ),
  "")
)</f>
        <v>1</v>
      </c>
      <c r="Q700" cm="1">
        <f t="array" ref="Q700">IFERROR(
  INDEX('GIR Log'!$E$2:$V$73,
    MATCH(1,
      ('GIR Log'!$A$2:$A$73=$A700)*
      ('GIR Log'!$B$2:$B$73=$B700)*
      ('GIR Log'!$C$2:$C$73=$C700),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Log'!$E$2:$V$73,
    MATCH(1,
      ('Golf Log'!$A$2:$A$73=$A701)*
      ('Golf Log'!$B$2:$B$73=$B701)*
      ('Golf Log'!$C$2:$C$73=$C701),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Log'!$E$2:$V$73,
    MATCH(1,
      ('Putt Log'!$A$2:$A$73=$A701)*
      ('Putt Log'!$B$2:$B$73=$B701)*
      ('Putt Log'!$C$2:$C$73=$C701),
    0),
    MATCH($G701,'Putt Log'!$E$1:$V$1,0)
  ),
"")</f>
        <v>2</v>
      </c>
      <c r="P701" t="str" cm="1">
        <f t="array" ref="P701">IF(K701=3,"",
  IFERROR(
    INDEX('Fairway Log'!$E$2:$V$73,
      MATCH(1,
        ('Fairway Log'!$A$2:$A$73=$A701)*
        ('Fairway Log'!$B$2:$B$73=$B701)*
        ('Fairway Log'!$C$2:$C772=$C701),
      0),
      MATCH($G701,'Fairway Log'!$E$1:$V$1,0)
    ),
  "")
)</f>
        <v/>
      </c>
      <c r="Q701" cm="1">
        <f t="array" ref="Q701">IFERROR(
  INDEX('GIR Log'!$E$2:$V$73,
    MATCH(1,
      ('GIR Log'!$A$2:$A$73=$A701)*
      ('GIR Log'!$B$2:$B$73=$B701)*
      ('GIR Log'!$C$2:$C$73=$C701),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Log'!$E$2:$V$73,
    MATCH(1,
      ('Golf Log'!$A$2:$A$73=$A702)*
      ('Golf Log'!$B$2:$B$73=$B702)*
      ('Golf Log'!$C$2:$C$73=$C702),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Log'!$E$2:$V$73,
    MATCH(1,
      ('Putt Log'!$A$2:$A$73=$A702)*
      ('Putt Log'!$B$2:$B$73=$B702)*
      ('Putt Log'!$C$2:$C$73=$C702),
    0),
    MATCH($G702,'Putt Log'!$E$1:$V$1,0)
  ),
"")</f>
        <v>2</v>
      </c>
      <c r="P702" t="str" cm="1">
        <f t="array" ref="P702">IF(K702=3,"",
  IFERROR(
    INDEX('Fairway Log'!$E$2:$V$73,
      MATCH(1,
        ('Fairway Log'!$A$2:$A$73=$A702)*
        ('Fairway Log'!$B$2:$B$73=$B702)*
        ('Fairway Log'!$C$2:$C773=$C702),
      0),
      MATCH($G702,'Fairway Log'!$E$1:$V$1,0)
    ),
  "")
)</f>
        <v>→</v>
      </c>
      <c r="Q702" cm="1">
        <f t="array" ref="Q702">IFERROR(
  INDEX('GIR Log'!$E$2:$V$73,
    MATCH(1,
      ('GIR Log'!$A$2:$A$73=$A702)*
      ('GIR Log'!$B$2:$B$73=$B702)*
      ('GIR Log'!$C$2:$C$73=$C702),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Log'!$E$2:$V$73,
    MATCH(1,
      ('Golf Log'!$A$2:$A$73=$A703)*
      ('Golf Log'!$B$2:$B$73=$B703)*
      ('Golf Log'!$C$2:$C$73=$C703),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Log'!$E$2:$V$73,
    MATCH(1,
      ('Putt Log'!$A$2:$A$73=$A703)*
      ('Putt Log'!$B$2:$B$73=$B703)*
      ('Putt Log'!$C$2:$C$73=$C703),
    0),
    MATCH($G703,'Putt Log'!$E$1:$V$1,0)
  ),
"")</f>
        <v>2</v>
      </c>
      <c r="P703" cm="1">
        <f t="array" ref="P703">IF(K703=3,"",
  IFERROR(
    INDEX('Fairway Log'!$E$2:$V$73,
      MATCH(1,
        ('Fairway Log'!$A$2:$A$73=$A703)*
        ('Fairway Log'!$B$2:$B$73=$B703)*
        ('Fairway Log'!$C$2:$C774=$C703),
      0),
      MATCH($G703,'Fairway Log'!$E$1:$V$1,0)
    ),
  "")
)</f>
        <v>1</v>
      </c>
      <c r="Q703" cm="1">
        <f t="array" ref="Q703">IFERROR(
  INDEX('GIR Log'!$E$2:$V$73,
    MATCH(1,
      ('GIR Log'!$A$2:$A$73=$A703)*
      ('GIR Log'!$B$2:$B$73=$B703)*
      ('GIR Log'!$C$2:$C$73=$C703),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Log'!$E$2:$V$73,
    MATCH(1,
      ('Golf Log'!$A$2:$A$73=$A704)*
      ('Golf Log'!$B$2:$B$73=$B704)*
      ('Golf Log'!$C$2:$C$73=$C704),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Log'!$E$2:$V$73,
    MATCH(1,
      ('Putt Log'!$A$2:$A$73=$A704)*
      ('Putt Log'!$B$2:$B$73=$B704)*
      ('Putt Log'!$C$2:$C$73=$C704),
    0),
    MATCH($G704,'Putt Log'!$E$1:$V$1,0)
  ),
"")</f>
        <v>2</v>
      </c>
      <c r="P704" cm="1">
        <f t="array" ref="P704">IF(K704=3,"",
  IFERROR(
    INDEX('Fairway Log'!$E$2:$V$73,
      MATCH(1,
        ('Fairway Log'!$A$2:$A$73=$A704)*
        ('Fairway Log'!$B$2:$B$73=$B704)*
        ('Fairway Log'!$C$2:$C775=$C704),
      0),
      MATCH($G704,'Fairway Log'!$E$1:$V$1,0)
    ),
  "")
)</f>
        <v>1</v>
      </c>
      <c r="Q704" t="str" cm="1">
        <f t="array" ref="Q704">IFERROR(
  INDEX('GIR Log'!$E$2:$V$73,
    MATCH(1,
      ('GIR Log'!$A$2:$A$73=$A704)*
      ('GIR Log'!$B$2:$B$73=$B704)*
      ('GIR Log'!$C$2:$C$73=$C704),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Log'!$E$2:$V$73,
    MATCH(1,
      ('Golf Log'!$A$2:$A$73=$A705)*
      ('Golf Log'!$B$2:$B$73=$B705)*
      ('Golf Log'!$C$2:$C$73=$C705),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Log'!$E$2:$V$73,
    MATCH(1,
      ('Putt Log'!$A$2:$A$73=$A705)*
      ('Putt Log'!$B$2:$B$73=$B705)*
      ('Putt Log'!$C$2:$C$73=$C705),
    0),
    MATCH($G705,'Putt Log'!$E$1:$V$1,0)
  ),
"")</f>
        <v>1</v>
      </c>
      <c r="P705" t="str" cm="1">
        <f t="array" ref="P705">IF(K705=3,"",
  IFERROR(
    INDEX('Fairway Log'!$E$2:$V$73,
      MATCH(1,
        ('Fairway Log'!$A$2:$A$73=$A705)*
        ('Fairway Log'!$B$2:$B$73=$B705)*
        ('Fairway Log'!$C$2:$C776=$C705),
      0),
      MATCH($G705,'Fairway Log'!$E$1:$V$1,0)
    ),
  "")
)</f>
        <v/>
      </c>
      <c r="Q705" t="str" cm="1">
        <f t="array" ref="Q705">IFERROR(
  INDEX('GIR Log'!$E$2:$V$73,
    MATCH(1,
      ('GIR Log'!$A$2:$A$73=$A705)*
      ('GIR Log'!$B$2:$B$73=$B705)*
      ('GIR Log'!$C$2:$C$73=$C705),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Log'!$E$2:$V$73,
    MATCH(1,
      ('Golf Log'!$A$2:$A$73=$A706)*
      ('Golf Log'!$B$2:$B$73=$B706)*
      ('Golf Log'!$C$2:$C$73=$C706),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Log'!$E$2:$V$73,
    MATCH(1,
      ('Putt Log'!$A$2:$A$73=$A706)*
      ('Putt Log'!$B$2:$B$73=$B706)*
      ('Putt Log'!$C$2:$C$73=$C706),
    0),
    MATCH($G706,'Putt Log'!$E$1:$V$1,0)
  ),
"")</f>
        <v>2</v>
      </c>
      <c r="P706" t="str" cm="1">
        <f t="array" ref="P706">IF(K706=3,"",
  IFERROR(
    INDEX('Fairway Log'!$E$2:$V$73,
      MATCH(1,
        ('Fairway Log'!$A$2:$A$73=$A706)*
        ('Fairway Log'!$B$2:$B$73=$B706)*
        ('Fairway Log'!$C$2:$C777=$C706),
      0),
      MATCH($G706,'Fairway Log'!$E$1:$V$1,0)
    ),
  "")
)</f>
        <v>↓</v>
      </c>
      <c r="Q706" t="str" cm="1">
        <f t="array" ref="Q706">IFERROR(
  INDEX('GIR Log'!$E$2:$V$73,
    MATCH(1,
      ('GIR Log'!$A$2:$A$73=$A706)*
      ('GIR Log'!$B$2:$B$73=$B706)*
      ('GIR Log'!$C$2:$C$73=$C706),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Log'!$E$2:$V$73,
    MATCH(1,
      ('Golf Log'!$A$2:$A$73=$A707)*
      ('Golf Log'!$B$2:$B$73=$B707)*
      ('Golf Log'!$C$2:$C$73=$C707),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Log'!$E$2:$V$73,
    MATCH(1,
      ('Putt Log'!$A$2:$A$73=$A707)*
      ('Putt Log'!$B$2:$B$73=$B707)*
      ('Putt Log'!$C$2:$C$73=$C707),
    0),
    MATCH($G707,'Putt Log'!$E$1:$V$1,0)
  ),
"")</f>
        <v>2</v>
      </c>
      <c r="P707" t="str" cm="1">
        <f t="array" ref="P707">IF(K707=3,"",
  IFERROR(
    INDEX('Fairway Log'!$E$2:$V$73,
      MATCH(1,
        ('Fairway Log'!$A$2:$A$73=$A707)*
        ('Fairway Log'!$B$2:$B$73=$B707)*
        ('Fairway Log'!$C$2:$C778=$C707),
      0),
      MATCH($G707,'Fairway Log'!$E$1:$V$1,0)
    ),
  "")
)</f>
        <v/>
      </c>
      <c r="Q707" t="str" cm="1">
        <f t="array" ref="Q707">IFERROR(
  INDEX('GIR Log'!$E$2:$V$73,
    MATCH(1,
      ('GIR Log'!$A$2:$A$73=$A707)*
      ('GIR Log'!$B$2:$B$73=$B707)*
      ('GIR Log'!$C$2:$C$73=$C707),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Log'!$E$2:$V$73,
    MATCH(1,
      ('Golf Log'!$A$2:$A$73=$A708)*
      ('Golf Log'!$B$2:$B$73=$B708)*
      ('Golf Log'!$C$2:$C$73=$C708),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Log'!$E$2:$V$73,
    MATCH(1,
      ('Putt Log'!$A$2:$A$73=$A708)*
      ('Putt Log'!$B$2:$B$73=$B708)*
      ('Putt Log'!$C$2:$C$73=$C708),
    0),
    MATCH($G708,'Putt Log'!$E$1:$V$1,0)
  ),
"")</f>
        <v>2</v>
      </c>
      <c r="P708" cm="1">
        <f t="array" ref="P708">IF(K708=3,"",
  IFERROR(
    INDEX('Fairway Log'!$E$2:$V$73,
      MATCH(1,
        ('Fairway Log'!$A$2:$A$73=$A708)*
        ('Fairway Log'!$B$2:$B$73=$B708)*
        ('Fairway Log'!$C$2:$C779=$C708),
      0),
      MATCH($G708,'Fairway Log'!$E$1:$V$1,0)
    ),
  "")
)</f>
        <v>1</v>
      </c>
      <c r="Q708" t="str" cm="1">
        <f t="array" ref="Q708">IFERROR(
  INDEX('GIR Log'!$E$2:$V$73,
    MATCH(1,
      ('GIR Log'!$A$2:$A$73=$A708)*
      ('GIR Log'!$B$2:$B$73=$B708)*
      ('GIR Log'!$C$2:$C$73=$C708),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Log'!$E$2:$V$73,
    MATCH(1,
      ('Golf Log'!$A$2:$A$73=$A709)*
      ('Golf Log'!$B$2:$B$73=$B709)*
      ('Golf Log'!$C$2:$C$73=$C709),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Log'!$E$2:$V$73,
    MATCH(1,
      ('Putt Log'!$A$2:$A$73=$A709)*
      ('Putt Log'!$B$2:$B$73=$B709)*
      ('Putt Log'!$C$2:$C$73=$C709),
    0),
    MATCH($G709,'Putt Log'!$E$1:$V$1,0)
  ),
"")</f>
        <v>2</v>
      </c>
      <c r="P709" cm="1">
        <f t="array" ref="P709">IF(K709=3,"",
  IFERROR(
    INDEX('Fairway Log'!$E$2:$V$73,
      MATCH(1,
        ('Fairway Log'!$A$2:$A$73=$A709)*
        ('Fairway Log'!$B$2:$B$73=$B709)*
        ('Fairway Log'!$C$2:$C780=$C709),
      0),
      MATCH($G709,'Fairway Log'!$E$1:$V$1,0)
    ),
  "")
)</f>
        <v>1</v>
      </c>
      <c r="Q709" t="str" cm="1">
        <f t="array" ref="Q709">IFERROR(
  INDEX('GIR Log'!$E$2:$V$73,
    MATCH(1,
      ('GIR Log'!$A$2:$A$73=$A709)*
      ('GIR Log'!$B$2:$B$73=$B709)*
      ('GIR Log'!$C$2:$C$73=$C709),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Log'!$E$2:$V$73,
    MATCH(1,
      ('Golf Log'!$A$2:$A$73=$A710)*
      ('Golf Log'!$B$2:$B$73=$B710)*
      ('Golf Log'!$C$2:$C$73=$C710),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Log'!$E$2:$V$73,
    MATCH(1,
      ('Putt Log'!$A$2:$A$73=$A710)*
      ('Putt Log'!$B$2:$B$73=$B710)*
      ('Putt Log'!$C$2:$C$73=$C710),
    0),
    MATCH($G710,'Putt Log'!$E$1:$V$1,0)
  ),
"")</f>
        <v>2</v>
      </c>
      <c r="P710" cm="1">
        <f t="array" ref="P710">IF(K710=3,"",
  IFERROR(
    INDEX('Fairway Log'!$E$2:$V$73,
      MATCH(1,
        ('Fairway Log'!$A$2:$A$73=$A710)*
        ('Fairway Log'!$B$2:$B$73=$B710)*
        ('Fairway Log'!$C$2:$C781=$C710),
      0),
      MATCH($G710,'Fairway Log'!$E$1:$V$1,0)
    ),
  "")
)</f>
        <v>1</v>
      </c>
      <c r="Q710" cm="1">
        <f t="array" ref="Q710">IFERROR(
  INDEX('GIR Log'!$E$2:$V$73,
    MATCH(1,
      ('GIR Log'!$A$2:$A$73=$A710)*
      ('GIR Log'!$B$2:$B$73=$B710)*
      ('GIR Log'!$C$2:$C$73=$C710),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Log'!$E$2:$V$73,
    MATCH(1,
      ('Golf Log'!$A$2:$A$73=$A711)*
      ('Golf Log'!$B$2:$B$73=$B711)*
      ('Golf Log'!$C$2:$C$73=$C711),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Log'!$E$2:$V$73,
    MATCH(1,
      ('Putt Log'!$A$2:$A$73=$A711)*
      ('Putt Log'!$B$2:$B$73=$B711)*
      ('Putt Log'!$C$2:$C$73=$C711),
    0),
    MATCH($G711,'Putt Log'!$E$1:$V$1,0)
  ),
"")</f>
        <v>2</v>
      </c>
      <c r="P711" t="str" cm="1">
        <f t="array" ref="P711">IF(K711=3,"",
  IFERROR(
    INDEX('Fairway Log'!$E$2:$V$73,
      MATCH(1,
        ('Fairway Log'!$A$2:$A$73=$A711)*
        ('Fairway Log'!$B$2:$B$73=$B711)*
        ('Fairway Log'!$C$2:$C782=$C711),
      0),
      MATCH($G711,'Fairway Log'!$E$1:$V$1,0)
    ),
  "")
)</f>
        <v>→</v>
      </c>
      <c r="Q711" t="str" cm="1">
        <f t="array" ref="Q711">IFERROR(
  INDEX('GIR Log'!$E$2:$V$73,
    MATCH(1,
      ('GIR Log'!$A$2:$A$73=$A711)*
      ('GIR Log'!$B$2:$B$73=$B711)*
      ('GIR Log'!$C$2:$C$73=$C711),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Log'!$E$2:$V$73,
    MATCH(1,
      ('Golf Log'!$A$2:$A$73=$A712)*
      ('Golf Log'!$B$2:$B$73=$B712)*
      ('Golf Log'!$C$2:$C$73=$C712),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Log'!$E$2:$V$73,
    MATCH(1,
      ('Putt Log'!$A$2:$A$73=$A712)*
      ('Putt Log'!$B$2:$B$73=$B712)*
      ('Putt Log'!$C$2:$C$73=$C712),
    0),
    MATCH($G712,'Putt Log'!$E$1:$V$1,0)
  ),
"")</f>
        <v>2</v>
      </c>
      <c r="P712" t="str" cm="1">
        <f t="array" ref="P712">IF(K712=3,"",
  IFERROR(
    INDEX('Fairway Log'!$E$2:$V$73,
      MATCH(1,
        ('Fairway Log'!$A$2:$A$73=$A712)*
        ('Fairway Log'!$B$2:$B$73=$B712)*
        ('Fairway Log'!$C$2:$C783=$C712),
      0),
      MATCH($G712,'Fairway Log'!$E$1:$V$1,0)
    ),
  "")
)</f>
        <v>↓</v>
      </c>
      <c r="Q712" t="str" cm="1">
        <f t="array" ref="Q712">IFERROR(
  INDEX('GIR Log'!$E$2:$V$73,
    MATCH(1,
      ('GIR Log'!$A$2:$A$73=$A712)*
      ('GIR Log'!$B$2:$B$73=$B712)*
      ('GIR Log'!$C$2:$C$73=$C712),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Log'!$E$2:$V$73,
    MATCH(1,
      ('Golf Log'!$A$2:$A$73=$A713)*
      ('Golf Log'!$B$2:$B$73=$B713)*
      ('Golf Log'!$C$2:$C$73=$C713),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Log'!$E$2:$V$73,
    MATCH(1,
      ('Putt Log'!$A$2:$A$73=$A713)*
      ('Putt Log'!$B$2:$B$73=$B713)*
      ('Putt Log'!$C$2:$C$73=$C713),
    0),
    MATCH($G713,'Putt Log'!$E$1:$V$1,0)
  ),
"")</f>
        <v>2</v>
      </c>
      <c r="P713" t="str" cm="1">
        <f t="array" ref="P713">IF(K713=3,"",
  IFERROR(
    INDEX('Fairway Log'!$E$2:$V$73,
      MATCH(1,
        ('Fairway Log'!$A$2:$A$73=$A713)*
        ('Fairway Log'!$B$2:$B$73=$B713)*
        ('Fairway Log'!$C$2:$C784=$C713),
      0),
      MATCH($G713,'Fairway Log'!$E$1:$V$1,0)
    ),
  "")
)</f>
        <v>→</v>
      </c>
      <c r="Q713" t="str" cm="1">
        <f t="array" ref="Q713">IFERROR(
  INDEX('GIR Log'!$E$2:$V$73,
    MATCH(1,
      ('GIR Log'!$A$2:$A$73=$A713)*
      ('GIR Log'!$B$2:$B$73=$B713)*
      ('GIR Log'!$C$2:$C$73=$C713),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Log'!$E$2:$V$73,
    MATCH(1,
      ('Golf Log'!$A$2:$A$73=$A714)*
      ('Golf Log'!$B$2:$B$73=$B714)*
      ('Golf Log'!$C$2:$C$73=$C714),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Log'!$E$2:$V$73,
    MATCH(1,
      ('Putt Log'!$A$2:$A$73=$A714)*
      ('Putt Log'!$B$2:$B$73=$B714)*
      ('Putt Log'!$C$2:$C$73=$C714),
    0),
    MATCH($G714,'Putt Log'!$E$1:$V$1,0)
  ),
"")</f>
        <v>3</v>
      </c>
      <c r="P714" t="str" cm="1">
        <f t="array" ref="P714">IF(K714=3,"",
  IFERROR(
    INDEX('Fairway Log'!$E$2:$V$73,
      MATCH(1,
        ('Fairway Log'!$A$2:$A$73=$A714)*
        ('Fairway Log'!$B$2:$B$73=$B714)*
        ('Fairway Log'!$C$2:$C785=$C714),
      0),
      MATCH($G714,'Fairway Log'!$E$1:$V$1,0)
    ),
  "")
)</f>
        <v/>
      </c>
      <c r="Q714" t="str" cm="1">
        <f t="array" ref="Q714">IFERROR(
  INDEX('GIR Log'!$E$2:$V$73,
    MATCH(1,
      ('GIR Log'!$A$2:$A$73=$A714)*
      ('GIR Log'!$B$2:$B$73=$B714)*
      ('GIR Log'!$C$2:$C$73=$C714),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Log'!$E$2:$V$73,
    MATCH(1,
      ('Golf Log'!$A$2:$A$73=$A715)*
      ('Golf Log'!$B$2:$B$73=$B715)*
      ('Golf Log'!$C$2:$C$73=$C715),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Log'!$E$2:$V$73,
    MATCH(1,
      ('Putt Log'!$A$2:$A$73=$A715)*
      ('Putt Log'!$B$2:$B$73=$B715)*
      ('Putt Log'!$C$2:$C$73=$C715),
    0),
    MATCH($G715,'Putt Log'!$E$1:$V$1,0)
  ),
"")</f>
        <v>2</v>
      </c>
      <c r="P715" t="str" cm="1">
        <f t="array" ref="P715">IF(K715=3,"",
  IFERROR(
    INDEX('Fairway Log'!$E$2:$V$73,
      MATCH(1,
        ('Fairway Log'!$A$2:$A$73=$A715)*
        ('Fairway Log'!$B$2:$B$73=$B715)*
        ('Fairway Log'!$C$2:$C786=$C715),
      0),
      MATCH($G715,'Fairway Log'!$E$1:$V$1,0)
    ),
  "")
)</f>
        <v>→</v>
      </c>
      <c r="Q715" t="str" cm="1">
        <f t="array" ref="Q715">IFERROR(
  INDEX('GIR Log'!$E$2:$V$73,
    MATCH(1,
      ('GIR Log'!$A$2:$A$73=$A715)*
      ('GIR Log'!$B$2:$B$73=$B715)*
      ('GIR Log'!$C$2:$C$73=$C715),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Log'!$E$2:$V$73,
    MATCH(1,
      ('Golf Log'!$A$2:$A$73=$A716)*
      ('Golf Log'!$B$2:$B$73=$B716)*
      ('Golf Log'!$C$2:$C$73=$C716),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Log'!$E$2:$V$73,
    MATCH(1,
      ('Putt Log'!$A$2:$A$73=$A716)*
      ('Putt Log'!$B$2:$B$73=$B716)*
      ('Putt Log'!$C$2:$C$73=$C716),
    0),
    MATCH($G716,'Putt Log'!$E$1:$V$1,0)
  ),
"")</f>
        <v>2</v>
      </c>
      <c r="P716" cm="1">
        <f t="array" ref="P716">IF(K716=3,"",
  IFERROR(
    INDEX('Fairway Log'!$E$2:$V$73,
      MATCH(1,
        ('Fairway Log'!$A$2:$A$73=$A716)*
        ('Fairway Log'!$B$2:$B$73=$B716)*
        ('Fairway Log'!$C$2:$C787=$C716),
      0),
      MATCH($G716,'Fairway Log'!$E$1:$V$1,0)
    ),
  "")
)</f>
        <v>1</v>
      </c>
      <c r="Q716" t="str" cm="1">
        <f t="array" ref="Q716">IFERROR(
  INDEX('GIR Log'!$E$2:$V$73,
    MATCH(1,
      ('GIR Log'!$A$2:$A$73=$A716)*
      ('GIR Log'!$B$2:$B$73=$B716)*
      ('GIR Log'!$C$2:$C$73=$C716),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Log'!$E$2:$V$73,
    MATCH(1,
      ('Golf Log'!$A$2:$A$73=$A717)*
      ('Golf Log'!$B$2:$B$73=$B717)*
      ('Golf Log'!$C$2:$C$73=$C717),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Log'!$E$2:$V$73,
    MATCH(1,
      ('Putt Log'!$A$2:$A$73=$A717)*
      ('Putt Log'!$B$2:$B$73=$B717)*
      ('Putt Log'!$C$2:$C$73=$C717),
    0),
    MATCH($G717,'Putt Log'!$E$1:$V$1,0)
  ),
"")</f>
        <v>3</v>
      </c>
      <c r="P717" t="str" cm="1">
        <f t="array" ref="P717">IF(K717=3,"",
  IFERROR(
    INDEX('Fairway Log'!$E$2:$V$73,
      MATCH(1,
        ('Fairway Log'!$A$2:$A$73=$A717)*
        ('Fairway Log'!$B$2:$B$73=$B717)*
        ('Fairway Log'!$C$2:$C788=$C717),
      0),
      MATCH($G717,'Fairway Log'!$E$1:$V$1,0)
    ),
  "")
)</f>
        <v/>
      </c>
      <c r="Q717" t="str" cm="1">
        <f t="array" ref="Q717">IFERROR(
  INDEX('GIR Log'!$E$2:$V$73,
    MATCH(1,
      ('GIR Log'!$A$2:$A$73=$A717)*
      ('GIR Log'!$B$2:$B$73=$B717)*
      ('GIR Log'!$C$2:$C$73=$C717),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Log'!$E$2:$V$73,
    MATCH(1,
      ('Golf Log'!$A$2:$A$73=$A718)*
      ('Golf Log'!$B$2:$B$73=$B718)*
      ('Golf Log'!$C$2:$C$73=$C718),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Log'!$E$2:$V$73,
    MATCH(1,
      ('Putt Log'!$A$2:$A$73=$A718)*
      ('Putt Log'!$B$2:$B$73=$B718)*
      ('Putt Log'!$C$2:$C$73=$C718),
    0),
    MATCH($G718,'Putt Log'!$E$1:$V$1,0)
  ),
"")</f>
        <v>2</v>
      </c>
      <c r="P718" t="str" cm="1">
        <f t="array" ref="P718">IF(K718=3,"",
  IFERROR(
    INDEX('Fairway Log'!$E$2:$V$73,
      MATCH(1,
        ('Fairway Log'!$A$2:$A$73=$A718)*
        ('Fairway Log'!$B$2:$B$73=$B718)*
        ('Fairway Log'!$C$2:$C789=$C718),
      0),
      MATCH($G718,'Fairway Log'!$E$1:$V$1,0)
    ),
  "")
)</f>
        <v>→</v>
      </c>
      <c r="Q718" t="str" cm="1">
        <f t="array" ref="Q718">IFERROR(
  INDEX('GIR Log'!$E$2:$V$73,
    MATCH(1,
      ('GIR Log'!$A$2:$A$73=$A718)*
      ('GIR Log'!$B$2:$B$73=$B718)*
      ('GIR Log'!$C$2:$C$73=$C718),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Log'!$E$2:$V$73,
    MATCH(1,
      ('Golf Log'!$A$2:$A$73=$A719)*
      ('Golf Log'!$B$2:$B$73=$B719)*
      ('Golf Log'!$C$2:$C$73=$C719),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Log'!$E$2:$V$73,
    MATCH(1,
      ('Putt Log'!$A$2:$A$73=$A719)*
      ('Putt Log'!$B$2:$B$73=$B719)*
      ('Putt Log'!$C$2:$C$73=$C719),
    0),
    MATCH($G719,'Putt Log'!$E$1:$V$1,0)
  ),
"")</f>
        <v>2</v>
      </c>
      <c r="P719" t="str" cm="1">
        <f t="array" ref="P719">IF(K719=3,"",
  IFERROR(
    INDEX('Fairway Log'!$E$2:$V$73,
      MATCH(1,
        ('Fairway Log'!$A$2:$A$73=$A719)*
        ('Fairway Log'!$B$2:$B$73=$B719)*
        ('Fairway Log'!$C$2:$C790=$C719),
      0),
      MATCH($G719,'Fairway Log'!$E$1:$V$1,0)
    ),
  "")
)</f>
        <v/>
      </c>
      <c r="Q719" t="str" cm="1">
        <f t="array" ref="Q719">IFERROR(
  INDEX('GIR Log'!$E$2:$V$73,
    MATCH(1,
      ('GIR Log'!$A$2:$A$73=$A719)*
      ('GIR Log'!$B$2:$B$73=$B719)*
      ('GIR Log'!$C$2:$C$73=$C719),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Log'!$E$2:$V$73,
    MATCH(1,
      ('Golf Log'!$A$2:$A$73=$A720)*
      ('Golf Log'!$B$2:$B$73=$B720)*
      ('Golf Log'!$C$2:$C$73=$C720),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Log'!$E$2:$V$73,
    MATCH(1,
      ('Putt Log'!$A$2:$A$73=$A720)*
      ('Putt Log'!$B$2:$B$73=$B720)*
      ('Putt Log'!$C$2:$C$73=$C720),
    0),
    MATCH($G720,'Putt Log'!$E$1:$V$1,0)
  ),
"")</f>
        <v>3</v>
      </c>
      <c r="P720" cm="1">
        <f t="array" ref="P720">IF(K720=3,"",
  IFERROR(
    INDEX('Fairway Log'!$E$2:$V$73,
      MATCH(1,
        ('Fairway Log'!$A$2:$A$73=$A720)*
        ('Fairway Log'!$B$2:$B$73=$B720)*
        ('Fairway Log'!$C$2:$C791=$C720),
      0),
      MATCH($G720,'Fairway Log'!$E$1:$V$1,0)
    ),
  "")
)</f>
        <v>1</v>
      </c>
      <c r="Q720" t="str" cm="1">
        <f t="array" ref="Q720">IFERROR(
  INDEX('GIR Log'!$E$2:$V$73,
    MATCH(1,
      ('GIR Log'!$A$2:$A$73=$A720)*
      ('GIR Log'!$B$2:$B$73=$B720)*
      ('GIR Log'!$C$2:$C$73=$C720),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Log'!$E$2:$V$73,
    MATCH(1,
      ('Golf Log'!$A$2:$A$73=$A721)*
      ('Golf Log'!$B$2:$B$73=$B721)*
      ('Golf Log'!$C$2:$C$73=$C721),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Log'!$E$2:$V$73,
    MATCH(1,
      ('Putt Log'!$A$2:$A$73=$A721)*
      ('Putt Log'!$B$2:$B$73=$B721)*
      ('Putt Log'!$C$2:$C$73=$C721),
    0),
    MATCH($G721,'Putt Log'!$E$1:$V$1,0)
  ),
"")</f>
        <v>2</v>
      </c>
      <c r="P721" t="str" cm="1">
        <f t="array" ref="P721">IF(K721=3,"",
  IFERROR(
    INDEX('Fairway Log'!$E$2:$V$73,
      MATCH(1,
        ('Fairway Log'!$A$2:$A$73=$A721)*
        ('Fairway Log'!$B$2:$B$73=$B721)*
        ('Fairway Log'!$C$2:$C792=$C721),
      0),
      MATCH($G721,'Fairway Log'!$E$1:$V$1,0)
    ),
  "")
)</f>
        <v>→</v>
      </c>
      <c r="Q721" t="str" cm="1">
        <f t="array" ref="Q721">IFERROR(
  INDEX('GIR Log'!$E$2:$V$73,
    MATCH(1,
      ('GIR Log'!$A$2:$A$73=$A721)*
      ('GIR Log'!$B$2:$B$73=$B721)*
      ('GIR Log'!$C$2:$C$73=$C721),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Log'!$E$2:$V$73,
    MATCH(1,
      ('Golf Log'!$A$2:$A$73=$A722)*
      ('Golf Log'!$B$2:$B$73=$B722)*
      ('Golf Log'!$C$2:$C$73=$C722),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Log'!$E$2:$V$73,
    MATCH(1,
      ('Putt Log'!$A$2:$A$73=$A722)*
      ('Putt Log'!$B$2:$B$73=$B722)*
      ('Putt Log'!$C$2:$C$73=$C722),
    0),
    MATCH($G722,'Putt Log'!$E$1:$V$1,0)
  ),
"")</f>
        <v>2</v>
      </c>
      <c r="P722" cm="1">
        <f t="array" ref="P722">IF(K722=3,"",
  IFERROR(
    INDEX('Fairway Log'!$E$2:$V$73,
      MATCH(1,
        ('Fairway Log'!$A$2:$A$73=$A722)*
        ('Fairway Log'!$B$2:$B$73=$B722)*
        ('Fairway Log'!$C$2:$C793=$C722),
      0),
      MATCH($G722,'Fairway Log'!$E$1:$V$1,0)
    ),
  "")
)</f>
        <v>1</v>
      </c>
      <c r="Q722" t="str" cm="1">
        <f t="array" ref="Q722">IFERROR(
  INDEX('GIR Log'!$E$2:$V$73,
    MATCH(1,
      ('GIR Log'!$A$2:$A$73=$A722)*
      ('GIR Log'!$B$2:$B$73=$B722)*
      ('GIR Log'!$C$2:$C$73=$C722),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Log'!$E$2:$V$73,
    MATCH(1,
      ('Golf Log'!$A$2:$A$73=$A723)*
      ('Golf Log'!$B$2:$B$73=$B723)*
      ('Golf Log'!$C$2:$C$73=$C723),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Log'!$E$2:$V$73,
    MATCH(1,
      ('Putt Log'!$A$2:$A$73=$A723)*
      ('Putt Log'!$B$2:$B$73=$B723)*
      ('Putt Log'!$C$2:$C$73=$C723),
    0),
    MATCH($G723,'Putt Log'!$E$1:$V$1,0)
  ),
"")</f>
        <v>1</v>
      </c>
      <c r="P723" t="str" cm="1">
        <f t="array" ref="P723">IF(K723=3,"",
  IFERROR(
    INDEX('Fairway Log'!$E$2:$V$73,
      MATCH(1,
        ('Fairway Log'!$A$2:$A$73=$A723)*
        ('Fairway Log'!$B$2:$B$73=$B723)*
        ('Fairway Log'!$C$2:$C794=$C723),
      0),
      MATCH($G723,'Fairway Log'!$E$1:$V$1,0)
    ),
  "")
)</f>
        <v>↓</v>
      </c>
      <c r="Q723" t="str" cm="1">
        <f t="array" ref="Q723">IFERROR(
  INDEX('GIR Log'!$E$2:$V$73,
    MATCH(1,
      ('GIR Log'!$A$2:$A$73=$A723)*
      ('GIR Log'!$B$2:$B$73=$B723)*
      ('GIR Log'!$C$2:$C$73=$C723),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Log'!$E$2:$V$73,
    MATCH(1,
      ('Golf Log'!$A$2:$A$73=$A724)*
      ('Golf Log'!$B$2:$B$73=$B724)*
      ('Golf Log'!$C$2:$C$73=$C724),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Log'!$E$2:$V$73,
    MATCH(1,
      ('Putt Log'!$A$2:$A$73=$A724)*
      ('Putt Log'!$B$2:$B$73=$B724)*
      ('Putt Log'!$C$2:$C$73=$C724),
    0),
    MATCH($G724,'Putt Log'!$E$1:$V$1,0)
  ),
"")</f>
        <v>2</v>
      </c>
      <c r="P724" t="str" cm="1">
        <f t="array" ref="P724">IF(K724=3,"",
  IFERROR(
    INDEX('Fairway Log'!$E$2:$V$73,
      MATCH(1,
        ('Fairway Log'!$A$2:$A$73=$A724)*
        ('Fairway Log'!$B$2:$B$73=$B724)*
        ('Fairway Log'!$C$2:$C795=$C724),
      0),
      MATCH($G724,'Fairway Log'!$E$1:$V$1,0)
    ),
  "")
)</f>
        <v/>
      </c>
      <c r="Q724" t="str" cm="1">
        <f t="array" ref="Q724">IFERROR(
  INDEX('GIR Log'!$E$2:$V$73,
    MATCH(1,
      ('GIR Log'!$A$2:$A$73=$A724)*
      ('GIR Log'!$B$2:$B$73=$B724)*
      ('GIR Log'!$C$2:$C$73=$C724),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Log'!$E$2:$V$73,
    MATCH(1,
      ('Golf Log'!$A$2:$A$73=$A725)*
      ('Golf Log'!$B$2:$B$73=$B725)*
      ('Golf Log'!$C$2:$C$73=$C725),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Log'!$E$2:$V$73,
    MATCH(1,
      ('Putt Log'!$A$2:$A$73=$A725)*
      ('Putt Log'!$B$2:$B$73=$B725)*
      ('Putt Log'!$C$2:$C$73=$C725),
    0),
    MATCH($G725,'Putt Log'!$E$1:$V$1,0)
  ),
"")</f>
        <v>2</v>
      </c>
      <c r="P725" t="str" cm="1">
        <f t="array" ref="P725">IF(K725=3,"",
  IFERROR(
    INDEX('Fairway Log'!$E$2:$V$73,
      MATCH(1,
        ('Fairway Log'!$A$2:$A$73=$A725)*
        ('Fairway Log'!$B$2:$B$73=$B725)*
        ('Fairway Log'!$C$2:$C796=$C725),
      0),
      MATCH($G725,'Fairway Log'!$E$1:$V$1,0)
    ),
  "")
)</f>
        <v>→</v>
      </c>
      <c r="Q725" t="str" cm="1">
        <f t="array" ref="Q725">IFERROR(
  INDEX('GIR Log'!$E$2:$V$73,
    MATCH(1,
      ('GIR Log'!$A$2:$A$73=$A725)*
      ('GIR Log'!$B$2:$B$73=$B725)*
      ('GIR Log'!$C$2:$C$73=$C725),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Log'!$E$2:$V$73,
    MATCH(1,
      ('Golf Log'!$A$2:$A$73=$A726)*
      ('Golf Log'!$B$2:$B$73=$B726)*
      ('Golf Log'!$C$2:$C$73=$C726),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Log'!$E$2:$V$73,
    MATCH(1,
      ('Putt Log'!$A$2:$A$73=$A726)*
      ('Putt Log'!$B$2:$B$73=$B726)*
      ('Putt Log'!$C$2:$C$73=$C726),
    0),
    MATCH($G726,'Putt Log'!$E$1:$V$1,0)
  ),
"")</f>
        <v>2</v>
      </c>
      <c r="P726" t="str" cm="1">
        <f t="array" ref="P726">IF(K726=3,"",
  IFERROR(
    INDEX('Fairway Log'!$E$2:$V$73,
      MATCH(1,
        ('Fairway Log'!$A$2:$A$73=$A726)*
        ('Fairway Log'!$B$2:$B$73=$B726)*
        ('Fairway Log'!$C$2:$C797=$C726),
      0),
      MATCH($G726,'Fairway Log'!$E$1:$V$1,0)
    ),
  "")
)</f>
        <v>↓</v>
      </c>
      <c r="Q726" t="str" cm="1">
        <f t="array" ref="Q726">IFERROR(
  INDEX('GIR Log'!$E$2:$V$73,
    MATCH(1,
      ('GIR Log'!$A$2:$A$73=$A726)*
      ('GIR Log'!$B$2:$B$73=$B726)*
      ('GIR Log'!$C$2:$C$73=$C726),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Log'!$E$2:$V$73,
    MATCH(1,
      ('Golf Log'!$A$2:$A$73=$A727)*
      ('Golf Log'!$B$2:$B$73=$B727)*
      ('Golf Log'!$C$2:$C$73=$C727),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Log'!$E$2:$V$73,
    MATCH(1,
      ('Putt Log'!$A$2:$A$73=$A727)*
      ('Putt Log'!$B$2:$B$73=$B727)*
      ('Putt Log'!$C$2:$C$73=$C727),
    0),
    MATCH($G727,'Putt Log'!$E$1:$V$1,0)
  ),
"")</f>
        <v>2</v>
      </c>
      <c r="P727" t="str" cm="1">
        <f t="array" ref="P727">IF(K727=3,"",
  IFERROR(
    INDEX('Fairway Log'!$E$2:$V$73,
      MATCH(1,
        ('Fairway Log'!$A$2:$A$73=$A727)*
        ('Fairway Log'!$B$2:$B$73=$B727)*
        ('Fairway Log'!$C$2:$C798=$C727),
      0),
      MATCH($G727,'Fairway Log'!$E$1:$V$1,0)
    ),
  "")
)</f>
        <v/>
      </c>
      <c r="Q727" cm="1">
        <f t="array" ref="Q727">IFERROR(
  INDEX('GIR Log'!$E$2:$V$73,
    MATCH(1,
      ('GIR Log'!$A$2:$A$73=$A727)*
      ('GIR Log'!$B$2:$B$73=$B727)*
      ('GIR Log'!$C$2:$C$73=$C727),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Log'!$E$2:$V$73,
    MATCH(1,
      ('Golf Log'!$A$2:$A$73=$A728)*
      ('Golf Log'!$B$2:$B$73=$B728)*
      ('Golf Log'!$C$2:$C$73=$C728),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Log'!$E$2:$V$73,
    MATCH(1,
      ('Putt Log'!$A$2:$A$73=$A728)*
      ('Putt Log'!$B$2:$B$73=$B728)*
      ('Putt Log'!$C$2:$C$73=$C728),
    0),
    MATCH($G728,'Putt Log'!$E$1:$V$1,0)
  ),
"")</f>
        <v>2</v>
      </c>
      <c r="P728" t="str" cm="1">
        <f t="array" ref="P728">IF(K728=3,"",
  IFERROR(
    INDEX('Fairway Log'!$E$2:$V$73,
      MATCH(1,
        ('Fairway Log'!$A$2:$A$73=$A728)*
        ('Fairway Log'!$B$2:$B$73=$B728)*
        ('Fairway Log'!$C$2:$C799=$C728),
      0),
      MATCH($G728,'Fairway Log'!$E$1:$V$1,0)
    ),
  "")
)</f>
        <v>→</v>
      </c>
      <c r="Q728" cm="1">
        <f t="array" ref="Q728">IFERROR(
  INDEX('GIR Log'!$E$2:$V$73,
    MATCH(1,
      ('GIR Log'!$A$2:$A$73=$A728)*
      ('GIR Log'!$B$2:$B$73=$B728)*
      ('GIR Log'!$C$2:$C$73=$C728),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Log'!$E$2:$V$73,
    MATCH(1,
      ('Golf Log'!$A$2:$A$73=$A729)*
      ('Golf Log'!$B$2:$B$73=$B729)*
      ('Golf Log'!$C$2:$C$73=$C729),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Log'!$E$2:$V$73,
    MATCH(1,
      ('Putt Log'!$A$2:$A$73=$A729)*
      ('Putt Log'!$B$2:$B$73=$B729)*
      ('Putt Log'!$C$2:$C$73=$C729),
    0),
    MATCH($G729,'Putt Log'!$E$1:$V$1,0)
  ),
"")</f>
        <v>1</v>
      </c>
      <c r="P729" t="str" cm="1">
        <f t="array" ref="P729">IF(K729=3,"",
  IFERROR(
    INDEX('Fairway Log'!$E$2:$V$73,
      MATCH(1,
        ('Fairway Log'!$A$2:$A$73=$A729)*
        ('Fairway Log'!$B$2:$B$73=$B729)*
        ('Fairway Log'!$C$2:$C800=$C729),
      0),
      MATCH($G729,'Fairway Log'!$E$1:$V$1,0)
    ),
  "")
)</f>
        <v>→</v>
      </c>
      <c r="Q729" t="str" cm="1">
        <f t="array" ref="Q729">IFERROR(
  INDEX('GIR Log'!$E$2:$V$73,
    MATCH(1,
      ('GIR Log'!$A$2:$A$73=$A729)*
      ('GIR Log'!$B$2:$B$73=$B729)*
      ('GIR Log'!$C$2:$C$73=$C729),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Log'!$E$2:$V$73,
    MATCH(1,
      ('Golf Log'!$A$2:$A$73=$A730)*
      ('Golf Log'!$B$2:$B$73=$B730)*
      ('Golf Log'!$C$2:$C$73=$C730),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Log'!$E$2:$V$73,
    MATCH(1,
      ('Putt Log'!$A$2:$A$73=$A730)*
      ('Putt Log'!$B$2:$B$73=$B730)*
      ('Putt Log'!$C$2:$C$73=$C730),
    0),
    MATCH($G730,'Putt Log'!$E$1:$V$1,0)
  ),
"")</f>
        <v>2</v>
      </c>
      <c r="P730" t="str" cm="1">
        <f t="array" ref="P730">IF(K730=3,"",
  IFERROR(
    INDEX('Fairway Log'!$E$2:$V$73,
      MATCH(1,
        ('Fairway Log'!$A$2:$A$73=$A730)*
        ('Fairway Log'!$B$2:$B$73=$B730)*
        ('Fairway Log'!$C$2:$C801=$C730),
      0),
      MATCH($G730,'Fairway Log'!$E$1:$V$1,0)
    ),
  "")
)</f>
        <v>→</v>
      </c>
      <c r="Q730" cm="1">
        <f t="array" ref="Q730">IFERROR(
  INDEX('GIR Log'!$E$2:$V$73,
    MATCH(1,
      ('GIR Log'!$A$2:$A$73=$A730)*
      ('GIR Log'!$B$2:$B$73=$B730)*
      ('GIR Log'!$C$2:$C$73=$C730),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Log'!$E$2:$V$73,
    MATCH(1,
      ('Golf Log'!$A$2:$A$73=$A731)*
      ('Golf Log'!$B$2:$B$73=$B731)*
      ('Golf Log'!$C$2:$C$73=$C731),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Log'!$E$2:$V$73,
    MATCH(1,
      ('Putt Log'!$A$2:$A$73=$A731)*
      ('Putt Log'!$B$2:$B$73=$B731)*
      ('Putt Log'!$C$2:$C$73=$C731),
    0),
    MATCH($G731,'Putt Log'!$E$1:$V$1,0)
  ),
"")</f>
        <v>2</v>
      </c>
      <c r="P731" cm="1">
        <f t="array" ref="P731">IF(K731=3,"",
  IFERROR(
    INDEX('Fairway Log'!$E$2:$V$73,
      MATCH(1,
        ('Fairway Log'!$A$2:$A$73=$A731)*
        ('Fairway Log'!$B$2:$B$73=$B731)*
        ('Fairway Log'!$C$2:$C802=$C731),
      0),
      MATCH($G731,'Fairway Log'!$E$1:$V$1,0)
    ),
  "")
)</f>
        <v>1</v>
      </c>
      <c r="Q731" t="str" cm="1">
        <f t="array" ref="Q731">IFERROR(
  INDEX('GIR Log'!$E$2:$V$73,
    MATCH(1,
      ('GIR Log'!$A$2:$A$73=$A731)*
      ('GIR Log'!$B$2:$B$73=$B731)*
      ('GIR Log'!$C$2:$C$73=$C731),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Log'!$E$2:$V$73,
    MATCH(1,
      ('Golf Log'!$A$2:$A$73=$A732)*
      ('Golf Log'!$B$2:$B$73=$B732)*
      ('Golf Log'!$C$2:$C$73=$C732),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Log'!$E$2:$V$73,
    MATCH(1,
      ('Putt Log'!$A$2:$A$73=$A732)*
      ('Putt Log'!$B$2:$B$73=$B732)*
      ('Putt Log'!$C$2:$C$73=$C732),
    0),
    MATCH($G732,'Putt Log'!$E$1:$V$1,0)
  ),
"")</f>
        <v>1</v>
      </c>
      <c r="P732" t="str" cm="1">
        <f t="array" ref="P732">IF(K732=3,"",
  IFERROR(
    INDEX('Fairway Log'!$E$2:$V$73,
      MATCH(1,
        ('Fairway Log'!$A$2:$A$73=$A732)*
        ('Fairway Log'!$B$2:$B$73=$B732)*
        ('Fairway Log'!$C$2:$C803=$C732),
      0),
      MATCH($G732,'Fairway Log'!$E$1:$V$1,0)
    ),
  "")
)</f>
        <v>→</v>
      </c>
      <c r="Q732" t="str" cm="1">
        <f t="array" ref="Q732">IFERROR(
  INDEX('GIR Log'!$E$2:$V$73,
    MATCH(1,
      ('GIR Log'!$A$2:$A$73=$A732)*
      ('GIR Log'!$B$2:$B$73=$B732)*
      ('GIR Log'!$C$2:$C$73=$C732),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Log'!$E$2:$V$73,
    MATCH(1,
      ('Golf Log'!$A$2:$A$73=$A733)*
      ('Golf Log'!$B$2:$B$73=$B733)*
      ('Golf Log'!$C$2:$C$73=$C733),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Log'!$E$2:$V$73,
    MATCH(1,
      ('Putt Log'!$A$2:$A$73=$A733)*
      ('Putt Log'!$B$2:$B$73=$B733)*
      ('Putt Log'!$C$2:$C$73=$C733),
    0),
    MATCH($G733,'Putt Log'!$E$1:$V$1,0)
  ),
"")</f>
        <v>2</v>
      </c>
      <c r="P733" t="str" cm="1">
        <f t="array" ref="P733">IF(K733=3,"",
  IFERROR(
    INDEX('Fairway Log'!$E$2:$V$73,
      MATCH(1,
        ('Fairway Log'!$A$2:$A$73=$A733)*
        ('Fairway Log'!$B$2:$B$73=$B733)*
        ('Fairway Log'!$C$2:$C804=$C733),
      0),
      MATCH($G733,'Fairway Log'!$E$1:$V$1,0)
    ),
  "")
)</f>
        <v>→</v>
      </c>
      <c r="Q733" t="str" cm="1">
        <f t="array" ref="Q733">IFERROR(
  INDEX('GIR Log'!$E$2:$V$73,
    MATCH(1,
      ('GIR Log'!$A$2:$A$73=$A733)*
      ('GIR Log'!$B$2:$B$73=$B733)*
      ('GIR Log'!$C$2:$C$73=$C733),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Log'!$E$2:$V$73,
    MATCH(1,
      ('Golf Log'!$A$2:$A$73=$A734)*
      ('Golf Log'!$B$2:$B$73=$B734)*
      ('Golf Log'!$C$2:$C$73=$C734),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Log'!$E$2:$V$73,
    MATCH(1,
      ('Putt Log'!$A$2:$A$73=$A734)*
      ('Putt Log'!$B$2:$B$73=$B734)*
      ('Putt Log'!$C$2:$C$73=$C734),
    0),
    MATCH($G734,'Putt Log'!$E$1:$V$1,0)
  ),
"")</f>
        <v>2</v>
      </c>
      <c r="P734" t="str" cm="1">
        <f t="array" ref="P734">IF(K734=3,"",
  IFERROR(
    INDEX('Fairway Log'!$E$2:$V$73,
      MATCH(1,
        ('Fairway Log'!$A$2:$A$73=$A734)*
        ('Fairway Log'!$B$2:$B$73=$B734)*
        ('Fairway Log'!$C$2:$C805=$C734),
      0),
      MATCH($G734,'Fairway Log'!$E$1:$V$1,0)
    ),
  "")
)</f>
        <v/>
      </c>
      <c r="Q734" t="str" cm="1">
        <f t="array" ref="Q734">IFERROR(
  INDEX('GIR Log'!$E$2:$V$73,
    MATCH(1,
      ('GIR Log'!$A$2:$A$73=$A734)*
      ('GIR Log'!$B$2:$B$73=$B734)*
      ('GIR Log'!$C$2:$C$73=$C734),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Log'!$E$2:$V$73,
    MATCH(1,
      ('Golf Log'!$A$2:$A$73=$A735)*
      ('Golf Log'!$B$2:$B$73=$B735)*
      ('Golf Log'!$C$2:$C$73=$C735),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Log'!$E$2:$V$73,
    MATCH(1,
      ('Putt Log'!$A$2:$A$73=$A735)*
      ('Putt Log'!$B$2:$B$73=$B735)*
      ('Putt Log'!$C$2:$C$73=$C735),
    0),
    MATCH($G735,'Putt Log'!$E$1:$V$1,0)
  ),
"")</f>
        <v>1</v>
      </c>
      <c r="P735" t="str" cm="1">
        <f t="array" ref="P735">IF(K735=3,"",
  IFERROR(
    INDEX('Fairway Log'!$E$2:$V$73,
      MATCH(1,
        ('Fairway Log'!$A$2:$A$73=$A735)*
        ('Fairway Log'!$B$2:$B$73=$B735)*
        ('Fairway Log'!$C$2:$C806=$C735),
      0),
      MATCH($G735,'Fairway Log'!$E$1:$V$1,0)
    ),
  "")
)</f>
        <v>←</v>
      </c>
      <c r="Q735" t="str" cm="1">
        <f t="array" ref="Q735">IFERROR(
  INDEX('GIR Log'!$E$2:$V$73,
    MATCH(1,
      ('GIR Log'!$A$2:$A$73=$A735)*
      ('GIR Log'!$B$2:$B$73=$B735)*
      ('GIR Log'!$C$2:$C$73=$C735),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Log'!$E$2:$V$73,
    MATCH(1,
      ('Golf Log'!$A$2:$A$73=$A736)*
      ('Golf Log'!$B$2:$B$73=$B736)*
      ('Golf Log'!$C$2:$C$73=$C736),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Log'!$E$2:$V$73,
    MATCH(1,
      ('Putt Log'!$A$2:$A$73=$A736)*
      ('Putt Log'!$B$2:$B$73=$B736)*
      ('Putt Log'!$C$2:$C$73=$C736),
    0),
    MATCH($G736,'Putt Log'!$E$1:$V$1,0)
  ),
"")</f>
        <v>2</v>
      </c>
      <c r="P736" t="str" cm="1">
        <f t="array" ref="P736">IF(K736=3,"",
  IFERROR(
    INDEX('Fairway Log'!$E$2:$V$73,
      MATCH(1,
        ('Fairway Log'!$A$2:$A$73=$A736)*
        ('Fairway Log'!$B$2:$B$73=$B736)*
        ('Fairway Log'!$C$2:$C807=$C736),
      0),
      MATCH($G736,'Fairway Log'!$E$1:$V$1,0)
    ),
  "")
)</f>
        <v>→</v>
      </c>
      <c r="Q736" cm="1">
        <f t="array" ref="Q736">IFERROR(
  INDEX('GIR Log'!$E$2:$V$73,
    MATCH(1,
      ('GIR Log'!$A$2:$A$73=$A736)*
      ('GIR Log'!$B$2:$B$73=$B736)*
      ('GIR Log'!$C$2:$C$73=$C736),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Log'!$E$2:$V$73,
    MATCH(1,
      ('Golf Log'!$A$2:$A$73=$A737)*
      ('Golf Log'!$B$2:$B$73=$B737)*
      ('Golf Log'!$C$2:$C$73=$C737),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Log'!$E$2:$V$73,
    MATCH(1,
      ('Putt Log'!$A$2:$A$73=$A737)*
      ('Putt Log'!$B$2:$B$73=$B737)*
      ('Putt Log'!$C$2:$C$73=$C737),
    0),
    MATCH($G737,'Putt Log'!$E$1:$V$1,0)
  ),
"")</f>
        <v>1</v>
      </c>
      <c r="P737" t="str" cm="1">
        <f t="array" ref="P737">IF(K737=3,"",
  IFERROR(
    INDEX('Fairway Log'!$E$2:$V$73,
      MATCH(1,
        ('Fairway Log'!$A$2:$A$73=$A737)*
        ('Fairway Log'!$B$2:$B$73=$B737)*
        ('Fairway Log'!$C$2:$C808=$C737),
      0),
      MATCH($G737,'Fairway Log'!$E$1:$V$1,0)
    ),
  "")
)</f>
        <v/>
      </c>
      <c r="Q737" t="str" cm="1">
        <f t="array" ref="Q737">IFERROR(
  INDEX('GIR Log'!$E$2:$V$73,
    MATCH(1,
      ('GIR Log'!$A$2:$A$73=$A737)*
      ('GIR Log'!$B$2:$B$73=$B737)*
      ('GIR Log'!$C$2:$C$73=$C737),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Log'!$E$2:$V$73,
    MATCH(1,
      ('Golf Log'!$A$2:$A$73=$A738)*
      ('Golf Log'!$B$2:$B$73=$B738)*
      ('Golf Log'!$C$2:$C$73=$C738),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Log'!$E$2:$V$73,
    MATCH(1,
      ('Putt Log'!$A$2:$A$73=$A738)*
      ('Putt Log'!$B$2:$B$73=$B738)*
      ('Putt Log'!$C$2:$C$73=$C738),
    0),
    MATCH($G738,'Putt Log'!$E$1:$V$1,0)
  ),
"")</f>
        <v>2</v>
      </c>
      <c r="P738" t="str" cm="1">
        <f t="array" ref="P738">IF(K738=3,"",
  IFERROR(
    INDEX('Fairway Log'!$E$2:$V$73,
      MATCH(1,
        ('Fairway Log'!$A$2:$A$73=$A738)*
        ('Fairway Log'!$B$2:$B$73=$B738)*
        ('Fairway Log'!$C$2:$C809=$C738),
      0),
      MATCH($G738,'Fairway Log'!$E$1:$V$1,0)
    ),
  "")
)</f>
        <v>→</v>
      </c>
      <c r="Q738" t="str" cm="1">
        <f t="array" ref="Q738">IFERROR(
  INDEX('GIR Log'!$E$2:$V$73,
    MATCH(1,
      ('GIR Log'!$A$2:$A$73=$A738)*
      ('GIR Log'!$B$2:$B$73=$B738)*
      ('GIR Log'!$C$2:$C$73=$C738),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Log'!$E$2:$V$73,
    MATCH(1,
      ('Golf Log'!$A$2:$A$73=$A739)*
      ('Golf Log'!$B$2:$B$73=$B739)*
      ('Golf Log'!$C$2:$C$73=$C739),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Log'!$E$2:$V$73,
    MATCH(1,
      ('Putt Log'!$A$2:$A$73=$A739)*
      ('Putt Log'!$B$2:$B$73=$B739)*
      ('Putt Log'!$C$2:$C$73=$C739),
    0),
    MATCH($G739,'Putt Log'!$E$1:$V$1,0)
  ),
"")</f>
        <v>2</v>
      </c>
      <c r="P739" cm="1">
        <f t="array" ref="P739">IF(K739=3,"",
  IFERROR(
    INDEX('Fairway Log'!$E$2:$V$73,
      MATCH(1,
        ('Fairway Log'!$A$2:$A$73=$A739)*
        ('Fairway Log'!$B$2:$B$73=$B739)*
        ('Fairway Log'!$C$2:$C810=$C739),
      0),
      MATCH($G739,'Fairway Log'!$E$1:$V$1,0)
    ),
  "")
)</f>
        <v>1</v>
      </c>
      <c r="Q739" cm="1">
        <f t="array" ref="Q739">IFERROR(
  INDEX('GIR Log'!$E$2:$V$73,
    MATCH(1,
      ('GIR Log'!$A$2:$A$73=$A739)*
      ('GIR Log'!$B$2:$B$73=$B739)*
      ('GIR Log'!$C$2:$C$73=$C739),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Log'!$E$2:$V$73,
    MATCH(1,
      ('Golf Log'!$A$2:$A$73=$A740)*
      ('Golf Log'!$B$2:$B$73=$B740)*
      ('Golf Log'!$C$2:$C$73=$C740),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Log'!$E$2:$V$73,
    MATCH(1,
      ('Putt Log'!$A$2:$A$73=$A740)*
      ('Putt Log'!$B$2:$B$73=$B740)*
      ('Putt Log'!$C$2:$C$73=$C740),
    0),
    MATCH($G740,'Putt Log'!$E$1:$V$1,0)
  ),
"")</f>
        <v>2</v>
      </c>
      <c r="P740" cm="1">
        <f t="array" ref="P740">IF(K740=3,"",
  IFERROR(
    INDEX('Fairway Log'!$E$2:$V$73,
      MATCH(1,
        ('Fairway Log'!$A$2:$A$73=$A740)*
        ('Fairway Log'!$B$2:$B$73=$B740)*
        ('Fairway Log'!$C$2:$C811=$C740),
      0),
      MATCH($G740,'Fairway Log'!$E$1:$V$1,0)
    ),
  "")
)</f>
        <v>1</v>
      </c>
      <c r="Q740" t="str" cm="1">
        <f t="array" ref="Q740">IFERROR(
  INDEX('GIR Log'!$E$2:$V$73,
    MATCH(1,
      ('GIR Log'!$A$2:$A$73=$A740)*
      ('GIR Log'!$B$2:$B$73=$B740)*
      ('GIR Log'!$C$2:$C$73=$C740),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Log'!$E$2:$V$73,
    MATCH(1,
      ('Golf Log'!$A$2:$A$73=$A741)*
      ('Golf Log'!$B$2:$B$73=$B741)*
      ('Golf Log'!$C$2:$C$73=$C741),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Log'!$E$2:$V$73,
    MATCH(1,
      ('Putt Log'!$A$2:$A$73=$A741)*
      ('Putt Log'!$B$2:$B$73=$B741)*
      ('Putt Log'!$C$2:$C$73=$C741),
    0),
    MATCH($G741,'Putt Log'!$E$1:$V$1,0)
  ),
"")</f>
        <v>1</v>
      </c>
      <c r="P741" t="str" cm="1">
        <f t="array" ref="P741">IF(K741=3,"",
  IFERROR(
    INDEX('Fairway Log'!$E$2:$V$73,
      MATCH(1,
        ('Fairway Log'!$A$2:$A$73=$A741)*
        ('Fairway Log'!$B$2:$B$73=$B741)*
        ('Fairway Log'!$C$2:$C812=$C741),
      0),
      MATCH($G741,'Fairway Log'!$E$1:$V$1,0)
    ),
  "")
)</f>
        <v/>
      </c>
      <c r="Q741" t="str" cm="1">
        <f t="array" ref="Q741">IFERROR(
  INDEX('GIR Log'!$E$2:$V$73,
    MATCH(1,
      ('GIR Log'!$A$2:$A$73=$A741)*
      ('GIR Log'!$B$2:$B$73=$B741)*
      ('GIR Log'!$C$2:$C$73=$C741),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Log'!$E$2:$V$73,
    MATCH(1,
      ('Golf Log'!$A$2:$A$73=$A742)*
      ('Golf Log'!$B$2:$B$73=$B742)*
      ('Golf Log'!$C$2:$C$73=$C742),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Log'!$E$2:$V$73,
    MATCH(1,
      ('Putt Log'!$A$2:$A$73=$A742)*
      ('Putt Log'!$B$2:$B$73=$B742)*
      ('Putt Log'!$C$2:$C$73=$C742),
    0),
    MATCH($G742,'Putt Log'!$E$1:$V$1,0)
  ),
"")</f>
        <v>3</v>
      </c>
      <c r="P742" t="str" cm="1">
        <f t="array" ref="P742">IF(K742=3,"",
  IFERROR(
    INDEX('Fairway Log'!$E$2:$V$73,
      MATCH(1,
        ('Fairway Log'!$A$2:$A$73=$A742)*
        ('Fairway Log'!$B$2:$B$73=$B742)*
        ('Fairway Log'!$C$2:$C813=$C742),
      0),
      MATCH($G742,'Fairway Log'!$E$1:$V$1,0)
    ),
  "")
)</f>
        <v>→</v>
      </c>
      <c r="Q742" t="str" cm="1">
        <f t="array" ref="Q742">IFERROR(
  INDEX('GIR Log'!$E$2:$V$73,
    MATCH(1,
      ('GIR Log'!$A$2:$A$73=$A742)*
      ('GIR Log'!$B$2:$B$73=$B742)*
      ('GIR Log'!$C$2:$C$73=$C742),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Log'!$E$2:$V$73,
    MATCH(1,
      ('Golf Log'!$A$2:$A$73=$A743)*
      ('Golf Log'!$B$2:$B$73=$B743)*
      ('Golf Log'!$C$2:$C$73=$C743),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Log'!$E$2:$V$73,
    MATCH(1,
      ('Putt Log'!$A$2:$A$73=$A743)*
      ('Putt Log'!$B$2:$B$73=$B743)*
      ('Putt Log'!$C$2:$C$73=$C743),
    0),
    MATCH($G743,'Putt Log'!$E$1:$V$1,0)
  ),
"")</f>
        <v>3</v>
      </c>
      <c r="P743" t="str" cm="1">
        <f t="array" ref="P743">IF(K743=3,"",
  IFERROR(
    INDEX('Fairway Log'!$E$2:$V$73,
      MATCH(1,
        ('Fairway Log'!$A$2:$A$73=$A743)*
        ('Fairway Log'!$B$2:$B$73=$B743)*
        ('Fairway Log'!$C$2:$C814=$C743),
      0),
      MATCH($G743,'Fairway Log'!$E$1:$V$1,0)
    ),
  "")
)</f>
        <v/>
      </c>
      <c r="Q743" t="str" cm="1">
        <f t="array" ref="Q743">IFERROR(
  INDEX('GIR Log'!$E$2:$V$73,
    MATCH(1,
      ('GIR Log'!$A$2:$A$73=$A743)*
      ('GIR Log'!$B$2:$B$73=$B743)*
      ('GIR Log'!$C$2:$C$73=$C743),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Log'!$E$2:$V$73,
    MATCH(1,
      ('Golf Log'!$A$2:$A$73=$A744)*
      ('Golf Log'!$B$2:$B$73=$B744)*
      ('Golf Log'!$C$2:$C$73=$C744),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Log'!$E$2:$V$73,
    MATCH(1,
      ('Putt Log'!$A$2:$A$73=$A744)*
      ('Putt Log'!$B$2:$B$73=$B744)*
      ('Putt Log'!$C$2:$C$73=$C744),
    0),
    MATCH($G744,'Putt Log'!$E$1:$V$1,0)
  ),
"")</f>
        <v>3</v>
      </c>
      <c r="P744" t="str" cm="1">
        <f t="array" ref="P744">IF(K744=3,"",
  IFERROR(
    INDEX('Fairway Log'!$E$2:$V$73,
      MATCH(1,
        ('Fairway Log'!$A$2:$A$73=$A744)*
        ('Fairway Log'!$B$2:$B$73=$B744)*
        ('Fairway Log'!$C$2:$C815=$C744),
      0),
      MATCH($G744,'Fairway Log'!$E$1:$V$1,0)
    ),
  "")
)</f>
        <v>→</v>
      </c>
      <c r="Q744" cm="1">
        <f t="array" ref="Q744">IFERROR(
  INDEX('GIR Log'!$E$2:$V$73,
    MATCH(1,
      ('GIR Log'!$A$2:$A$73=$A744)*
      ('GIR Log'!$B$2:$B$73=$B744)*
      ('GIR Log'!$C$2:$C$73=$C744),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Log'!$E$2:$V$73,
    MATCH(1,
      ('Golf Log'!$A$2:$A$73=$A745)*
      ('Golf Log'!$B$2:$B$73=$B745)*
      ('Golf Log'!$C$2:$C$73=$C745),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Log'!$E$2:$V$73,
    MATCH(1,
      ('Putt Log'!$A$2:$A$73=$A745)*
      ('Putt Log'!$B$2:$B$73=$B745)*
      ('Putt Log'!$C$2:$C$73=$C745),
    0),
    MATCH($G745,'Putt Log'!$E$1:$V$1,0)
  ),
"")</f>
        <v>2</v>
      </c>
      <c r="P745" t="str" cm="1">
        <f t="array" ref="P745">IF(K745=3,"",
  IFERROR(
    INDEX('Fairway Log'!$E$2:$V$73,
      MATCH(1,
        ('Fairway Log'!$A$2:$A$73=$A745)*
        ('Fairway Log'!$B$2:$B$73=$B745)*
        ('Fairway Log'!$C$2:$C816=$C745),
      0),
      MATCH($G745,'Fairway Log'!$E$1:$V$1,0)
    ),
  "")
)</f>
        <v>→</v>
      </c>
      <c r="Q745" t="str" cm="1">
        <f t="array" ref="Q745">IFERROR(
  INDEX('GIR Log'!$E$2:$V$73,
    MATCH(1,
      ('GIR Log'!$A$2:$A$73=$A745)*
      ('GIR Log'!$B$2:$B$73=$B745)*
      ('GIR Log'!$C$2:$C$73=$C745),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Log'!$E$2:$V$73,
    MATCH(1,
      ('Golf Log'!$A$2:$A$73=$A746)*
      ('Golf Log'!$B$2:$B$73=$B746)*
      ('Golf Log'!$C$2:$C$73=$C746),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Log'!$E$2:$V$73,
    MATCH(1,
      ('Putt Log'!$A$2:$A$73=$A746)*
      ('Putt Log'!$B$2:$B$73=$B746)*
      ('Putt Log'!$C$2:$C$73=$C746),
    0),
    MATCH($G746,'Putt Log'!$E$1:$V$1,0)
  ),
"")</f>
        <v>2</v>
      </c>
      <c r="P746" cm="1">
        <f t="array" ref="P746">IF(K746=3,"",
  IFERROR(
    INDEX('Fairway Log'!$E$2:$V$73,
      MATCH(1,
        ('Fairway Log'!$A$2:$A$73=$A746)*
        ('Fairway Log'!$B$2:$B$73=$B746)*
        ('Fairway Log'!$C$2:$C817=$C746),
      0),
      MATCH($G746,'Fairway Log'!$E$1:$V$1,0)
    ),
  "")
)</f>
        <v>1</v>
      </c>
      <c r="Q746" t="str" cm="1">
        <f t="array" ref="Q746">IFERROR(
  INDEX('GIR Log'!$E$2:$V$73,
    MATCH(1,
      ('GIR Log'!$A$2:$A$73=$A746)*
      ('GIR Log'!$B$2:$B$73=$B746)*
      ('GIR Log'!$C$2:$C$73=$C746),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Log'!$E$2:$V$73,
    MATCH(1,
      ('Golf Log'!$A$2:$A$73=$A747)*
      ('Golf Log'!$B$2:$B$73=$B747)*
      ('Golf Log'!$C$2:$C$73=$C747),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Log'!$E$2:$V$73,
    MATCH(1,
      ('Putt Log'!$A$2:$A$73=$A747)*
      ('Putt Log'!$B$2:$B$73=$B747)*
      ('Putt Log'!$C$2:$C$73=$C747),
    0),
    MATCH($G747,'Putt Log'!$E$1:$V$1,0)
  ),
"")</f>
        <v>2</v>
      </c>
      <c r="P747" t="str" cm="1">
        <f t="array" ref="P747">IF(K747=3,"",
  IFERROR(
    INDEX('Fairway Log'!$E$2:$V$73,
      MATCH(1,
        ('Fairway Log'!$A$2:$A$73=$A747)*
        ('Fairway Log'!$B$2:$B$73=$B747)*
        ('Fairway Log'!$C$2:$C818=$C747),
      0),
      MATCH($G747,'Fairway Log'!$E$1:$V$1,0)
    ),
  "")
)</f>
        <v>→</v>
      </c>
      <c r="Q747" t="str" cm="1">
        <f t="array" ref="Q747">IFERROR(
  INDEX('GIR Log'!$E$2:$V$73,
    MATCH(1,
      ('GIR Log'!$A$2:$A$73=$A747)*
      ('GIR Log'!$B$2:$B$73=$B747)*
      ('GIR Log'!$C$2:$C$73=$C747),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Log'!$E$2:$V$73,
    MATCH(1,
      ('Golf Log'!$A$2:$A$73=$A748)*
      ('Golf Log'!$B$2:$B$73=$B748)*
      ('Golf Log'!$C$2:$C$73=$C748),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Log'!$E$2:$V$73,
    MATCH(1,
      ('Putt Log'!$A$2:$A$73=$A748)*
      ('Putt Log'!$B$2:$B$73=$B748)*
      ('Putt Log'!$C$2:$C$73=$C748),
    0),
    MATCH($G748,'Putt Log'!$E$1:$V$1,0)
  ),
"")</f>
        <v>2</v>
      </c>
      <c r="P748" t="str" cm="1">
        <f t="array" ref="P748">IF(K748=3,"",
  IFERROR(
    INDEX('Fairway Log'!$E$2:$V$73,
      MATCH(1,
        ('Fairway Log'!$A$2:$A$73=$A748)*
        ('Fairway Log'!$B$2:$B$73=$B748)*
        ('Fairway Log'!$C$2:$C819=$C748),
      0),
      MATCH($G748,'Fairway Log'!$E$1:$V$1,0)
    ),
  "")
)</f>
        <v>→</v>
      </c>
      <c r="Q748" t="str" cm="1">
        <f t="array" ref="Q748">IFERROR(
  INDEX('GIR Log'!$E$2:$V$73,
    MATCH(1,
      ('GIR Log'!$A$2:$A$73=$A748)*
      ('GIR Log'!$B$2:$B$73=$B748)*
      ('GIR Log'!$C$2:$C$73=$C748),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Log'!$E$2:$V$73,
    MATCH(1,
      ('Golf Log'!$A$2:$A$73=$A749)*
      ('Golf Log'!$B$2:$B$73=$B749)*
      ('Golf Log'!$C$2:$C$73=$C749),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Log'!$E$2:$V$73,
    MATCH(1,
      ('Putt Log'!$A$2:$A$73=$A749)*
      ('Putt Log'!$B$2:$B$73=$B749)*
      ('Putt Log'!$C$2:$C$73=$C749),
    0),
    MATCH($G749,'Putt Log'!$E$1:$V$1,0)
  ),
"")</f>
        <v>3</v>
      </c>
      <c r="P749" t="str" cm="1">
        <f t="array" ref="P749">IF(K749=3,"",
  IFERROR(
    INDEX('Fairway Log'!$E$2:$V$73,
      MATCH(1,
        ('Fairway Log'!$A$2:$A$73=$A749)*
        ('Fairway Log'!$B$2:$B$73=$B749)*
        ('Fairway Log'!$C$2:$C820=$C749),
      0),
      MATCH($G749,'Fairway Log'!$E$1:$V$1,0)
    ),
  "")
)</f>
        <v>→</v>
      </c>
      <c r="Q749" t="str" cm="1">
        <f t="array" ref="Q749">IFERROR(
  INDEX('GIR Log'!$E$2:$V$73,
    MATCH(1,
      ('GIR Log'!$A$2:$A$73=$A749)*
      ('GIR Log'!$B$2:$B$73=$B749)*
      ('GIR Log'!$C$2:$C$73=$C749),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Log'!$E$2:$V$73,
    MATCH(1,
      ('Golf Log'!$A$2:$A$73=$A750)*
      ('Golf Log'!$B$2:$B$73=$B750)*
      ('Golf Log'!$C$2:$C$73=$C750),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Log'!$E$2:$V$73,
    MATCH(1,
      ('Putt Log'!$A$2:$A$73=$A750)*
      ('Putt Log'!$B$2:$B$73=$B750)*
      ('Putt Log'!$C$2:$C$73=$C750),
    0),
    MATCH($G750,'Putt Log'!$E$1:$V$1,0)
  ),
"")</f>
        <v>3</v>
      </c>
      <c r="P750" t="str" cm="1">
        <f t="array" ref="P750">IF(K750=3,"",
  IFERROR(
    INDEX('Fairway Log'!$E$2:$V$73,
      MATCH(1,
        ('Fairway Log'!$A$2:$A$73=$A750)*
        ('Fairway Log'!$B$2:$B$73=$B750)*
        ('Fairway Log'!$C$2:$C821=$C750),
      0),
      MATCH($G750,'Fairway Log'!$E$1:$V$1,0)
    ),
  "")
)</f>
        <v/>
      </c>
      <c r="Q750" t="str" cm="1">
        <f t="array" ref="Q750">IFERROR(
  INDEX('GIR Log'!$E$2:$V$73,
    MATCH(1,
      ('GIR Log'!$A$2:$A$73=$A750)*
      ('GIR Log'!$B$2:$B$73=$B750)*
      ('GIR Log'!$C$2:$C$73=$C750),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Log'!$E$2:$V$73,
    MATCH(1,
      ('Golf Log'!$A$2:$A$73=$A751)*
      ('Golf Log'!$B$2:$B$73=$B751)*
      ('Golf Log'!$C$2:$C$73=$C751),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Log'!$E$2:$V$73,
    MATCH(1,
      ('Putt Log'!$A$2:$A$73=$A751)*
      ('Putt Log'!$B$2:$B$73=$B751)*
      ('Putt Log'!$C$2:$C$73=$C751),
    0),
    MATCH($G751,'Putt Log'!$E$1:$V$1,0)
  ),
"")</f>
        <v>1</v>
      </c>
      <c r="P751" t="str" cm="1">
        <f t="array" ref="P751">IF(K751=3,"",
  IFERROR(
    INDEX('Fairway Log'!$E$2:$V$73,
      MATCH(1,
        ('Fairway Log'!$A$2:$A$73=$A751)*
        ('Fairway Log'!$B$2:$B$73=$B751)*
        ('Fairway Log'!$C$2:$C822=$C751),
      0),
      MATCH($G751,'Fairway Log'!$E$1:$V$1,0)
    ),
  "")
)</f>
        <v>→</v>
      </c>
      <c r="Q751" t="str" cm="1">
        <f t="array" ref="Q751">IFERROR(
  INDEX('GIR Log'!$E$2:$V$73,
    MATCH(1,
      ('GIR Log'!$A$2:$A$73=$A751)*
      ('GIR Log'!$B$2:$B$73=$B751)*
      ('GIR Log'!$C$2:$C$73=$C751),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Log'!$E$2:$V$73,
    MATCH(1,
      ('Golf Log'!$A$2:$A$73=$A752)*
      ('Golf Log'!$B$2:$B$73=$B752)*
      ('Golf Log'!$C$2:$C$73=$C752),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Log'!$E$2:$V$73,
    MATCH(1,
      ('Putt Log'!$A$2:$A$73=$A752)*
      ('Putt Log'!$B$2:$B$73=$B752)*
      ('Putt Log'!$C$2:$C$73=$C752),
    0),
    MATCH($G752,'Putt Log'!$E$1:$V$1,0)
  ),
"")</f>
        <v>2</v>
      </c>
      <c r="P752" t="str" cm="1">
        <f t="array" ref="P752">IF(K752=3,"",
  IFERROR(
    INDEX('Fairway Log'!$E$2:$V$73,
      MATCH(1,
        ('Fairway Log'!$A$2:$A$73=$A752)*
        ('Fairway Log'!$B$2:$B$73=$B752)*
        ('Fairway Log'!$C$2:$C823=$C752),
      0),
      MATCH($G752,'Fairway Log'!$E$1:$V$1,0)
    ),
  "")
)</f>
        <v>→</v>
      </c>
      <c r="Q752" t="str" cm="1">
        <f t="array" ref="Q752">IFERROR(
  INDEX('GIR Log'!$E$2:$V$73,
    MATCH(1,
      ('GIR Log'!$A$2:$A$73=$A752)*
      ('GIR Log'!$B$2:$B$73=$B752)*
      ('GIR Log'!$C$2:$C$73=$C752),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Log'!$E$2:$V$73,
    MATCH(1,
      ('Golf Log'!$A$2:$A$73=$A753)*
      ('Golf Log'!$B$2:$B$73=$B753)*
      ('Golf Log'!$C$2:$C$73=$C753),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Log'!$E$2:$V$73,
    MATCH(1,
      ('Putt Log'!$A$2:$A$73=$A753)*
      ('Putt Log'!$B$2:$B$73=$B753)*
      ('Putt Log'!$C$2:$C$73=$C753),
    0),
    MATCH($G753,'Putt Log'!$E$1:$V$1,0)
  ),
"")</f>
        <v>3</v>
      </c>
      <c r="P753" t="str" cm="1">
        <f t="array" ref="P753">IF(K753=3,"",
  IFERROR(
    INDEX('Fairway Log'!$E$2:$V$73,
      MATCH(1,
        ('Fairway Log'!$A$2:$A$73=$A753)*
        ('Fairway Log'!$B$2:$B$73=$B753)*
        ('Fairway Log'!$C$2:$C824=$C753),
      0),
      MATCH($G753,'Fairway Log'!$E$1:$V$1,0)
    ),
  "")
)</f>
        <v/>
      </c>
      <c r="Q753" cm="1">
        <f t="array" ref="Q753">IFERROR(
  INDEX('GIR Log'!$E$2:$V$73,
    MATCH(1,
      ('GIR Log'!$A$2:$A$73=$A753)*
      ('GIR Log'!$B$2:$B$73=$B753)*
      ('GIR Log'!$C$2:$C$73=$C753),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Log'!$E$2:$V$73,
    MATCH(1,
      ('Golf Log'!$A$2:$A$73=$A754)*
      ('Golf Log'!$B$2:$B$73=$B754)*
      ('Golf Log'!$C$2:$C$73=$C754),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Log'!$E$2:$V$73,
    MATCH(1,
      ('Putt Log'!$A$2:$A$73=$A754)*
      ('Putt Log'!$B$2:$B$73=$B754)*
      ('Putt Log'!$C$2:$C$73=$C754),
    0),
    MATCH($G754,'Putt Log'!$E$1:$V$1,0)
  ),
"")</f>
        <v>2</v>
      </c>
      <c r="P754" t="str" cm="1">
        <f t="array" ref="P754">IF(K754=3,"",
  IFERROR(
    INDEX('Fairway Log'!$E$2:$V$73,
      MATCH(1,
        ('Fairway Log'!$A$2:$A$73=$A754)*
        ('Fairway Log'!$B$2:$B$73=$B754)*
        ('Fairway Log'!$C$2:$C825=$C754),
      0),
      MATCH($G754,'Fairway Log'!$E$1:$V$1,0)
    ),
  "")
)</f>
        <v>↓</v>
      </c>
      <c r="Q754" t="str" cm="1">
        <f t="array" ref="Q754">IFERROR(
  INDEX('GIR Log'!$E$2:$V$73,
    MATCH(1,
      ('GIR Log'!$A$2:$A$73=$A754)*
      ('GIR Log'!$B$2:$B$73=$B754)*
      ('GIR Log'!$C$2:$C$73=$C754),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Log'!$E$2:$V$73,
    MATCH(1,
      ('Golf Log'!$A$2:$A$73=$A755)*
      ('Golf Log'!$B$2:$B$73=$B755)*
      ('Golf Log'!$C$2:$C$73=$C755),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Log'!$E$2:$V$73,
    MATCH(1,
      ('Putt Log'!$A$2:$A$73=$A755)*
      ('Putt Log'!$B$2:$B$73=$B755)*
      ('Putt Log'!$C$2:$C$73=$C755),
    0),
    MATCH($G755,'Putt Log'!$E$1:$V$1,0)
  ),
"")</f>
        <v>3</v>
      </c>
      <c r="P755" t="str" cm="1">
        <f t="array" ref="P755">IF(K755=3,"",
  IFERROR(
    INDEX('Fairway Log'!$E$2:$V$73,
      MATCH(1,
        ('Fairway Log'!$A$2:$A$73=$A755)*
        ('Fairway Log'!$B$2:$B$73=$B755)*
        ('Fairway Log'!$C$2:$C826=$C755),
      0),
      MATCH($G755,'Fairway Log'!$E$1:$V$1,0)
    ),
  "")
)</f>
        <v/>
      </c>
      <c r="Q755" t="str" cm="1">
        <f t="array" ref="Q755">IFERROR(
  INDEX('GIR Log'!$E$2:$V$73,
    MATCH(1,
      ('GIR Log'!$A$2:$A$73=$A755)*
      ('GIR Log'!$B$2:$B$73=$B755)*
      ('GIR Log'!$C$2:$C$73=$C755),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Log'!$E$2:$V$73,
    MATCH(1,
      ('Golf Log'!$A$2:$A$73=$A756)*
      ('Golf Log'!$B$2:$B$73=$B756)*
      ('Golf Log'!$C$2:$C$73=$C756),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Log'!$E$2:$V$73,
    MATCH(1,
      ('Putt Log'!$A$2:$A$73=$A756)*
      ('Putt Log'!$B$2:$B$73=$B756)*
      ('Putt Log'!$C$2:$C$73=$C756),
    0),
    MATCH($G756,'Putt Log'!$E$1:$V$1,0)
  ),
"")</f>
        <v>3</v>
      </c>
      <c r="P756" cm="1">
        <f t="array" ref="P756">IF(K756=3,"",
  IFERROR(
    INDEX('Fairway Log'!$E$2:$V$73,
      MATCH(1,
        ('Fairway Log'!$A$2:$A$73=$A756)*
        ('Fairway Log'!$B$2:$B$73=$B756)*
        ('Fairway Log'!$C$2:$C827=$C756),
      0),
      MATCH($G756,'Fairway Log'!$E$1:$V$1,0)
    ),
  "")
)</f>
        <v>1</v>
      </c>
      <c r="Q756" cm="1">
        <f t="array" ref="Q756">IFERROR(
  INDEX('GIR Log'!$E$2:$V$73,
    MATCH(1,
      ('GIR Log'!$A$2:$A$73=$A756)*
      ('GIR Log'!$B$2:$B$73=$B756)*
      ('GIR Log'!$C$2:$C$73=$C756),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Log'!$E$2:$V$73,
    MATCH(1,
      ('Golf Log'!$A$2:$A$73=$A757)*
      ('Golf Log'!$B$2:$B$73=$B757)*
      ('Golf Log'!$C$2:$C$73=$C757),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Log'!$E$2:$V$73,
    MATCH(1,
      ('Putt Log'!$A$2:$A$73=$A757)*
      ('Putt Log'!$B$2:$B$73=$B757)*
      ('Putt Log'!$C$2:$C$73=$C757),
    0),
    MATCH($G757,'Putt Log'!$E$1:$V$1,0)
  ),
"")</f>
        <v>2</v>
      </c>
      <c r="P757" t="str" cm="1">
        <f t="array" ref="P757">IF(K757=3,"",
  IFERROR(
    INDEX('Fairway Log'!$E$2:$V$73,
      MATCH(1,
        ('Fairway Log'!$A$2:$A$73=$A757)*
        ('Fairway Log'!$B$2:$B$73=$B757)*
        ('Fairway Log'!$C$2:$C828=$C757),
      0),
      MATCH($G757,'Fairway Log'!$E$1:$V$1,0)
    ),
  "")
)</f>
        <v>→</v>
      </c>
      <c r="Q757" t="str" cm="1">
        <f t="array" ref="Q757">IFERROR(
  INDEX('GIR Log'!$E$2:$V$73,
    MATCH(1,
      ('GIR Log'!$A$2:$A$73=$A757)*
      ('GIR Log'!$B$2:$B$73=$B757)*
      ('GIR Log'!$C$2:$C$73=$C757),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Log'!$E$2:$V$73,
    MATCH(1,
      ('Golf Log'!$A$2:$A$73=$A758)*
      ('Golf Log'!$B$2:$B$73=$B758)*
      ('Golf Log'!$C$2:$C$73=$C758),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Log'!$E$2:$V$73,
    MATCH(1,
      ('Putt Log'!$A$2:$A$73=$A758)*
      ('Putt Log'!$B$2:$B$73=$B758)*
      ('Putt Log'!$C$2:$C$73=$C758),
    0),
    MATCH($G758,'Putt Log'!$E$1:$V$1,0)
  ),
"")</f>
        <v>3</v>
      </c>
      <c r="P758" cm="1">
        <f t="array" ref="P758">IF(K758=3,"",
  IFERROR(
    INDEX('Fairway Log'!$E$2:$V$73,
      MATCH(1,
        ('Fairway Log'!$A$2:$A$73=$A758)*
        ('Fairway Log'!$B$2:$B$73=$B758)*
        ('Fairway Log'!$C$2:$C829=$C758),
      0),
      MATCH($G758,'Fairway Log'!$E$1:$V$1,0)
    ),
  "")
)</f>
        <v>0</v>
      </c>
      <c r="Q758" cm="1">
        <f t="array" ref="Q758">IFERROR(
  INDEX('GIR Log'!$E$2:$V$73,
    MATCH(1,
      ('GIR Log'!$A$2:$A$73=$A758)*
      ('GIR Log'!$B$2:$B$73=$B758)*
      ('GIR Log'!$C$2:$C$73=$C758),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Log'!$E$2:$V$73,
    MATCH(1,
      ('Golf Log'!$A$2:$A$73=$A759)*
      ('Golf Log'!$B$2:$B$73=$B759)*
      ('Golf Log'!$C$2:$C$73=$C759),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Log'!$E$2:$V$73,
    MATCH(1,
      ('Putt Log'!$A$2:$A$73=$A759)*
      ('Putt Log'!$B$2:$B$73=$B759)*
      ('Putt Log'!$C$2:$C$73=$C759),
    0),
    MATCH($G759,'Putt Log'!$E$1:$V$1,0)
  ),
"")</f>
        <v>2</v>
      </c>
      <c r="P759" t="str" cm="1">
        <f t="array" ref="P759">IF(K759=3,"",
  IFERROR(
    INDEX('Fairway Log'!$E$2:$V$73,
      MATCH(1,
        ('Fairway Log'!$A$2:$A$73=$A759)*
        ('Fairway Log'!$B$2:$B$73=$B759)*
        ('Fairway Log'!$C$2:$C830=$C759),
      0),
      MATCH($G759,'Fairway Log'!$E$1:$V$1,0)
    ),
  "")
)</f>
        <v/>
      </c>
      <c r="Q759" cm="1">
        <f t="array" ref="Q759">IFERROR(
  INDEX('GIR Log'!$E$2:$V$73,
    MATCH(1,
      ('GIR Log'!$A$2:$A$73=$A759)*
      ('GIR Log'!$B$2:$B$73=$B759)*
      ('GIR Log'!$C$2:$C$73=$C759),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Log'!$E$2:$V$73,
    MATCH(1,
      ('Golf Log'!$A$2:$A$73=$A760)*
      ('Golf Log'!$B$2:$B$73=$B760)*
      ('Golf Log'!$C$2:$C$73=$C760),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Log'!$E$2:$V$73,
    MATCH(1,
      ('Putt Log'!$A$2:$A$73=$A760)*
      ('Putt Log'!$B$2:$B$73=$B760)*
      ('Putt Log'!$C$2:$C$73=$C760),
    0),
    MATCH($G760,'Putt Log'!$E$1:$V$1,0)
  ),
"")</f>
        <v>3</v>
      </c>
      <c r="P760" cm="1">
        <f t="array" ref="P760">IF(K760=3,"",
  IFERROR(
    INDEX('Fairway Log'!$E$2:$V$73,
      MATCH(1,
        ('Fairway Log'!$A$2:$A$73=$A760)*
        ('Fairway Log'!$B$2:$B$73=$B760)*
        ('Fairway Log'!$C$2:$C831=$C760),
      0),
      MATCH($G760,'Fairway Log'!$E$1:$V$1,0)
    ),
  "")
)</f>
        <v>0</v>
      </c>
      <c r="Q760" cm="1">
        <f t="array" ref="Q760">IFERROR(
  INDEX('GIR Log'!$E$2:$V$73,
    MATCH(1,
      ('GIR Log'!$A$2:$A$73=$A760)*
      ('GIR Log'!$B$2:$B$73=$B760)*
      ('GIR Log'!$C$2:$C$73=$C760),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Log'!$E$2:$V$73,
    MATCH(1,
      ('Golf Log'!$A$2:$A$73=$A761)*
      ('Golf Log'!$B$2:$B$73=$B761)*
      ('Golf Log'!$C$2:$C$73=$C761),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Log'!$E$2:$V$73,
    MATCH(1,
      ('Putt Log'!$A$2:$A$73=$A761)*
      ('Putt Log'!$B$2:$B$73=$B761)*
      ('Putt Log'!$C$2:$C$73=$C761),
    0),
    MATCH($G761,'Putt Log'!$E$1:$V$1,0)
  ),
"")</f>
        <v>3</v>
      </c>
      <c r="P761" cm="1">
        <f t="array" ref="P761">IF(K761=3,"",
  IFERROR(
    INDEX('Fairway Log'!$E$2:$V$73,
      MATCH(1,
        ('Fairway Log'!$A$2:$A$73=$A761)*
        ('Fairway Log'!$B$2:$B$73=$B761)*
        ('Fairway Log'!$C$2:$C832=$C761),
      0),
      MATCH($G761,'Fairway Log'!$E$1:$V$1,0)
    ),
  "")
)</f>
        <v>0</v>
      </c>
      <c r="Q761" cm="1">
        <f t="array" ref="Q761">IFERROR(
  INDEX('GIR Log'!$E$2:$V$73,
    MATCH(1,
      ('GIR Log'!$A$2:$A$73=$A761)*
      ('GIR Log'!$B$2:$B$73=$B761)*
      ('GIR Log'!$C$2:$C$73=$C761),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Log'!$E$2:$V$73,
    MATCH(1,
      ('Golf Log'!$A$2:$A$73=$A762)*
      ('Golf Log'!$B$2:$B$73=$B762)*
      ('Golf Log'!$C$2:$C$73=$C762),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Log'!$E$2:$V$73,
    MATCH(1,
      ('Putt Log'!$A$2:$A$73=$A762)*
      ('Putt Log'!$B$2:$B$73=$B762)*
      ('Putt Log'!$C$2:$C$73=$C762),
    0),
    MATCH($G762,'Putt Log'!$E$1:$V$1,0)
  ),
"")</f>
        <v>3</v>
      </c>
      <c r="P762" cm="1">
        <f t="array" ref="P762">IF(K762=3,"",
  IFERROR(
    INDEX('Fairway Log'!$E$2:$V$73,
      MATCH(1,
        ('Fairway Log'!$A$2:$A$73=$A762)*
        ('Fairway Log'!$B$2:$B$73=$B762)*
        ('Fairway Log'!$C$2:$C833=$C762),
      0),
      MATCH($G762,'Fairway Log'!$E$1:$V$1,0)
    ),
  "")
)</f>
        <v>0</v>
      </c>
      <c r="Q762" cm="1">
        <f t="array" ref="Q762">IFERROR(
  INDEX('GIR Log'!$E$2:$V$73,
    MATCH(1,
      ('GIR Log'!$A$2:$A$73=$A762)*
      ('GIR Log'!$B$2:$B$73=$B762)*
      ('GIR Log'!$C$2:$C$73=$C762),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Log'!$E$2:$V$73,
    MATCH(1,
      ('Golf Log'!$A$2:$A$73=$A763)*
      ('Golf Log'!$B$2:$B$73=$B763)*
      ('Golf Log'!$C$2:$C$73=$C763),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Log'!$E$2:$V$73,
    MATCH(1,
      ('Putt Log'!$A$2:$A$73=$A763)*
      ('Putt Log'!$B$2:$B$73=$B763)*
      ('Putt Log'!$C$2:$C$73=$C763),
    0),
    MATCH($G763,'Putt Log'!$E$1:$V$1,0)
  ),
"")</f>
        <v>3</v>
      </c>
      <c r="P763" cm="1">
        <f t="array" ref="P763">IF(K763=3,"",
  IFERROR(
    INDEX('Fairway Log'!$E$2:$V$73,
      MATCH(1,
        ('Fairway Log'!$A$2:$A$73=$A763)*
        ('Fairway Log'!$B$2:$B$73=$B763)*
        ('Fairway Log'!$C$2:$C834=$C763),
      0),
      MATCH($G763,'Fairway Log'!$E$1:$V$1,0)
    ),
  "")
)</f>
        <v>0</v>
      </c>
      <c r="Q763" cm="1">
        <f t="array" ref="Q763">IFERROR(
  INDEX('GIR Log'!$E$2:$V$73,
    MATCH(1,
      ('GIR Log'!$A$2:$A$73=$A763)*
      ('GIR Log'!$B$2:$B$73=$B763)*
      ('GIR Log'!$C$2:$C$73=$C763),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Log'!$E$2:$V$73,
    MATCH(1,
      ('Golf Log'!$A$2:$A$73=$A764)*
      ('Golf Log'!$B$2:$B$73=$B764)*
      ('Golf Log'!$C$2:$C$73=$C764),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Log'!$E$2:$V$73,
    MATCH(1,
      ('Putt Log'!$A$2:$A$73=$A764)*
      ('Putt Log'!$B$2:$B$73=$B764)*
      ('Putt Log'!$C$2:$C$73=$C764),
    0),
    MATCH($G764,'Putt Log'!$E$1:$V$1,0)
  ),
"")</f>
        <v>2</v>
      </c>
      <c r="P764" cm="1">
        <f t="array" ref="P764">IF(K764=3,"",
  IFERROR(
    INDEX('Fairway Log'!$E$2:$V$73,
      MATCH(1,
        ('Fairway Log'!$A$2:$A$73=$A764)*
        ('Fairway Log'!$B$2:$B$73=$B764)*
        ('Fairway Log'!$C$2:$C835=$C764),
      0),
      MATCH($G764,'Fairway Log'!$E$1:$V$1,0)
    ),
  "")
)</f>
        <v>0</v>
      </c>
      <c r="Q764" cm="1">
        <f t="array" ref="Q764">IFERROR(
  INDEX('GIR Log'!$E$2:$V$73,
    MATCH(1,
      ('GIR Log'!$A$2:$A$73=$A764)*
      ('GIR Log'!$B$2:$B$73=$B764)*
      ('GIR Log'!$C$2:$C$73=$C764),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Log'!$E$2:$V$73,
    MATCH(1,
      ('Golf Log'!$A$2:$A$73=$A765)*
      ('Golf Log'!$B$2:$B$73=$B765)*
      ('Golf Log'!$C$2:$C$73=$C765),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Log'!$E$2:$V$73,
    MATCH(1,
      ('Putt Log'!$A$2:$A$73=$A765)*
      ('Putt Log'!$B$2:$B$73=$B765)*
      ('Putt Log'!$C$2:$C$73=$C765),
    0),
    MATCH($G765,'Putt Log'!$E$1:$V$1,0)
  ),
"")</f>
        <v>2</v>
      </c>
      <c r="P765" t="str" cm="1">
        <f t="array" ref="P765">IF(K765=3,"",
  IFERROR(
    INDEX('Fairway Log'!$E$2:$V$73,
      MATCH(1,
        ('Fairway Log'!$A$2:$A$73=$A765)*
        ('Fairway Log'!$B$2:$B$73=$B765)*
        ('Fairway Log'!$C$2:$C836=$C765),
      0),
      MATCH($G765,'Fairway Log'!$E$1:$V$1,0)
    ),
  "")
)</f>
        <v/>
      </c>
      <c r="Q765" cm="1">
        <f t="array" ref="Q765">IFERROR(
  INDEX('GIR Log'!$E$2:$V$73,
    MATCH(1,
      ('GIR Log'!$A$2:$A$73=$A765)*
      ('GIR Log'!$B$2:$B$73=$B765)*
      ('GIR Log'!$C$2:$C$73=$C765),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Log'!$E$2:$V$73,
    MATCH(1,
      ('Golf Log'!$A$2:$A$73=$A766)*
      ('Golf Log'!$B$2:$B$73=$B766)*
      ('Golf Log'!$C$2:$C$73=$C766),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Log'!$E$2:$V$73,
    MATCH(1,
      ('Putt Log'!$A$2:$A$73=$A766)*
      ('Putt Log'!$B$2:$B$73=$B766)*
      ('Putt Log'!$C$2:$C$73=$C766),
    0),
    MATCH($G766,'Putt Log'!$E$1:$V$1,0)
  ),
"")</f>
        <v>2</v>
      </c>
      <c r="P766" cm="1">
        <f t="array" ref="P766">IF(K766=3,"",
  IFERROR(
    INDEX('Fairway Log'!$E$2:$V$73,
      MATCH(1,
        ('Fairway Log'!$A$2:$A$73=$A766)*
        ('Fairway Log'!$B$2:$B$73=$B766)*
        ('Fairway Log'!$C$2:$C837=$C766),
      0),
      MATCH($G766,'Fairway Log'!$E$1:$V$1,0)
    ),
  "")
)</f>
        <v>0</v>
      </c>
      <c r="Q766" cm="1">
        <f t="array" ref="Q766">IFERROR(
  INDEX('GIR Log'!$E$2:$V$73,
    MATCH(1,
      ('GIR Log'!$A$2:$A$73=$A766)*
      ('GIR Log'!$B$2:$B$73=$B766)*
      ('GIR Log'!$C$2:$C$73=$C766),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Log'!$E$2:$V$73,
    MATCH(1,
      ('Golf Log'!$A$2:$A$73=$A767)*
      ('Golf Log'!$B$2:$B$73=$B767)*
      ('Golf Log'!$C$2:$C$73=$C767),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Log'!$E$2:$V$73,
    MATCH(1,
      ('Putt Log'!$A$2:$A$73=$A767)*
      ('Putt Log'!$B$2:$B$73=$B767)*
      ('Putt Log'!$C$2:$C$73=$C767),
    0),
    MATCH($G767,'Putt Log'!$E$1:$V$1,0)
  ),
"")</f>
        <v>2</v>
      </c>
      <c r="P767" cm="1">
        <f t="array" ref="P767">IF(K767=3,"",
  IFERROR(
    INDEX('Fairway Log'!$E$2:$V$73,
      MATCH(1,
        ('Fairway Log'!$A$2:$A$73=$A767)*
        ('Fairway Log'!$B$2:$B$73=$B767)*
        ('Fairway Log'!$C$2:$C838=$C767),
      0),
      MATCH($G767,'Fairway Log'!$E$1:$V$1,0)
    ),
  "")
)</f>
        <v>0</v>
      </c>
      <c r="Q767" cm="1">
        <f t="array" ref="Q767">IFERROR(
  INDEX('GIR Log'!$E$2:$V$73,
    MATCH(1,
      ('GIR Log'!$A$2:$A$73=$A767)*
      ('GIR Log'!$B$2:$B$73=$B767)*
      ('GIR Log'!$C$2:$C$73=$C767),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Log'!$E$2:$V$73,
    MATCH(1,
      ('Golf Log'!$A$2:$A$73=$A768)*
      ('Golf Log'!$B$2:$B$73=$B768)*
      ('Golf Log'!$C$2:$C$73=$C768),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Log'!$E$2:$V$73,
    MATCH(1,
      ('Putt Log'!$A$2:$A$73=$A768)*
      ('Putt Log'!$B$2:$B$73=$B768)*
      ('Putt Log'!$C$2:$C$73=$C768),
    0),
    MATCH($G768,'Putt Log'!$E$1:$V$1,0)
  ),
"")</f>
        <v>3</v>
      </c>
      <c r="P768" t="str" cm="1">
        <f t="array" ref="P768">IF(K768=3,"",
  IFERROR(
    INDEX('Fairway Log'!$E$2:$V$73,
      MATCH(1,
        ('Fairway Log'!$A$2:$A$73=$A768)*
        ('Fairway Log'!$B$2:$B$73=$B768)*
        ('Fairway Log'!$C$2:$C839=$C768),
      0),
      MATCH($G768,'Fairway Log'!$E$1:$V$1,0)
    ),
  "")
)</f>
        <v/>
      </c>
      <c r="Q768" cm="1">
        <f t="array" ref="Q768">IFERROR(
  INDEX('GIR Log'!$E$2:$V$73,
    MATCH(1,
      ('GIR Log'!$A$2:$A$73=$A768)*
      ('GIR Log'!$B$2:$B$73=$B768)*
      ('GIR Log'!$C$2:$C$73=$C768),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Log'!$E$2:$V$73,
    MATCH(1,
      ('Golf Log'!$A$2:$A$73=$A769)*
      ('Golf Log'!$B$2:$B$73=$B769)*
      ('Golf Log'!$C$2:$C$73=$C769),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Log'!$E$2:$V$73,
    MATCH(1,
      ('Putt Log'!$A$2:$A$73=$A769)*
      ('Putt Log'!$B$2:$B$73=$B769)*
      ('Putt Log'!$C$2:$C$73=$C769),
    0),
    MATCH($G769,'Putt Log'!$E$1:$V$1,0)
  ),
"")</f>
        <v>2</v>
      </c>
      <c r="P769" cm="1">
        <f t="array" ref="P769">IF(K769=3,"",
  IFERROR(
    INDEX('Fairway Log'!$E$2:$V$73,
      MATCH(1,
        ('Fairway Log'!$A$2:$A$73=$A769)*
        ('Fairway Log'!$B$2:$B$73=$B769)*
        ('Fairway Log'!$C$2:$C840=$C769),
      0),
      MATCH($G769,'Fairway Log'!$E$1:$V$1,0)
    ),
  "")
)</f>
        <v>0</v>
      </c>
      <c r="Q769" cm="1">
        <f t="array" ref="Q769">IFERROR(
  INDEX('GIR Log'!$E$2:$V$73,
    MATCH(1,
      ('GIR Log'!$A$2:$A$73=$A769)*
      ('GIR Log'!$B$2:$B$73=$B769)*
      ('GIR Log'!$C$2:$C$73=$C769),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Log'!$E$2:$V$73,
    MATCH(1,
      ('Golf Log'!$A$2:$A$73=$A770)*
      ('Golf Log'!$B$2:$B$73=$B770)*
      ('Golf Log'!$C$2:$C$73=$C770),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Log'!$E$2:$V$73,
    MATCH(1,
      ('Putt Log'!$A$2:$A$73=$A770)*
      ('Putt Log'!$B$2:$B$73=$B770)*
      ('Putt Log'!$C$2:$C$73=$C770),
    0),
    MATCH($G770,'Putt Log'!$E$1:$V$1,0)
  ),
"")</f>
        <v>3</v>
      </c>
      <c r="P770" cm="1">
        <f t="array" ref="P770">IF(K770=3,"",
  IFERROR(
    INDEX('Fairway Log'!$E$2:$V$73,
      MATCH(1,
        ('Fairway Log'!$A$2:$A$73=$A770)*
        ('Fairway Log'!$B$2:$B$73=$B770)*
        ('Fairway Log'!$C$2:$C841=$C770),
      0),
      MATCH($G770,'Fairway Log'!$E$1:$V$1,0)
    ),
  "")
)</f>
        <v>0</v>
      </c>
      <c r="Q770" cm="1">
        <f t="array" ref="Q770">IFERROR(
  INDEX('GIR Log'!$E$2:$V$73,
    MATCH(1,
      ('GIR Log'!$A$2:$A$73=$A770)*
      ('GIR Log'!$B$2:$B$73=$B770)*
      ('GIR Log'!$C$2:$C$73=$C770),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Log'!$E$2:$V$73,
    MATCH(1,
      ('Golf Log'!$A$2:$A$73=$A771)*
      ('Golf Log'!$B$2:$B$73=$B771)*
      ('Golf Log'!$C$2:$C$73=$C771),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Log'!$E$2:$V$73,
    MATCH(1,
      ('Putt Log'!$A$2:$A$73=$A771)*
      ('Putt Log'!$B$2:$B$73=$B771)*
      ('Putt Log'!$C$2:$C$73=$C771),
    0),
    MATCH($G771,'Putt Log'!$E$1:$V$1,0)
  ),
"")</f>
        <v>2</v>
      </c>
      <c r="P771" t="str" cm="1">
        <f t="array" ref="P771">IF(K771=3,"",
  IFERROR(
    INDEX('Fairway Log'!$E$2:$V$73,
      MATCH(1,
        ('Fairway Log'!$A$2:$A$73=$A771)*
        ('Fairway Log'!$B$2:$B$73=$B771)*
        ('Fairway Log'!$C$2:$C842=$C771),
      0),
      MATCH($G771,'Fairway Log'!$E$1:$V$1,0)
    ),
  "")
)</f>
        <v/>
      </c>
      <c r="Q771" cm="1">
        <f t="array" ref="Q771">IFERROR(
  INDEX('GIR Log'!$E$2:$V$73,
    MATCH(1,
      ('GIR Log'!$A$2:$A$73=$A771)*
      ('GIR Log'!$B$2:$B$73=$B771)*
      ('GIR Log'!$C$2:$C$73=$C771),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Log'!$E$2:$V$73,
    MATCH(1,
      ('Golf Log'!$A$2:$A$73=$A772)*
      ('Golf Log'!$B$2:$B$73=$B772)*
      ('Golf Log'!$C$2:$C$73=$C772),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Log'!$E$2:$V$73,
    MATCH(1,
      ('Putt Log'!$A$2:$A$73=$A772)*
      ('Putt Log'!$B$2:$B$73=$B772)*
      ('Putt Log'!$C$2:$C$73=$C772),
    0),
    MATCH($G772,'Putt Log'!$E$1:$V$1,0)
  ),
"")</f>
        <v>3</v>
      </c>
      <c r="P772" cm="1">
        <f t="array" ref="P772">IF(K772=3,"",
  IFERROR(
    INDEX('Fairway Log'!$E$2:$V$73,
      MATCH(1,
        ('Fairway Log'!$A$2:$A$73=$A772)*
        ('Fairway Log'!$B$2:$B$73=$B772)*
        ('Fairway Log'!$C$2:$C843=$C772),
      0),
      MATCH($G772,'Fairway Log'!$E$1:$V$1,0)
    ),
  "")
)</f>
        <v>0</v>
      </c>
      <c r="Q772" cm="1">
        <f t="array" ref="Q772">IFERROR(
  INDEX('GIR Log'!$E$2:$V$73,
    MATCH(1,
      ('GIR Log'!$A$2:$A$73=$A772)*
      ('GIR Log'!$B$2:$B$73=$B772)*
      ('GIR Log'!$C$2:$C$73=$C772),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Log'!$E$2:$V$73,
    MATCH(1,
      ('Golf Log'!$A$2:$A$73=$A773)*
      ('Golf Log'!$B$2:$B$73=$B773)*
      ('Golf Log'!$C$2:$C$73=$C773),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Log'!$E$2:$V$73,
    MATCH(1,
      ('Putt Log'!$A$2:$A$73=$A773)*
      ('Putt Log'!$B$2:$B$73=$B773)*
      ('Putt Log'!$C$2:$C$73=$C773),
    0),
    MATCH($G773,'Putt Log'!$E$1:$V$1,0)
  ),
"")</f>
        <v>2</v>
      </c>
      <c r="P773" cm="1">
        <f t="array" ref="P773">IF(K773=3,"",
  IFERROR(
    INDEX('Fairway Log'!$E$2:$V$73,
      MATCH(1,
        ('Fairway Log'!$A$2:$A$73=$A773)*
        ('Fairway Log'!$B$2:$B$73=$B773)*
        ('Fairway Log'!$C$2:$C844=$C773),
      0),
      MATCH($G773,'Fairway Log'!$E$1:$V$1,0)
    ),
  "")
)</f>
        <v>0</v>
      </c>
      <c r="Q773" cm="1">
        <f t="array" ref="Q773">IFERROR(
  INDEX('GIR Log'!$E$2:$V$73,
    MATCH(1,
      ('GIR Log'!$A$2:$A$73=$A773)*
      ('GIR Log'!$B$2:$B$73=$B773)*
      ('GIR Log'!$C$2:$C$73=$C773),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Log'!$E$2:$V$73,
    MATCH(1,
      ('Golf Log'!$A$2:$A$73=$A774)*
      ('Golf Log'!$B$2:$B$73=$B774)*
      ('Golf Log'!$C$2:$C$73=$C774),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Log'!$E$2:$V$73,
    MATCH(1,
      ('Putt Log'!$A$2:$A$73=$A774)*
      ('Putt Log'!$B$2:$B$73=$B774)*
      ('Putt Log'!$C$2:$C$73=$C774),
    0),
    MATCH($G774,'Putt Log'!$E$1:$V$1,0)
  ),
"")</f>
        <v>3</v>
      </c>
      <c r="P774" cm="1">
        <f t="array" ref="P774">IF(K774=3,"",
  IFERROR(
    INDEX('Fairway Log'!$E$2:$V$73,
      MATCH(1,
        ('Fairway Log'!$A$2:$A$73=$A774)*
        ('Fairway Log'!$B$2:$B$73=$B774)*
        ('Fairway Log'!$C$2:$C845=$C774),
      0),
      MATCH($G774,'Fairway Log'!$E$1:$V$1,0)
    ),
  "")
)</f>
        <v>0</v>
      </c>
      <c r="Q774" cm="1">
        <f t="array" ref="Q774">IFERROR(
  INDEX('GIR Log'!$E$2:$V$73,
    MATCH(1,
      ('GIR Log'!$A$2:$A$73=$A774)*
      ('GIR Log'!$B$2:$B$73=$B774)*
      ('GIR Log'!$C$2:$C$73=$C774),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Log'!$E$2:$V$73,
    MATCH(1,
      ('Golf Log'!$A$2:$A$73=$A775)*
      ('Golf Log'!$B$2:$B$73=$B775)*
      ('Golf Log'!$C$2:$C$73=$C775),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Log'!$E$2:$V$73,
    MATCH(1,
      ('Putt Log'!$A$2:$A$73=$A775)*
      ('Putt Log'!$B$2:$B$73=$B775)*
      ('Putt Log'!$C$2:$C$73=$C775),
    0),
    MATCH($G775,'Putt Log'!$E$1:$V$1,0)
  ),
"")</f>
        <v>2</v>
      </c>
      <c r="P775" cm="1">
        <f t="array" ref="P775">IF(K775=3,"",
  IFERROR(
    INDEX('Fairway Log'!$E$2:$V$73,
      MATCH(1,
        ('Fairway Log'!$A$2:$A$73=$A775)*
        ('Fairway Log'!$B$2:$B$73=$B775)*
        ('Fairway Log'!$C$2:$C846=$C775),
      0),
      MATCH($G775,'Fairway Log'!$E$1:$V$1,0)
    ),
  "")
)</f>
        <v>0</v>
      </c>
      <c r="Q775" cm="1">
        <f t="array" ref="Q775">IFERROR(
  INDEX('GIR Log'!$E$2:$V$73,
    MATCH(1,
      ('GIR Log'!$A$2:$A$73=$A775)*
      ('GIR Log'!$B$2:$B$73=$B775)*
      ('GIR Log'!$C$2:$C$73=$C775),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Log'!$E$2:$V$73,
    MATCH(1,
      ('Golf Log'!$A$2:$A$73=$A776)*
      ('Golf Log'!$B$2:$B$73=$B776)*
      ('Golf Log'!$C$2:$C$73=$C776),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Log'!$E$2:$V$73,
    MATCH(1,
      ('Putt Log'!$A$2:$A$73=$A776)*
      ('Putt Log'!$B$2:$B$73=$B776)*
      ('Putt Log'!$C$2:$C$73=$C776),
    0),
    MATCH($G776,'Putt Log'!$E$1:$V$1,0)
  ),
"")</f>
        <v>3</v>
      </c>
      <c r="P776" t="str" cm="1">
        <f t="array" ref="P776">IF(K776=3,"",
  IFERROR(
    INDEX('Fairway Log'!$E$2:$V$73,
      MATCH(1,
        ('Fairway Log'!$A$2:$A$73=$A776)*
        ('Fairway Log'!$B$2:$B$73=$B776)*
        ('Fairway Log'!$C$2:$C847=$C776),
      0),
      MATCH($G776,'Fairway Log'!$E$1:$V$1,0)
    ),
  "")
)</f>
        <v>↓</v>
      </c>
      <c r="Q776" t="str" cm="1">
        <f t="array" ref="Q776">IFERROR(
  INDEX('GIR Log'!$E$2:$V$73,
    MATCH(1,
      ('GIR Log'!$A$2:$A$73=$A776)*
      ('GIR Log'!$B$2:$B$73=$B776)*
      ('GIR Log'!$C$2:$C$73=$C776),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Log'!$E$2:$V$73,
    MATCH(1,
      ('Golf Log'!$A$2:$A$73=$A777)*
      ('Golf Log'!$B$2:$B$73=$B777)*
      ('Golf Log'!$C$2:$C$73=$C777),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Log'!$E$2:$V$73,
    MATCH(1,
      ('Putt Log'!$A$2:$A$73=$A777)*
      ('Putt Log'!$B$2:$B$73=$B777)*
      ('Putt Log'!$C$2:$C$73=$C777),
    0),
    MATCH($G777,'Putt Log'!$E$1:$V$1,0)
  ),
"")</f>
        <v>2</v>
      </c>
      <c r="P777" t="str" cm="1">
        <f t="array" ref="P777">IF(K777=3,"",
  IFERROR(
    INDEX('Fairway Log'!$E$2:$V$73,
      MATCH(1,
        ('Fairway Log'!$A$2:$A$73=$A777)*
        ('Fairway Log'!$B$2:$B$73=$B777)*
        ('Fairway Log'!$C$2:$C848=$C777),
      0),
      MATCH($G777,'Fairway Log'!$E$1:$V$1,0)
    ),
  "")
)</f>
        <v/>
      </c>
      <c r="Q777" cm="1">
        <f t="array" ref="Q777">IFERROR(
  INDEX('GIR Log'!$E$2:$V$73,
    MATCH(1,
      ('GIR Log'!$A$2:$A$73=$A777)*
      ('GIR Log'!$B$2:$B$73=$B777)*
      ('GIR Log'!$C$2:$C$73=$C777),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Log'!$E$2:$V$73,
    MATCH(1,
      ('Golf Log'!$A$2:$A$73=$A778)*
      ('Golf Log'!$B$2:$B$73=$B778)*
      ('Golf Log'!$C$2:$C$73=$C778),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Log'!$E$2:$V$73,
    MATCH(1,
      ('Putt Log'!$A$2:$A$73=$A778)*
      ('Putt Log'!$B$2:$B$73=$B778)*
      ('Putt Log'!$C$2:$C$73=$C778),
    0),
    MATCH($G778,'Putt Log'!$E$1:$V$1,0)
  ),
"")</f>
        <v>3</v>
      </c>
      <c r="P778" t="str" cm="1">
        <f t="array" ref="P778">IF(K778=3,"",
  IFERROR(
    INDEX('Fairway Log'!$E$2:$V$73,
      MATCH(1,
        ('Fairway Log'!$A$2:$A$73=$A778)*
        ('Fairway Log'!$B$2:$B$73=$B778)*
        ('Fairway Log'!$C$2:$C849=$C778),
      0),
      MATCH($G778,'Fairway Log'!$E$1:$V$1,0)
    ),
  "")
)</f>
        <v>←</v>
      </c>
      <c r="Q778" t="str" cm="1">
        <f t="array" ref="Q778">IFERROR(
  INDEX('GIR Log'!$E$2:$V$73,
    MATCH(1,
      ('GIR Log'!$A$2:$A$73=$A778)*
      ('GIR Log'!$B$2:$B$73=$B778)*
      ('GIR Log'!$C$2:$C$73=$C778),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Log'!$E$2:$V$73,
    MATCH(1,
      ('Golf Log'!$A$2:$A$73=$A779)*
      ('Golf Log'!$B$2:$B$73=$B779)*
      ('Golf Log'!$C$2:$C$73=$C779),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Log'!$E$2:$V$73,
    MATCH(1,
      ('Putt Log'!$A$2:$A$73=$A779)*
      ('Putt Log'!$B$2:$B$73=$B779)*
      ('Putt Log'!$C$2:$C$73=$C779),
    0),
    MATCH($G779,'Putt Log'!$E$1:$V$1,0)
  ),
"")</f>
        <v>2</v>
      </c>
      <c r="P779" t="str" cm="1">
        <f t="array" ref="P779">IF(K779=3,"",
  IFERROR(
    INDEX('Fairway Log'!$E$2:$V$73,
      MATCH(1,
        ('Fairway Log'!$A$2:$A$73=$A779)*
        ('Fairway Log'!$B$2:$B$73=$B779)*
        ('Fairway Log'!$C$2:$C850=$C779),
      0),
      MATCH($G779,'Fairway Log'!$E$1:$V$1,0)
    ),
  "")
)</f>
        <v>←</v>
      </c>
      <c r="Q779" t="str" cm="1">
        <f t="array" ref="Q779">IFERROR(
  INDEX('GIR Log'!$E$2:$V$73,
    MATCH(1,
      ('GIR Log'!$A$2:$A$73=$A779)*
      ('GIR Log'!$B$2:$B$73=$B779)*
      ('GIR Log'!$C$2:$C$73=$C779),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Log'!$E$2:$V$73,
    MATCH(1,
      ('Golf Log'!$A$2:$A$73=$A780)*
      ('Golf Log'!$B$2:$B$73=$B780)*
      ('Golf Log'!$C$2:$C$73=$C780),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Log'!$E$2:$V$73,
    MATCH(1,
      ('Putt Log'!$A$2:$A$73=$A780)*
      ('Putt Log'!$B$2:$B$73=$B780)*
      ('Putt Log'!$C$2:$C$73=$C780),
    0),
    MATCH($G780,'Putt Log'!$E$1:$V$1,0)
  ),
"")</f>
        <v>2</v>
      </c>
      <c r="P780" t="str" cm="1">
        <f t="array" ref="P780">IF(K780=3,"",
  IFERROR(
    INDEX('Fairway Log'!$E$2:$V$73,
      MATCH(1,
        ('Fairway Log'!$A$2:$A$73=$A780)*
        ('Fairway Log'!$B$2:$B$73=$B780)*
        ('Fairway Log'!$C$2:$C851=$C780),
      0),
      MATCH($G780,'Fairway Log'!$E$1:$V$1,0)
    ),
  "")
)</f>
        <v>←</v>
      </c>
      <c r="Q780" t="str" cm="1">
        <f t="array" ref="Q780">IFERROR(
  INDEX('GIR Log'!$E$2:$V$73,
    MATCH(1,
      ('GIR Log'!$A$2:$A$73=$A780)*
      ('GIR Log'!$B$2:$B$73=$B780)*
      ('GIR Log'!$C$2:$C$73=$C780),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Log'!$E$2:$V$73,
    MATCH(1,
      ('Golf Log'!$A$2:$A$73=$A781)*
      ('Golf Log'!$B$2:$B$73=$B781)*
      ('Golf Log'!$C$2:$C$73=$C781),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Log'!$E$2:$V$73,
    MATCH(1,
      ('Putt Log'!$A$2:$A$73=$A781)*
      ('Putt Log'!$B$2:$B$73=$B781)*
      ('Putt Log'!$C$2:$C$73=$C781),
    0),
    MATCH($G781,'Putt Log'!$E$1:$V$1,0)
  ),
"")</f>
        <v>3</v>
      </c>
      <c r="P781" t="str" cm="1">
        <f t="array" ref="P781">IF(K781=3,"",
  IFERROR(
    INDEX('Fairway Log'!$E$2:$V$73,
      MATCH(1,
        ('Fairway Log'!$A$2:$A$73=$A781)*
        ('Fairway Log'!$B$2:$B$73=$B781)*
        ('Fairway Log'!$C$2:$C852=$C781),
      0),
      MATCH($G781,'Fairway Log'!$E$1:$V$1,0)
    ),
  "")
)</f>
        <v/>
      </c>
      <c r="Q781" t="str" cm="1">
        <f t="array" ref="Q781">IFERROR(
  INDEX('GIR Log'!$E$2:$V$73,
    MATCH(1,
      ('GIR Log'!$A$2:$A$73=$A781)*
      ('GIR Log'!$B$2:$B$73=$B781)*
      ('GIR Log'!$C$2:$C$73=$C781),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Log'!$E$2:$V$73,
    MATCH(1,
      ('Golf Log'!$A$2:$A$73=$A782)*
      ('Golf Log'!$B$2:$B$73=$B782)*
      ('Golf Log'!$C$2:$C$73=$C782),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Log'!$E$2:$V$73,
    MATCH(1,
      ('Putt Log'!$A$2:$A$73=$A782)*
      ('Putt Log'!$B$2:$B$73=$B782)*
      ('Putt Log'!$C$2:$C$73=$C782),
    0),
    MATCH($G782,'Putt Log'!$E$1:$V$1,0)
  ),
"")</f>
        <v>3</v>
      </c>
      <c r="P782" cm="1">
        <f t="array" ref="P782">IF(K782=3,"",
  IFERROR(
    INDEX('Fairway Log'!$E$2:$V$73,
      MATCH(1,
        ('Fairway Log'!$A$2:$A$73=$A782)*
        ('Fairway Log'!$B$2:$B$73=$B782)*
        ('Fairway Log'!$C$2:$C853=$C782),
      0),
      MATCH($G782,'Fairway Log'!$E$1:$V$1,0)
    ),
  "")
)</f>
        <v>1</v>
      </c>
      <c r="Q782" t="str" cm="1">
        <f t="array" ref="Q782">IFERROR(
  INDEX('GIR Log'!$E$2:$V$73,
    MATCH(1,
      ('GIR Log'!$A$2:$A$73=$A782)*
      ('GIR Log'!$B$2:$B$73=$B782)*
      ('GIR Log'!$C$2:$C$73=$C782),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Log'!$E$2:$V$73,
    MATCH(1,
      ('Golf Log'!$A$2:$A$73=$A783)*
      ('Golf Log'!$B$2:$B$73=$B783)*
      ('Golf Log'!$C$2:$C$73=$C783),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Log'!$E$2:$V$73,
    MATCH(1,
      ('Putt Log'!$A$2:$A$73=$A783)*
      ('Putt Log'!$B$2:$B$73=$B783)*
      ('Putt Log'!$C$2:$C$73=$C783),
    0),
    MATCH($G783,'Putt Log'!$E$1:$V$1,0)
  ),
"")</f>
        <v>3</v>
      </c>
      <c r="P783" t="str" cm="1">
        <f t="array" ref="P783">IF(K783=3,"",
  IFERROR(
    INDEX('Fairway Log'!$E$2:$V$73,
      MATCH(1,
        ('Fairway Log'!$A$2:$A$73=$A783)*
        ('Fairway Log'!$B$2:$B$73=$B783)*
        ('Fairway Log'!$C$2:$C854=$C783),
      0),
      MATCH($G783,'Fairway Log'!$E$1:$V$1,0)
    ),
  "")
)</f>
        <v/>
      </c>
      <c r="Q783" t="str" cm="1">
        <f t="array" ref="Q783">IFERROR(
  INDEX('GIR Log'!$E$2:$V$73,
    MATCH(1,
      ('GIR Log'!$A$2:$A$73=$A783)*
      ('GIR Log'!$B$2:$B$73=$B783)*
      ('GIR Log'!$C$2:$C$73=$C783),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Log'!$E$2:$V$73,
    MATCH(1,
      ('Golf Log'!$A$2:$A$73=$A784)*
      ('Golf Log'!$B$2:$B$73=$B784)*
      ('Golf Log'!$C$2:$C$73=$C784),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Log'!$E$2:$V$73,
    MATCH(1,
      ('Putt Log'!$A$2:$A$73=$A784)*
      ('Putt Log'!$B$2:$B$73=$B784)*
      ('Putt Log'!$C$2:$C$73=$C784),
    0),
    MATCH($G784,'Putt Log'!$E$1:$V$1,0)
  ),
"")</f>
        <v>2</v>
      </c>
      <c r="P784" cm="1">
        <f t="array" ref="P784">IF(K784=3,"",
  IFERROR(
    INDEX('Fairway Log'!$E$2:$V$73,
      MATCH(1,
        ('Fairway Log'!$A$2:$A$73=$A784)*
        ('Fairway Log'!$B$2:$B$73=$B784)*
        ('Fairway Log'!$C$2:$C855=$C784),
      0),
      MATCH($G784,'Fairway Log'!$E$1:$V$1,0)
    ),
  "")
)</f>
        <v>1</v>
      </c>
      <c r="Q784" cm="1">
        <f t="array" ref="Q784">IFERROR(
  INDEX('GIR Log'!$E$2:$V$73,
    MATCH(1,
      ('GIR Log'!$A$2:$A$73=$A784)*
      ('GIR Log'!$B$2:$B$73=$B784)*
      ('GIR Log'!$C$2:$C$73=$C784),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Log'!$E$2:$V$73,
    MATCH(1,
      ('Golf Log'!$A$2:$A$73=$A785)*
      ('Golf Log'!$B$2:$B$73=$B785)*
      ('Golf Log'!$C$2:$C$73=$C785),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Log'!$E$2:$V$73,
    MATCH(1,
      ('Putt Log'!$A$2:$A$73=$A785)*
      ('Putt Log'!$B$2:$B$73=$B785)*
      ('Putt Log'!$C$2:$C$73=$C785),
    0),
    MATCH($G785,'Putt Log'!$E$1:$V$1,0)
  ),
"")</f>
        <v>2</v>
      </c>
      <c r="P785" t="str" cm="1">
        <f t="array" ref="P785">IF(K785=3,"",
  IFERROR(
    INDEX('Fairway Log'!$E$2:$V$73,
      MATCH(1,
        ('Fairway Log'!$A$2:$A$73=$A785)*
        ('Fairway Log'!$B$2:$B$73=$B785)*
        ('Fairway Log'!$C$2:$C856=$C785),
      0),
      MATCH($G785,'Fairway Log'!$E$1:$V$1,0)
    ),
  "")
)</f>
        <v>→</v>
      </c>
      <c r="Q785" t="str" cm="1">
        <f t="array" ref="Q785">IFERROR(
  INDEX('GIR Log'!$E$2:$V$73,
    MATCH(1,
      ('GIR Log'!$A$2:$A$73=$A785)*
      ('GIR Log'!$B$2:$B$73=$B785)*
      ('GIR Log'!$C$2:$C$73=$C785),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Log'!$E$2:$V$73,
    MATCH(1,
      ('Golf Log'!$A$2:$A$73=$A786)*
      ('Golf Log'!$B$2:$B$73=$B786)*
      ('Golf Log'!$C$2:$C$73=$C786),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Log'!$E$2:$V$73,
    MATCH(1,
      ('Putt Log'!$A$2:$A$73=$A786)*
      ('Putt Log'!$B$2:$B$73=$B786)*
      ('Putt Log'!$C$2:$C$73=$C786),
    0),
    MATCH($G786,'Putt Log'!$E$1:$V$1,0)
  ),
"")</f>
        <v>2</v>
      </c>
      <c r="P786" t="str" cm="1">
        <f t="array" ref="P786">IF(K786=3,"",
  IFERROR(
    INDEX('Fairway Log'!$E$2:$V$73,
      MATCH(1,
        ('Fairway Log'!$A$2:$A$73=$A786)*
        ('Fairway Log'!$B$2:$B$73=$B786)*
        ('Fairway Log'!$C$2:$C857=$C786),
      0),
      MATCH($G786,'Fairway Log'!$E$1:$V$1,0)
    ),
  "")
)</f>
        <v>→</v>
      </c>
      <c r="Q786" t="str" cm="1">
        <f t="array" ref="Q786">IFERROR(
  INDEX('GIR Log'!$E$2:$V$73,
    MATCH(1,
      ('GIR Log'!$A$2:$A$73=$A786)*
      ('GIR Log'!$B$2:$B$73=$B786)*
      ('GIR Log'!$C$2:$C$73=$C786),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Log'!$E$2:$V$73,
    MATCH(1,
      ('Golf Log'!$A$2:$A$73=$A787)*
      ('Golf Log'!$B$2:$B$73=$B787)*
      ('Golf Log'!$C$2:$C$73=$C787),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Log'!$E$2:$V$73,
    MATCH(1,
      ('Putt Log'!$A$2:$A$73=$A787)*
      ('Putt Log'!$B$2:$B$73=$B787)*
      ('Putt Log'!$C$2:$C$73=$C787),
    0),
    MATCH($G787,'Putt Log'!$E$1:$V$1,0)
  ),
"")</f>
        <v>2</v>
      </c>
      <c r="P787" cm="1">
        <f t="array" ref="P787">IF(K787=3,"",
  IFERROR(
    INDEX('Fairway Log'!$E$2:$V$73,
      MATCH(1,
        ('Fairway Log'!$A$2:$A$73=$A787)*
        ('Fairway Log'!$B$2:$B$73=$B787)*
        ('Fairway Log'!$C$2:$C858=$C787),
      0),
      MATCH($G787,'Fairway Log'!$E$1:$V$1,0)
    ),
  "")
)</f>
        <v>1</v>
      </c>
      <c r="Q787" t="str" cm="1">
        <f t="array" ref="Q787">IFERROR(
  INDEX('GIR Log'!$E$2:$V$73,
    MATCH(1,
      ('GIR Log'!$A$2:$A$73=$A787)*
      ('GIR Log'!$B$2:$B$73=$B787)*
      ('GIR Log'!$C$2:$C$73=$C787),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Log'!$E$2:$V$73,
    MATCH(1,
      ('Golf Log'!$A$2:$A$73=$A788)*
      ('Golf Log'!$B$2:$B$73=$B788)*
      ('Golf Log'!$C$2:$C$73=$C788),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Log'!$E$2:$V$73,
    MATCH(1,
      ('Putt Log'!$A$2:$A$73=$A788)*
      ('Putt Log'!$B$2:$B$73=$B788)*
      ('Putt Log'!$C$2:$C$73=$C788),
    0),
    MATCH($G788,'Putt Log'!$E$1:$V$1,0)
  ),
"")</f>
        <v>2</v>
      </c>
      <c r="P788" t="str" cm="1">
        <f t="array" ref="P788">IF(K788=3,"",
  IFERROR(
    INDEX('Fairway Log'!$E$2:$V$73,
      MATCH(1,
        ('Fairway Log'!$A$2:$A$73=$A788)*
        ('Fairway Log'!$B$2:$B$73=$B788)*
        ('Fairway Log'!$C$2:$C859=$C788),
      0),
      MATCH($G788,'Fairway Log'!$E$1:$V$1,0)
    ),
  "")
)</f>
        <v/>
      </c>
      <c r="Q788" t="str" cm="1">
        <f t="array" ref="Q788">IFERROR(
  INDEX('GIR Log'!$E$2:$V$73,
    MATCH(1,
      ('GIR Log'!$A$2:$A$73=$A788)*
      ('GIR Log'!$B$2:$B$73=$B788)*
      ('GIR Log'!$C$2:$C$73=$C788),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Log'!$E$2:$V$73,
    MATCH(1,
      ('Golf Log'!$A$2:$A$73=$A789)*
      ('Golf Log'!$B$2:$B$73=$B789)*
      ('Golf Log'!$C$2:$C$73=$C789),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Log'!$E$2:$V$73,
    MATCH(1,
      ('Putt Log'!$A$2:$A$73=$A789)*
      ('Putt Log'!$B$2:$B$73=$B789)*
      ('Putt Log'!$C$2:$C$73=$C789),
    0),
    MATCH($G789,'Putt Log'!$E$1:$V$1,0)
  ),
"")</f>
        <v>2</v>
      </c>
      <c r="P789" t="str" cm="1">
        <f t="array" ref="P789">IF(K789=3,"",
  IFERROR(
    INDEX('Fairway Log'!$E$2:$V$73,
      MATCH(1,
        ('Fairway Log'!$A$2:$A$73=$A789)*
        ('Fairway Log'!$B$2:$B$73=$B789)*
        ('Fairway Log'!$C$2:$C860=$C789),
      0),
      MATCH($G789,'Fairway Log'!$E$1:$V$1,0)
    ),
  "")
)</f>
        <v>→</v>
      </c>
      <c r="Q789" t="str" cm="1">
        <f t="array" ref="Q789">IFERROR(
  INDEX('GIR Log'!$E$2:$V$73,
    MATCH(1,
      ('GIR Log'!$A$2:$A$73=$A789)*
      ('GIR Log'!$B$2:$B$73=$B789)*
      ('GIR Log'!$C$2:$C$73=$C789),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Log'!$E$2:$V$73,
    MATCH(1,
      ('Golf Log'!$A$2:$A$73=$A790)*
      ('Golf Log'!$B$2:$B$73=$B790)*
      ('Golf Log'!$C$2:$C$73=$C790),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Log'!$E$2:$V$73,
    MATCH(1,
      ('Putt Log'!$A$2:$A$73=$A790)*
      ('Putt Log'!$B$2:$B$73=$B790)*
      ('Putt Log'!$C$2:$C$73=$C790),
    0),
    MATCH($G790,'Putt Log'!$E$1:$V$1,0)
  ),
"")</f>
        <v>2</v>
      </c>
      <c r="P790" t="str" cm="1">
        <f t="array" ref="P790">IF(K790=3,"",
  IFERROR(
    INDEX('Fairway Log'!$E$2:$V$73,
      MATCH(1,
        ('Fairway Log'!$A$2:$A$73=$A790)*
        ('Fairway Log'!$B$2:$B$73=$B790)*
        ('Fairway Log'!$C$2:$C861=$C790),
      0),
      MATCH($G790,'Fairway Log'!$E$1:$V$1,0)
    ),
  "")
)</f>
        <v>←</v>
      </c>
      <c r="Q790" t="str" cm="1">
        <f t="array" ref="Q790">IFERROR(
  INDEX('GIR Log'!$E$2:$V$73,
    MATCH(1,
      ('GIR Log'!$A$2:$A$73=$A790)*
      ('GIR Log'!$B$2:$B$73=$B790)*
      ('GIR Log'!$C$2:$C$73=$C790),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Log'!$E$2:$V$73,
    MATCH(1,
      ('Golf Log'!$A$2:$A$73=$A791)*
      ('Golf Log'!$B$2:$B$73=$B791)*
      ('Golf Log'!$C$2:$C$73=$C791),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Log'!$E$2:$V$73,
    MATCH(1,
      ('Putt Log'!$A$2:$A$73=$A791)*
      ('Putt Log'!$B$2:$B$73=$B791)*
      ('Putt Log'!$C$2:$C$73=$C791),
    0),
    MATCH($G791,'Putt Log'!$E$1:$V$1,0)
  ),
"")</f>
        <v>2</v>
      </c>
      <c r="P791" cm="1">
        <f t="array" ref="P791">IF(K791=3,"",
  IFERROR(
    INDEX('Fairway Log'!$E$2:$V$73,
      MATCH(1,
        ('Fairway Log'!$A$2:$A$73=$A791)*
        ('Fairway Log'!$B$2:$B$73=$B791)*
        ('Fairway Log'!$C$2:$C862=$C791),
      0),
      MATCH($G791,'Fairway Log'!$E$1:$V$1,0)
    ),
  "")
)</f>
        <v>1</v>
      </c>
      <c r="Q791" cm="1">
        <f t="array" ref="Q791">IFERROR(
  INDEX('GIR Log'!$E$2:$V$73,
    MATCH(1,
      ('GIR Log'!$A$2:$A$73=$A791)*
      ('GIR Log'!$B$2:$B$73=$B791)*
      ('GIR Log'!$C$2:$C$73=$C791),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Log'!$E$2:$V$73,
    MATCH(1,
      ('Golf Log'!$A$2:$A$73=$A792)*
      ('Golf Log'!$B$2:$B$73=$B792)*
      ('Golf Log'!$C$2:$C$73=$C792),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Log'!$E$2:$V$73,
    MATCH(1,
      ('Putt Log'!$A$2:$A$73=$A792)*
      ('Putt Log'!$B$2:$B$73=$B792)*
      ('Putt Log'!$C$2:$C$73=$C792),
    0),
    MATCH($G792,'Putt Log'!$E$1:$V$1,0)
  ),
"")</f>
        <v>3</v>
      </c>
      <c r="P792" t="str" cm="1">
        <f t="array" ref="P792">IF(K792=3,"",
  IFERROR(
    INDEX('Fairway Log'!$E$2:$V$73,
      MATCH(1,
        ('Fairway Log'!$A$2:$A$73=$A792)*
        ('Fairway Log'!$B$2:$B$73=$B792)*
        ('Fairway Log'!$C$2:$C863=$C792),
      0),
      MATCH($G792,'Fairway Log'!$E$1:$V$1,0)
    ),
  "")
)</f>
        <v/>
      </c>
      <c r="Q792" t="str" cm="1">
        <f t="array" ref="Q792">IFERROR(
  INDEX('GIR Log'!$E$2:$V$73,
    MATCH(1,
      ('GIR Log'!$A$2:$A$73=$A792)*
      ('GIR Log'!$B$2:$B$73=$B792)*
      ('GIR Log'!$C$2:$C$73=$C792),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Log'!$E$2:$V$73,
    MATCH(1,
      ('Golf Log'!$A$2:$A$73=$A793)*
      ('Golf Log'!$B$2:$B$73=$B793)*
      ('Golf Log'!$C$2:$C$73=$C793),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Log'!$E$2:$V$73,
    MATCH(1,
      ('Putt Log'!$A$2:$A$73=$A793)*
      ('Putt Log'!$B$2:$B$73=$B793)*
      ('Putt Log'!$C$2:$C$73=$C793),
    0),
    MATCH($G793,'Putt Log'!$E$1:$V$1,0)
  ),
"")</f>
        <v>2</v>
      </c>
      <c r="P793" cm="1">
        <f t="array" ref="P793">IF(K793=3,"",
  IFERROR(
    INDEX('Fairway Log'!$E$2:$V$73,
      MATCH(1,
        ('Fairway Log'!$A$2:$A$73=$A793)*
        ('Fairway Log'!$B$2:$B$73=$B793)*
        ('Fairway Log'!$C$2:$C864=$C793),
      0),
      MATCH($G793,'Fairway Log'!$E$1:$V$1,0)
    ),
  "")
)</f>
        <v>1</v>
      </c>
      <c r="Q793" t="str" cm="1">
        <f t="array" ref="Q793">IFERROR(
  INDEX('GIR Log'!$E$2:$V$73,
    MATCH(1,
      ('GIR Log'!$A$2:$A$73=$A793)*
      ('GIR Log'!$B$2:$B$73=$B793)*
      ('GIR Log'!$C$2:$C$73=$C793),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Log'!$E$2:$V$73,
    MATCH(1,
      ('Golf Log'!$A$2:$A$73=$A794)*
      ('Golf Log'!$B$2:$B$73=$B794)*
      ('Golf Log'!$C$2:$C$73=$C794),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Log'!$E$2:$V$73,
    MATCH(1,
      ('Putt Log'!$A$2:$A$73=$A794)*
      ('Putt Log'!$B$2:$B$73=$B794)*
      ('Putt Log'!$C$2:$C$73=$C794),
    0),
    MATCH($G794,'Putt Log'!$E$1:$V$1,0)
  ),
"")</f>
        <v>2</v>
      </c>
      <c r="P794" t="str" cm="1">
        <f t="array" ref="P794">IF(K794=3,"",
  IFERROR(
    INDEX('Fairway Log'!$E$2:$V$73,
      MATCH(1,
        ('Fairway Log'!$A$2:$A$73=$A794)*
        ('Fairway Log'!$B$2:$B$73=$B794)*
        ('Fairway Log'!$C$2:$C865=$C794),
      0),
      MATCH($G794,'Fairway Log'!$E$1:$V$1,0)
    ),
  "")
)</f>
        <v>←</v>
      </c>
      <c r="Q794" t="str" cm="1">
        <f t="array" ref="Q794">IFERROR(
  INDEX('GIR Log'!$E$2:$V$73,
    MATCH(1,
      ('GIR Log'!$A$2:$A$73=$A794)*
      ('GIR Log'!$B$2:$B$73=$B794)*
      ('GIR Log'!$C$2:$C$73=$C794),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Log'!$E$2:$V$73,
    MATCH(1,
      ('Golf Log'!$A$2:$A$73=$A795)*
      ('Golf Log'!$B$2:$B$73=$B795)*
      ('Golf Log'!$C$2:$C$73=$C795),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Log'!$E$2:$V$73,
    MATCH(1,
      ('Putt Log'!$A$2:$A$73=$A795)*
      ('Putt Log'!$B$2:$B$73=$B795)*
      ('Putt Log'!$C$2:$C$73=$C795),
    0),
    MATCH($G795,'Putt Log'!$E$1:$V$1,0)
  ),
"")</f>
        <v>2</v>
      </c>
      <c r="P795" t="str" cm="1">
        <f t="array" ref="P795">IF(K795=3,"",
  IFERROR(
    INDEX('Fairway Log'!$E$2:$V$73,
      MATCH(1,
        ('Fairway Log'!$A$2:$A$73=$A795)*
        ('Fairway Log'!$B$2:$B$73=$B795)*
        ('Fairway Log'!$C$2:$C866=$C795),
      0),
      MATCH($G795,'Fairway Log'!$E$1:$V$1,0)
    ),
  "")
)</f>
        <v>←</v>
      </c>
      <c r="Q795" t="str" cm="1">
        <f t="array" ref="Q795">IFERROR(
  INDEX('GIR Log'!$E$2:$V$73,
    MATCH(1,
      ('GIR Log'!$A$2:$A$73=$A795)*
      ('GIR Log'!$B$2:$B$73=$B795)*
      ('GIR Log'!$C$2:$C$73=$C795),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Log'!$E$2:$V$73,
    MATCH(1,
      ('Golf Log'!$A$2:$A$73=$A796)*
      ('Golf Log'!$B$2:$B$73=$B796)*
      ('Golf Log'!$C$2:$C$73=$C796),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Log'!$E$2:$V$73,
    MATCH(1,
      ('Putt Log'!$A$2:$A$73=$A796)*
      ('Putt Log'!$B$2:$B$73=$B796)*
      ('Putt Log'!$C$2:$C$73=$C796),
    0),
    MATCH($G796,'Putt Log'!$E$1:$V$1,0)
  ),
"")</f>
        <v>2</v>
      </c>
      <c r="P796" cm="1">
        <f t="array" ref="P796">IF(K796=3,"",
  IFERROR(
    INDEX('Fairway Log'!$E$2:$V$73,
      MATCH(1,
        ('Fairway Log'!$A$2:$A$73=$A796)*
        ('Fairway Log'!$B$2:$B$73=$B796)*
        ('Fairway Log'!$C$2:$C867=$C796),
      0),
      MATCH($G796,'Fairway Log'!$E$1:$V$1,0)
    ),
  "")
)</f>
        <v>1</v>
      </c>
      <c r="Q796" cm="1">
        <f t="array" ref="Q796">IFERROR(
  INDEX('GIR Log'!$E$2:$V$73,
    MATCH(1,
      ('GIR Log'!$A$2:$A$73=$A796)*
      ('GIR Log'!$B$2:$B$73=$B796)*
      ('GIR Log'!$C$2:$C$73=$C796),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Log'!$E$2:$V$73,
    MATCH(1,
      ('Golf Log'!$A$2:$A$73=$A797)*
      ('Golf Log'!$B$2:$B$73=$B797)*
      ('Golf Log'!$C$2:$C$73=$C797),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Log'!$E$2:$V$73,
    MATCH(1,
      ('Putt Log'!$A$2:$A$73=$A797)*
      ('Putt Log'!$B$2:$B$73=$B797)*
      ('Putt Log'!$C$2:$C$73=$C797),
    0),
    MATCH($G797,'Putt Log'!$E$1:$V$1,0)
  ),
"")</f>
        <v>2</v>
      </c>
      <c r="P797" t="str" cm="1">
        <f t="array" ref="P797">IF(K797=3,"",
  IFERROR(
    INDEX('Fairway Log'!$E$2:$V$73,
      MATCH(1,
        ('Fairway Log'!$A$2:$A$73=$A797)*
        ('Fairway Log'!$B$2:$B$73=$B797)*
        ('Fairway Log'!$C$2:$C868=$C797),
      0),
      MATCH($G797,'Fairway Log'!$E$1:$V$1,0)
    ),
  "")
)</f>
        <v/>
      </c>
      <c r="Q797" t="str" cm="1">
        <f t="array" ref="Q797">IFERROR(
  INDEX('GIR Log'!$E$2:$V$73,
    MATCH(1,
      ('GIR Log'!$A$2:$A$73=$A797)*
      ('GIR Log'!$B$2:$B$73=$B797)*
      ('GIR Log'!$C$2:$C$73=$C797),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Log'!$E$2:$V$73,
    MATCH(1,
      ('Golf Log'!$A$2:$A$73=$A798)*
      ('Golf Log'!$B$2:$B$73=$B798)*
      ('Golf Log'!$C$2:$C$73=$C798),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Log'!$E$2:$V$73,
    MATCH(1,
      ('Putt Log'!$A$2:$A$73=$A798)*
      ('Putt Log'!$B$2:$B$73=$B798)*
      ('Putt Log'!$C$2:$C$73=$C798),
    0),
    MATCH($G798,'Putt Log'!$E$1:$V$1,0)
  ),
"")</f>
        <v>1</v>
      </c>
      <c r="P798" cm="1">
        <f t="array" ref="P798">IF(K798=3,"",
  IFERROR(
    INDEX('Fairway Log'!$E$2:$V$73,
      MATCH(1,
        ('Fairway Log'!$A$2:$A$73=$A798)*
        ('Fairway Log'!$B$2:$B$73=$B798)*
        ('Fairway Log'!$C$2:$C869=$C798),
      0),
      MATCH($G798,'Fairway Log'!$E$1:$V$1,0)
    ),
  "")
)</f>
        <v>1</v>
      </c>
      <c r="Q798" t="str" cm="1">
        <f t="array" ref="Q798">IFERROR(
  INDEX('GIR Log'!$E$2:$V$73,
    MATCH(1,
      ('GIR Log'!$A$2:$A$73=$A798)*
      ('GIR Log'!$B$2:$B$73=$B798)*
      ('GIR Log'!$C$2:$C$73=$C798),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Log'!$E$2:$V$73,
    MATCH(1,
      ('Golf Log'!$A$2:$A$73=$A799)*
      ('Golf Log'!$B$2:$B$73=$B799)*
      ('Golf Log'!$C$2:$C$73=$C799),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Log'!$E$2:$V$73,
    MATCH(1,
      ('Putt Log'!$A$2:$A$73=$A799)*
      ('Putt Log'!$B$2:$B$73=$B799)*
      ('Putt Log'!$C$2:$C$73=$C799),
    0),
    MATCH($G799,'Putt Log'!$E$1:$V$1,0)
  ),
"")</f>
        <v>2</v>
      </c>
      <c r="P799" cm="1">
        <f t="array" ref="P799">IF(K799=3,"",
  IFERROR(
    INDEX('Fairway Log'!$E$2:$V$73,
      MATCH(1,
        ('Fairway Log'!$A$2:$A$73=$A799)*
        ('Fairway Log'!$B$2:$B$73=$B799)*
        ('Fairway Log'!$C$2:$C870=$C799),
      0),
      MATCH($G799,'Fairway Log'!$E$1:$V$1,0)
    ),
  "")
)</f>
        <v>1</v>
      </c>
      <c r="Q799" t="str" cm="1">
        <f t="array" ref="Q799">IFERROR(
  INDEX('GIR Log'!$E$2:$V$73,
    MATCH(1,
      ('GIR Log'!$A$2:$A$73=$A799)*
      ('GIR Log'!$B$2:$B$73=$B799)*
      ('GIR Log'!$C$2:$C$73=$C799),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Log'!$E$2:$V$73,
    MATCH(1,
      ('Golf Log'!$A$2:$A$73=$A800)*
      ('Golf Log'!$B$2:$B$73=$B800)*
      ('Golf Log'!$C$2:$C$73=$C800),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Log'!$E$2:$V$73,
    MATCH(1,
      ('Putt Log'!$A$2:$A$73=$A800)*
      ('Putt Log'!$B$2:$B$73=$B800)*
      ('Putt Log'!$C$2:$C$73=$C800),
    0),
    MATCH($G800,'Putt Log'!$E$1:$V$1,0)
  ),
"")</f>
        <v>3</v>
      </c>
      <c r="P800" cm="1">
        <f t="array" ref="P800">IF(K800=3,"",
  IFERROR(
    INDEX('Fairway Log'!$E$2:$V$73,
      MATCH(1,
        ('Fairway Log'!$A$2:$A$73=$A800)*
        ('Fairway Log'!$B$2:$B$73=$B800)*
        ('Fairway Log'!$C$2:$C871=$C800),
      0),
      MATCH($G800,'Fairway Log'!$E$1:$V$1,0)
    ),
  "")
)</f>
        <v>1</v>
      </c>
      <c r="Q800" cm="1">
        <f t="array" ref="Q800">IFERROR(
  INDEX('GIR Log'!$E$2:$V$73,
    MATCH(1,
      ('GIR Log'!$A$2:$A$73=$A800)*
      ('GIR Log'!$B$2:$B$73=$B800)*
      ('GIR Log'!$C$2:$C$73=$C800),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Log'!$E$2:$V$73,
    MATCH(1,
      ('Golf Log'!$A$2:$A$73=$A801)*
      ('Golf Log'!$B$2:$B$73=$B801)*
      ('Golf Log'!$C$2:$C$73=$C801),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Log'!$E$2:$V$73,
    MATCH(1,
      ('Putt Log'!$A$2:$A$73=$A801)*
      ('Putt Log'!$B$2:$B$73=$B801)*
      ('Putt Log'!$C$2:$C$73=$C801),
    0),
    MATCH($G801,'Putt Log'!$E$1:$V$1,0)
  ),
"")</f>
        <v>2</v>
      </c>
      <c r="P801" t="str" cm="1">
        <f t="array" ref="P801">IF(K801=3,"",
  IFERROR(
    INDEX('Fairway Log'!$E$2:$V$73,
      MATCH(1,
        ('Fairway Log'!$A$2:$A$73=$A801)*
        ('Fairway Log'!$B$2:$B$73=$B801)*
        ('Fairway Log'!$C$2:$C872=$C801),
      0),
      MATCH($G801,'Fairway Log'!$E$1:$V$1,0)
    ),
  "")
)</f>
        <v/>
      </c>
      <c r="Q801" t="str" cm="1">
        <f t="array" ref="Q801">IFERROR(
  INDEX('GIR Log'!$E$2:$V$73,
    MATCH(1,
      ('GIR Log'!$A$2:$A$73=$A801)*
      ('GIR Log'!$B$2:$B$73=$B801)*
      ('GIR Log'!$C$2:$C$73=$C801),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Log'!$E$2:$V$73,
    MATCH(1,
      ('Golf Log'!$A$2:$A$73=$A802)*
      ('Golf Log'!$B$2:$B$73=$B802)*
      ('Golf Log'!$C$2:$C$73=$C802),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Log'!$E$2:$V$73,
    MATCH(1,
      ('Putt Log'!$A$2:$A$73=$A802)*
      ('Putt Log'!$B$2:$B$73=$B802)*
      ('Putt Log'!$C$2:$C$73=$C802),
    0),
    MATCH($G802,'Putt Log'!$E$1:$V$1,0)
  ),
"")</f>
        <v>2</v>
      </c>
      <c r="P802" t="str" cm="1">
        <f t="array" ref="P802">IF(K802=3,"",
  IFERROR(
    INDEX('Fairway Log'!$E$2:$V$73,
      MATCH(1,
        ('Fairway Log'!$A$2:$A$73=$A802)*
        ('Fairway Log'!$B$2:$B$73=$B802)*
        ('Fairway Log'!$C$2:$C873=$C802),
      0),
      MATCH($G802,'Fairway Log'!$E$1:$V$1,0)
    ),
  "")
)</f>
        <v>←</v>
      </c>
      <c r="Q802" t="str" cm="1">
        <f t="array" ref="Q802">IFERROR(
  INDEX('GIR Log'!$E$2:$V$73,
    MATCH(1,
      ('GIR Log'!$A$2:$A$73=$A802)*
      ('GIR Log'!$B$2:$B$73=$B802)*
      ('GIR Log'!$C$2:$C$73=$C802),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Log'!$E$2:$V$73,
    MATCH(1,
      ('Golf Log'!$A$2:$A$73=$A803)*
      ('Golf Log'!$B$2:$B$73=$B803)*
      ('Golf Log'!$C$2:$C$73=$C803),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Log'!$E$2:$V$73,
    MATCH(1,
      ('Putt Log'!$A$2:$A$73=$A803)*
      ('Putt Log'!$B$2:$B$73=$B803)*
      ('Putt Log'!$C$2:$C$73=$C803),
    0),
    MATCH($G803,'Putt Log'!$E$1:$V$1,0)
  ),
"")</f>
        <v>0</v>
      </c>
      <c r="P803" t="str" cm="1">
        <f t="array" ref="P803">IF(K803=3,"",
  IFERROR(
    INDEX('Fairway Log'!$E$2:$V$73,
      MATCH(1,
        ('Fairway Log'!$A$2:$A$73=$A803)*
        ('Fairway Log'!$B$2:$B$73=$B803)*
        ('Fairway Log'!$C$2:$C874=$C803),
      0),
      MATCH($G803,'Fairway Log'!$E$1:$V$1,0)
    ),
  "")
)</f>
        <v>←</v>
      </c>
      <c r="Q803" t="str" cm="1">
        <f t="array" ref="Q803">IFERROR(
  INDEX('GIR Log'!$E$2:$V$73,
    MATCH(1,
      ('GIR Log'!$A$2:$A$73=$A803)*
      ('GIR Log'!$B$2:$B$73=$B803)*
      ('GIR Log'!$C$2:$C$73=$C803),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Log'!$E$2:$V$73,
    MATCH(1,
      ('Golf Log'!$A$2:$A$73=$A804)*
      ('Golf Log'!$B$2:$B$73=$B804)*
      ('Golf Log'!$C$2:$C$73=$C804),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Log'!$E$2:$V$73,
    MATCH(1,
      ('Putt Log'!$A$2:$A$73=$A804)*
      ('Putt Log'!$B$2:$B$73=$B804)*
      ('Putt Log'!$C$2:$C$73=$C804),
    0),
    MATCH($G804,'Putt Log'!$E$1:$V$1,0)
  ),
"")</f>
        <v>3</v>
      </c>
      <c r="P804" t="str" cm="1">
        <f t="array" ref="P804">IF(K804=3,"",
  IFERROR(
    INDEX('Fairway Log'!$E$2:$V$73,
      MATCH(1,
        ('Fairway Log'!$A$2:$A$73=$A804)*
        ('Fairway Log'!$B$2:$B$73=$B804)*
        ('Fairway Log'!$C$2:$C875=$C804),
      0),
      MATCH($G804,'Fairway Log'!$E$1:$V$1,0)
    ),
  "")
)</f>
        <v>←</v>
      </c>
      <c r="Q804" cm="1">
        <f t="array" ref="Q804">IFERROR(
  INDEX('GIR Log'!$E$2:$V$73,
    MATCH(1,
      ('GIR Log'!$A$2:$A$73=$A804)*
      ('GIR Log'!$B$2:$B$73=$B804)*
      ('GIR Log'!$C$2:$C$73=$C804),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Log'!$E$2:$V$73,
    MATCH(1,
      ('Golf Log'!$A$2:$A$73=$A805)*
      ('Golf Log'!$B$2:$B$73=$B805)*
      ('Golf Log'!$C$2:$C$73=$C805),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Log'!$E$2:$V$73,
    MATCH(1,
      ('Putt Log'!$A$2:$A$73=$A805)*
      ('Putt Log'!$B$2:$B$73=$B805)*
      ('Putt Log'!$C$2:$C$73=$C805),
    0),
    MATCH($G805,'Putt Log'!$E$1:$V$1,0)
  ),
"")</f>
        <v>3</v>
      </c>
      <c r="P805" cm="1">
        <f t="array" ref="P805">IF(K805=3,"",
  IFERROR(
    INDEX('Fairway Log'!$E$2:$V$73,
      MATCH(1,
        ('Fairway Log'!$A$2:$A$73=$A805)*
        ('Fairway Log'!$B$2:$B$73=$B805)*
        ('Fairway Log'!$C$2:$C876=$C805),
      0),
      MATCH($G805,'Fairway Log'!$E$1:$V$1,0)
    ),
  "")
)</f>
        <v>1</v>
      </c>
      <c r="Q805" t="str" cm="1">
        <f t="array" ref="Q805">IFERROR(
  INDEX('GIR Log'!$E$2:$V$73,
    MATCH(1,
      ('GIR Log'!$A$2:$A$73=$A805)*
      ('GIR Log'!$B$2:$B$73=$B805)*
      ('GIR Log'!$C$2:$C$73=$C805),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Log'!$E$2:$V$73,
    MATCH(1,
      ('Golf Log'!$A$2:$A$73=$A806)*
      ('Golf Log'!$B$2:$B$73=$B806)*
      ('Golf Log'!$C$2:$C$73=$C806),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Log'!$E$2:$V$73,
    MATCH(1,
      ('Putt Log'!$A$2:$A$73=$A806)*
      ('Putt Log'!$B$2:$B$73=$B806)*
      ('Putt Log'!$C$2:$C$73=$C806),
    0),
    MATCH($G806,'Putt Log'!$E$1:$V$1,0)
  ),
"")</f>
        <v>2</v>
      </c>
      <c r="P806" t="str" cm="1">
        <f t="array" ref="P806">IF(K806=3,"",
  IFERROR(
    INDEX('Fairway Log'!$E$2:$V$73,
      MATCH(1,
        ('Fairway Log'!$A$2:$A$73=$A806)*
        ('Fairway Log'!$B$2:$B$73=$B806)*
        ('Fairway Log'!$C$2:$C877=$C806),
      0),
      MATCH($G806,'Fairway Log'!$E$1:$V$1,0)
    ),
  "")
)</f>
        <v/>
      </c>
      <c r="Q806" cm="1">
        <f t="array" ref="Q806">IFERROR(
  INDEX('GIR Log'!$E$2:$V$73,
    MATCH(1,
      ('GIR Log'!$A$2:$A$73=$A806)*
      ('GIR Log'!$B$2:$B$73=$B806)*
      ('GIR Log'!$C$2:$C$73=$C806),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Log'!$E$2:$V$73,
    MATCH(1,
      ('Golf Log'!$A$2:$A$73=$A807)*
      ('Golf Log'!$B$2:$B$73=$B807)*
      ('Golf Log'!$C$2:$C$73=$C807),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Log'!$E$2:$V$73,
    MATCH(1,
      ('Putt Log'!$A$2:$A$73=$A807)*
      ('Putt Log'!$B$2:$B$73=$B807)*
      ('Putt Log'!$C$2:$C$73=$C807),
    0),
    MATCH($G807,'Putt Log'!$E$1:$V$1,0)
  ),
"")</f>
        <v>1</v>
      </c>
      <c r="P807" cm="1">
        <f t="array" ref="P807">IF(K807=3,"",
  IFERROR(
    INDEX('Fairway Log'!$E$2:$V$73,
      MATCH(1,
        ('Fairway Log'!$A$2:$A$73=$A807)*
        ('Fairway Log'!$B$2:$B$73=$B807)*
        ('Fairway Log'!$C$2:$C878=$C807),
      0),
      MATCH($G807,'Fairway Log'!$E$1:$V$1,0)
    ),
  "")
)</f>
        <v>1</v>
      </c>
      <c r="Q807" t="str" cm="1">
        <f t="array" ref="Q807">IFERROR(
  INDEX('GIR Log'!$E$2:$V$73,
    MATCH(1,
      ('GIR Log'!$A$2:$A$73=$A807)*
      ('GIR Log'!$B$2:$B$73=$B807)*
      ('GIR Log'!$C$2:$C$73=$C807),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Log'!$E$2:$V$73,
    MATCH(1,
      ('Golf Log'!$A$2:$A$73=$A808)*
      ('Golf Log'!$B$2:$B$73=$B808)*
      ('Golf Log'!$C$2:$C$73=$C808),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Log'!$E$2:$V$73,
    MATCH(1,
      ('Putt Log'!$A$2:$A$73=$A808)*
      ('Putt Log'!$B$2:$B$73=$B808)*
      ('Putt Log'!$C$2:$C$73=$C808),
    0),
    MATCH($G808,'Putt Log'!$E$1:$V$1,0)
  ),
"")</f>
        <v>3</v>
      </c>
      <c r="P808" t="str" cm="1">
        <f t="array" ref="P808">IF(K808=3,"",
  IFERROR(
    INDEX('Fairway Log'!$E$2:$V$73,
      MATCH(1,
        ('Fairway Log'!$A$2:$A$73=$A808)*
        ('Fairway Log'!$B$2:$B$73=$B808)*
        ('Fairway Log'!$C$2:$C879=$C808),
      0),
      MATCH($G808,'Fairway Log'!$E$1:$V$1,0)
    ),
  "")
)</f>
        <v>←</v>
      </c>
      <c r="Q808" t="str" cm="1">
        <f t="array" ref="Q808">IFERROR(
  INDEX('GIR Log'!$E$2:$V$73,
    MATCH(1,
      ('GIR Log'!$A$2:$A$73=$A808)*
      ('GIR Log'!$B$2:$B$73=$B808)*
      ('GIR Log'!$C$2:$C$73=$C808),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Log'!$E$2:$V$73,
    MATCH(1,
      ('Golf Log'!$A$2:$A$73=$A809)*
      ('Golf Log'!$B$2:$B$73=$B809)*
      ('Golf Log'!$C$2:$C$73=$C809),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Log'!$E$2:$V$73,
    MATCH(1,
      ('Putt Log'!$A$2:$A$73=$A809)*
      ('Putt Log'!$B$2:$B$73=$B809)*
      ('Putt Log'!$C$2:$C$73=$C809),
    0),
    MATCH($G809,'Putt Log'!$E$1:$V$1,0)
  ),
"")</f>
        <v>2</v>
      </c>
      <c r="P809" t="str" cm="1">
        <f t="array" ref="P809">IF(K809=3,"",
  IFERROR(
    INDEX('Fairway Log'!$E$2:$V$73,
      MATCH(1,
        ('Fairway Log'!$A$2:$A$73=$A809)*
        ('Fairway Log'!$B$2:$B$73=$B809)*
        ('Fairway Log'!$C$2:$C880=$C809),
      0),
      MATCH($G809,'Fairway Log'!$E$1:$V$1,0)
    ),
  "")
)</f>
        <v>→</v>
      </c>
      <c r="Q809" t="str" cm="1">
        <f t="array" ref="Q809">IFERROR(
  INDEX('GIR Log'!$E$2:$V$73,
    MATCH(1,
      ('GIR Log'!$A$2:$A$73=$A809)*
      ('GIR Log'!$B$2:$B$73=$B809)*
      ('GIR Log'!$C$2:$C$73=$C809),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Log'!$E$2:$V$73,
    MATCH(1,
      ('Golf Log'!$A$2:$A$73=$A810)*
      ('Golf Log'!$B$2:$B$73=$B810)*
      ('Golf Log'!$C$2:$C$73=$C810),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Log'!$E$2:$V$73,
    MATCH(1,
      ('Putt Log'!$A$2:$A$73=$A810)*
      ('Putt Log'!$B$2:$B$73=$B810)*
      ('Putt Log'!$C$2:$C$73=$C810),
    0),
    MATCH($G810,'Putt Log'!$E$1:$V$1,0)
  ),
"")</f>
        <v>2</v>
      </c>
      <c r="P810" t="str" cm="1">
        <f t="array" ref="P810">IF(K810=3,"",
  IFERROR(
    INDEX('Fairway Log'!$E$2:$V$73,
      MATCH(1,
        ('Fairway Log'!$A$2:$A$73=$A810)*
        ('Fairway Log'!$B$2:$B$73=$B810)*
        ('Fairway Log'!$C$2:$C881=$C810),
      0),
      MATCH($G810,'Fairway Log'!$E$1:$V$1,0)
    ),
  "")
)</f>
        <v/>
      </c>
      <c r="Q810" t="str" cm="1">
        <f t="array" ref="Q810">IFERROR(
  INDEX('GIR Log'!$E$2:$V$73,
    MATCH(1,
      ('GIR Log'!$A$2:$A$73=$A810)*
      ('GIR Log'!$B$2:$B$73=$B810)*
      ('GIR Log'!$C$2:$C$73=$C810),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Log'!$E$2:$V$73,
    MATCH(1,
      ('Golf Log'!$A$2:$A$73=$A811)*
      ('Golf Log'!$B$2:$B$73=$B811)*
      ('Golf Log'!$C$2:$C$73=$C811),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Log'!$E$2:$V$73,
    MATCH(1,
      ('Putt Log'!$A$2:$A$73=$A811)*
      ('Putt Log'!$B$2:$B$73=$B811)*
      ('Putt Log'!$C$2:$C$73=$C811),
    0),
    MATCH($G811,'Putt Log'!$E$1:$V$1,0)
  ),
"")</f>
        <v>2</v>
      </c>
      <c r="P811" cm="1">
        <f t="array" ref="P811">IF(K811=3,"",
  IFERROR(
    INDEX('Fairway Log'!$E$2:$V$73,
      MATCH(1,
        ('Fairway Log'!$A$2:$A$73=$A811)*
        ('Fairway Log'!$B$2:$B$73=$B811)*
        ('Fairway Log'!$C$2:$C882=$C811),
      0),
      MATCH($G811,'Fairway Log'!$E$1:$V$1,0)
    ),
  "")
)</f>
        <v>1</v>
      </c>
      <c r="Q811" t="str" cm="1">
        <f t="array" ref="Q811">IFERROR(
  INDEX('GIR Log'!$E$2:$V$73,
    MATCH(1,
      ('GIR Log'!$A$2:$A$73=$A811)*
      ('GIR Log'!$B$2:$B$73=$B811)*
      ('GIR Log'!$C$2:$C$73=$C811),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Log'!$E$2:$V$73,
    MATCH(1,
      ('Golf Log'!$A$2:$A$73=$A812)*
      ('Golf Log'!$B$2:$B$73=$B812)*
      ('Golf Log'!$C$2:$C$73=$C812),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Log'!$E$2:$V$73,
    MATCH(1,
      ('Putt Log'!$A$2:$A$73=$A812)*
      ('Putt Log'!$B$2:$B$73=$B812)*
      ('Putt Log'!$C$2:$C$73=$C812),
    0),
    MATCH($G812,'Putt Log'!$E$1:$V$1,0)
  ),
"")</f>
        <v>2</v>
      </c>
      <c r="P812" cm="1">
        <f t="array" ref="P812">IF(K812=3,"",
  IFERROR(
    INDEX('Fairway Log'!$E$2:$V$73,
      MATCH(1,
        ('Fairway Log'!$A$2:$A$73=$A812)*
        ('Fairway Log'!$B$2:$B$73=$B812)*
        ('Fairway Log'!$C$2:$C883=$C812),
      0),
      MATCH($G812,'Fairway Log'!$E$1:$V$1,0)
    ),
  "")
)</f>
        <v>1</v>
      </c>
      <c r="Q812" t="str" cm="1">
        <f t="array" ref="Q812">IFERROR(
  INDEX('GIR Log'!$E$2:$V$73,
    MATCH(1,
      ('GIR Log'!$A$2:$A$73=$A812)*
      ('GIR Log'!$B$2:$B$73=$B812)*
      ('GIR Log'!$C$2:$C$73=$C812),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Log'!$E$2:$V$73,
    MATCH(1,
      ('Golf Log'!$A$2:$A$73=$A813)*
      ('Golf Log'!$B$2:$B$73=$B813)*
      ('Golf Log'!$C$2:$C$73=$C813),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Log'!$E$2:$V$73,
    MATCH(1,
      ('Putt Log'!$A$2:$A$73=$A813)*
      ('Putt Log'!$B$2:$B$73=$B813)*
      ('Putt Log'!$C$2:$C$73=$C813),
    0),
    MATCH($G813,'Putt Log'!$E$1:$V$1,0)
  ),
"")</f>
        <v>2</v>
      </c>
      <c r="P813" t="str" cm="1">
        <f t="array" ref="P813">IF(K813=3,"",
  IFERROR(
    INDEX('Fairway Log'!$E$2:$V$73,
      MATCH(1,
        ('Fairway Log'!$A$2:$A$73=$A813)*
        ('Fairway Log'!$B$2:$B$73=$B813)*
        ('Fairway Log'!$C$2:$C884=$C813),
      0),
      MATCH($G813,'Fairway Log'!$E$1:$V$1,0)
    ),
  "")
)</f>
        <v>↓</v>
      </c>
      <c r="Q813" t="str" cm="1">
        <f t="array" ref="Q813">IFERROR(
  INDEX('GIR Log'!$E$2:$V$73,
    MATCH(1,
      ('GIR Log'!$A$2:$A$73=$A813)*
      ('GIR Log'!$B$2:$B$73=$B813)*
      ('GIR Log'!$C$2:$C$73=$C813),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Log'!$E$2:$V$73,
    MATCH(1,
      ('Golf Log'!$A$2:$A$73=$A814)*
      ('Golf Log'!$B$2:$B$73=$B814)*
      ('Golf Log'!$C$2:$C$73=$C814),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Log'!$E$2:$V$73,
    MATCH(1,
      ('Putt Log'!$A$2:$A$73=$A814)*
      ('Putt Log'!$B$2:$B$73=$B814)*
      ('Putt Log'!$C$2:$C$73=$C814),
    0),
    MATCH($G814,'Putt Log'!$E$1:$V$1,0)
  ),
"")</f>
        <v>3</v>
      </c>
      <c r="P814" t="str" cm="1">
        <f t="array" ref="P814">IF(K814=3,"",
  IFERROR(
    INDEX('Fairway Log'!$E$2:$V$73,
      MATCH(1,
        ('Fairway Log'!$A$2:$A$73=$A814)*
        ('Fairway Log'!$B$2:$B$73=$B814)*
        ('Fairway Log'!$C$2:$C885=$C814),
      0),
      MATCH($G814,'Fairway Log'!$E$1:$V$1,0)
    ),
  "")
)</f>
        <v/>
      </c>
      <c r="Q814" t="str" cm="1">
        <f t="array" ref="Q814">IFERROR(
  INDEX('GIR Log'!$E$2:$V$73,
    MATCH(1,
      ('GIR Log'!$A$2:$A$73=$A814)*
      ('GIR Log'!$B$2:$B$73=$B814)*
      ('GIR Log'!$C$2:$C$73=$C814),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Log'!$E$2:$V$73,
    MATCH(1,
      ('Golf Log'!$A$2:$A$73=$A815)*
      ('Golf Log'!$B$2:$B$73=$B815)*
      ('Golf Log'!$C$2:$C$73=$C815),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Log'!$E$2:$V$73,
    MATCH(1,
      ('Putt Log'!$A$2:$A$73=$A815)*
      ('Putt Log'!$B$2:$B$73=$B815)*
      ('Putt Log'!$C$2:$C$73=$C815),
    0),
    MATCH($G815,'Putt Log'!$E$1:$V$1,0)
  ),
"")</f>
        <v>2</v>
      </c>
      <c r="P815" t="str" cm="1">
        <f t="array" ref="P815">IF(K815=3,"",
  IFERROR(
    INDEX('Fairway Log'!$E$2:$V$73,
      MATCH(1,
        ('Fairway Log'!$A$2:$A$73=$A815)*
        ('Fairway Log'!$B$2:$B$73=$B815)*
        ('Fairway Log'!$C$2:$C886=$C815),
      0),
      MATCH($G815,'Fairway Log'!$E$1:$V$1,0)
    ),
  "")
)</f>
        <v>→</v>
      </c>
      <c r="Q815" t="str" cm="1">
        <f t="array" ref="Q815">IFERROR(
  INDEX('GIR Log'!$E$2:$V$73,
    MATCH(1,
      ('GIR Log'!$A$2:$A$73=$A815)*
      ('GIR Log'!$B$2:$B$73=$B815)*
      ('GIR Log'!$C$2:$C$73=$C815),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Log'!$E$2:$V$73,
    MATCH(1,
      ('Golf Log'!$A$2:$A$73=$A816)*
      ('Golf Log'!$B$2:$B$73=$B816)*
      ('Golf Log'!$C$2:$C$73=$C816),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Log'!$E$2:$V$73,
    MATCH(1,
      ('Putt Log'!$A$2:$A$73=$A816)*
      ('Putt Log'!$B$2:$B$73=$B816)*
      ('Putt Log'!$C$2:$C$73=$C816),
    0),
    MATCH($G816,'Putt Log'!$E$1:$V$1,0)
  ),
"")</f>
        <v>2</v>
      </c>
      <c r="P816" t="str" cm="1">
        <f t="array" ref="P816">IF(K816=3,"",
  IFERROR(
    INDEX('Fairway Log'!$E$2:$V$73,
      MATCH(1,
        ('Fairway Log'!$A$2:$A$73=$A816)*
        ('Fairway Log'!$B$2:$B$73=$B816)*
        ('Fairway Log'!$C$2:$C887=$C816),
      0),
      MATCH($G816,'Fairway Log'!$E$1:$V$1,0)
    ),
  "")
)</f>
        <v/>
      </c>
      <c r="Q816" t="str" cm="1">
        <f t="array" ref="Q816">IFERROR(
  INDEX('GIR Log'!$E$2:$V$73,
    MATCH(1,
      ('GIR Log'!$A$2:$A$73=$A816)*
      ('GIR Log'!$B$2:$B$73=$B816)*
      ('GIR Log'!$C$2:$C$73=$C816),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Log'!$E$2:$V$73,
    MATCH(1,
      ('Golf Log'!$A$2:$A$73=$A817)*
      ('Golf Log'!$B$2:$B$73=$B817)*
      ('Golf Log'!$C$2:$C$73=$C817),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Log'!$E$2:$V$73,
    MATCH(1,
      ('Putt Log'!$A$2:$A$73=$A817)*
      ('Putt Log'!$B$2:$B$73=$B817)*
      ('Putt Log'!$C$2:$C$73=$C817),
    0),
    MATCH($G817,'Putt Log'!$E$1:$V$1,0)
  ),
"")</f>
        <v>2</v>
      </c>
      <c r="P817" cm="1">
        <f t="array" ref="P817">IF(K817=3,"",
  IFERROR(
    INDEX('Fairway Log'!$E$2:$V$73,
      MATCH(1,
        ('Fairway Log'!$A$2:$A$73=$A817)*
        ('Fairway Log'!$B$2:$B$73=$B817)*
        ('Fairway Log'!$C$2:$C888=$C817),
      0),
      MATCH($G817,'Fairway Log'!$E$1:$V$1,0)
    ),
  "")
)</f>
        <v>1</v>
      </c>
      <c r="Q817" t="str" cm="1">
        <f t="array" ref="Q817">IFERROR(
  INDEX('GIR Log'!$E$2:$V$73,
    MATCH(1,
      ('GIR Log'!$A$2:$A$73=$A817)*
      ('GIR Log'!$B$2:$B$73=$B817)*
      ('GIR Log'!$C$2:$C$73=$C817),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Log'!$E$2:$V$73,
    MATCH(1,
      ('Golf Log'!$A$2:$A$73=$A818)*
      ('Golf Log'!$B$2:$B$73=$B818)*
      ('Golf Log'!$C$2:$C$73=$C818),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Log'!$E$2:$V$73,
    MATCH(1,
      ('Putt Log'!$A$2:$A$73=$A818)*
      ('Putt Log'!$B$2:$B$73=$B818)*
      ('Putt Log'!$C$2:$C$73=$C818),
    0),
    MATCH($G818,'Putt Log'!$E$1:$V$1,0)
  ),
"")</f>
        <v>3</v>
      </c>
      <c r="P818" t="str" cm="1">
        <f t="array" ref="P818">IF(K818=3,"",
  IFERROR(
    INDEX('Fairway Log'!$E$2:$V$73,
      MATCH(1,
        ('Fairway Log'!$A$2:$A$73=$A818)*
        ('Fairway Log'!$B$2:$B$73=$B818)*
        ('Fairway Log'!$C$2:$C889=$C818),
      0),
      MATCH($G818,'Fairway Log'!$E$1:$V$1,0)
    ),
  "")
)</f>
        <v>→</v>
      </c>
      <c r="Q818" t="str" cm="1">
        <f t="array" ref="Q818">IFERROR(
  INDEX('GIR Log'!$E$2:$V$73,
    MATCH(1,
      ('GIR Log'!$A$2:$A$73=$A818)*
      ('GIR Log'!$B$2:$B$73=$B818)*
      ('GIR Log'!$C$2:$C$73=$C818),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Log'!$E$2:$V$73,
    MATCH(1,
      ('Golf Log'!$A$2:$A$73=$A819)*
      ('Golf Log'!$B$2:$B$73=$B819)*
      ('Golf Log'!$C$2:$C$73=$C819),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Log'!$E$2:$V$73,
    MATCH(1,
      ('Putt Log'!$A$2:$A$73=$A819)*
      ('Putt Log'!$B$2:$B$73=$B819)*
      ('Putt Log'!$C$2:$C$73=$C819),
    0),
    MATCH($G819,'Putt Log'!$E$1:$V$1,0)
  ),
"")</f>
        <v>2</v>
      </c>
      <c r="P819" t="str" cm="1">
        <f t="array" ref="P819">IF(K819=3,"",
  IFERROR(
    INDEX('Fairway Log'!$E$2:$V$73,
      MATCH(1,
        ('Fairway Log'!$A$2:$A$73=$A819)*
        ('Fairway Log'!$B$2:$B$73=$B819)*
        ('Fairway Log'!$C$2:$C890=$C819),
      0),
      MATCH($G819,'Fairway Log'!$E$1:$V$1,0)
    ),
  "")
)</f>
        <v>↓</v>
      </c>
      <c r="Q819" t="str" cm="1">
        <f t="array" ref="Q819">IFERROR(
  INDEX('GIR Log'!$E$2:$V$73,
    MATCH(1,
      ('GIR Log'!$A$2:$A$73=$A819)*
      ('GIR Log'!$B$2:$B$73=$B819)*
      ('GIR Log'!$C$2:$C$73=$C819),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Log'!$E$2:$V$73,
    MATCH(1,
      ('Golf Log'!$A$2:$A$73=$A820)*
      ('Golf Log'!$B$2:$B$73=$B820)*
      ('Golf Log'!$C$2:$C$73=$C820),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Log'!$E$2:$V$73,
    MATCH(1,
      ('Putt Log'!$A$2:$A$73=$A820)*
      ('Putt Log'!$B$2:$B$73=$B820)*
      ('Putt Log'!$C$2:$C$73=$C820),
    0),
    MATCH($G820,'Putt Log'!$E$1:$V$1,0)
  ),
"")</f>
        <v>2</v>
      </c>
      <c r="P820" t="str" cm="1">
        <f t="array" ref="P820">IF(K820=3,"",
  IFERROR(
    INDEX('Fairway Log'!$E$2:$V$73,
      MATCH(1,
        ('Fairway Log'!$A$2:$A$73=$A820)*
        ('Fairway Log'!$B$2:$B$73=$B820)*
        ('Fairway Log'!$C$2:$C891=$C820),
      0),
      MATCH($G820,'Fairway Log'!$E$1:$V$1,0)
    ),
  "")
)</f>
        <v>↓</v>
      </c>
      <c r="Q820" t="str" cm="1">
        <f t="array" ref="Q820">IFERROR(
  INDEX('GIR Log'!$E$2:$V$73,
    MATCH(1,
      ('GIR Log'!$A$2:$A$73=$A820)*
      ('GIR Log'!$B$2:$B$73=$B820)*
      ('GIR Log'!$C$2:$C$73=$C820),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Log'!$E$2:$V$73,
    MATCH(1,
      ('Golf Log'!$A$2:$A$73=$A821)*
      ('Golf Log'!$B$2:$B$73=$B821)*
      ('Golf Log'!$C$2:$C$73=$C821),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Log'!$E$2:$V$73,
    MATCH(1,
      ('Putt Log'!$A$2:$A$73=$A821)*
      ('Putt Log'!$B$2:$B$73=$B821)*
      ('Putt Log'!$C$2:$C$73=$C821),
    0),
    MATCH($G821,'Putt Log'!$E$1:$V$1,0)
  ),
"")</f>
        <v>2</v>
      </c>
      <c r="P821" t="str" cm="1">
        <f t="array" ref="P821">IF(K821=3,"",
  IFERROR(
    INDEX('Fairway Log'!$E$2:$V$73,
      MATCH(1,
        ('Fairway Log'!$A$2:$A$73=$A821)*
        ('Fairway Log'!$B$2:$B$73=$B821)*
        ('Fairway Log'!$C$2:$C892=$C821),
      0),
      MATCH($G821,'Fairway Log'!$E$1:$V$1,0)
    ),
  "")
)</f>
        <v>↓</v>
      </c>
      <c r="Q821" t="str" cm="1">
        <f t="array" ref="Q821">IFERROR(
  INDEX('GIR Log'!$E$2:$V$73,
    MATCH(1,
      ('GIR Log'!$A$2:$A$73=$A821)*
      ('GIR Log'!$B$2:$B$73=$B821)*
      ('GIR Log'!$C$2:$C$73=$C821),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Log'!$E$2:$V$73,
    MATCH(1,
      ('Golf Log'!$A$2:$A$73=$A822)*
      ('Golf Log'!$B$2:$B$73=$B822)*
      ('Golf Log'!$C$2:$C$73=$C822),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Log'!$E$2:$V$73,
    MATCH(1,
      ('Putt Log'!$A$2:$A$73=$A822)*
      ('Putt Log'!$B$2:$B$73=$B822)*
      ('Putt Log'!$C$2:$C$73=$C822),
    0),
    MATCH($G822,'Putt Log'!$E$1:$V$1,0)
  ),
"")</f>
        <v>2</v>
      </c>
      <c r="P822" t="str" cm="1">
        <f t="array" ref="P822">IF(K822=3,"",
  IFERROR(
    INDEX('Fairway Log'!$E$2:$V$73,
      MATCH(1,
        ('Fairway Log'!$A$2:$A$73=$A822)*
        ('Fairway Log'!$B$2:$B$73=$B822)*
        ('Fairway Log'!$C$2:$C893=$C822),
      0),
      MATCH($G822,'Fairway Log'!$E$1:$V$1,0)
    ),
  "")
)</f>
        <v>→</v>
      </c>
      <c r="Q822" t="str" cm="1">
        <f t="array" ref="Q822">IFERROR(
  INDEX('GIR Log'!$E$2:$V$73,
    MATCH(1,
      ('GIR Log'!$A$2:$A$73=$A822)*
      ('GIR Log'!$B$2:$B$73=$B822)*
      ('GIR Log'!$C$2:$C$73=$C822),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Log'!$E$2:$V$73,
    MATCH(1,
      ('Golf Log'!$A$2:$A$73=$A823)*
      ('Golf Log'!$B$2:$B$73=$B823)*
      ('Golf Log'!$C$2:$C$73=$C823),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Log'!$E$2:$V$73,
    MATCH(1,
      ('Putt Log'!$A$2:$A$73=$A823)*
      ('Putt Log'!$B$2:$B$73=$B823)*
      ('Putt Log'!$C$2:$C$73=$C823),
    0),
    MATCH($G823,'Putt Log'!$E$1:$V$1,0)
  ),
"")</f>
        <v>1</v>
      </c>
      <c r="P823" t="str" cm="1">
        <f t="array" ref="P823">IF(K823=3,"",
  IFERROR(
    INDEX('Fairway Log'!$E$2:$V$73,
      MATCH(1,
        ('Fairway Log'!$A$2:$A$73=$A823)*
        ('Fairway Log'!$B$2:$B$73=$B823)*
        ('Fairway Log'!$C$2:$C894=$C823),
      0),
      MATCH($G823,'Fairway Log'!$E$1:$V$1,0)
    ),
  "")
)</f>
        <v>→</v>
      </c>
      <c r="Q823" t="str" cm="1">
        <f t="array" ref="Q823">IFERROR(
  INDEX('GIR Log'!$E$2:$V$73,
    MATCH(1,
      ('GIR Log'!$A$2:$A$73=$A823)*
      ('GIR Log'!$B$2:$B$73=$B823)*
      ('GIR Log'!$C$2:$C$73=$C823),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Log'!$E$2:$V$73,
    MATCH(1,
      ('Golf Log'!$A$2:$A$73=$A824)*
      ('Golf Log'!$B$2:$B$73=$B824)*
      ('Golf Log'!$C$2:$C$73=$C824),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Log'!$E$2:$V$73,
    MATCH(1,
      ('Putt Log'!$A$2:$A$73=$A824)*
      ('Putt Log'!$B$2:$B$73=$B824)*
      ('Putt Log'!$C$2:$C$73=$C824),
    0),
    MATCH($G824,'Putt Log'!$E$1:$V$1,0)
  ),
"")</f>
        <v>1</v>
      </c>
      <c r="P824" cm="1">
        <f t="array" ref="P824">IF(K824=3,"",
  IFERROR(
    INDEX('Fairway Log'!$E$2:$V$73,
      MATCH(1,
        ('Fairway Log'!$A$2:$A$73=$A824)*
        ('Fairway Log'!$B$2:$B$73=$B824)*
        ('Fairway Log'!$C$2:$C895=$C824),
      0),
      MATCH($G824,'Fairway Log'!$E$1:$V$1,0)
    ),
  "")
)</f>
        <v>1</v>
      </c>
      <c r="Q824" t="str" cm="1">
        <f t="array" ref="Q824">IFERROR(
  INDEX('GIR Log'!$E$2:$V$73,
    MATCH(1,
      ('GIR Log'!$A$2:$A$73=$A824)*
      ('GIR Log'!$B$2:$B$73=$B824)*
      ('GIR Log'!$C$2:$C$73=$C824),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Log'!$E$2:$V$73,
    MATCH(1,
      ('Golf Log'!$A$2:$A$73=$A825)*
      ('Golf Log'!$B$2:$B$73=$B825)*
      ('Golf Log'!$C$2:$C$73=$C825),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Log'!$E$2:$V$73,
    MATCH(1,
      ('Putt Log'!$A$2:$A$73=$A825)*
      ('Putt Log'!$B$2:$B$73=$B825)*
      ('Putt Log'!$C$2:$C$73=$C825),
    0),
    MATCH($G825,'Putt Log'!$E$1:$V$1,0)
  ),
"")</f>
        <v>1</v>
      </c>
      <c r="P825" t="str" cm="1">
        <f t="array" ref="P825">IF(K825=3,"",
  IFERROR(
    INDEX('Fairway Log'!$E$2:$V$73,
      MATCH(1,
        ('Fairway Log'!$A$2:$A$73=$A825)*
        ('Fairway Log'!$B$2:$B$73=$B825)*
        ('Fairway Log'!$C$2:$C896=$C825),
      0),
      MATCH($G825,'Fairway Log'!$E$1:$V$1,0)
    ),
  "")
)</f>
        <v/>
      </c>
      <c r="Q825" t="str" cm="1">
        <f t="array" ref="Q825">IFERROR(
  INDEX('GIR Log'!$E$2:$V$73,
    MATCH(1,
      ('GIR Log'!$A$2:$A$73=$A825)*
      ('GIR Log'!$B$2:$B$73=$B825)*
      ('GIR Log'!$C$2:$C$73=$C825),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Log'!$E$2:$V$73,
    MATCH(1,
      ('Golf Log'!$A$2:$A$73=$A826)*
      ('Golf Log'!$B$2:$B$73=$B826)*
      ('Golf Log'!$C$2:$C$73=$C826),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Log'!$E$2:$V$73,
    MATCH(1,
      ('Putt Log'!$A$2:$A$73=$A826)*
      ('Putt Log'!$B$2:$B$73=$B826)*
      ('Putt Log'!$C$2:$C$73=$C826),
    0),
    MATCH($G826,'Putt Log'!$E$1:$V$1,0)
  ),
"")</f>
        <v>2</v>
      </c>
      <c r="P826" cm="1">
        <f t="array" ref="P826">IF(K826=3,"",
  IFERROR(
    INDEX('Fairway Log'!$E$2:$V$73,
      MATCH(1,
        ('Fairway Log'!$A$2:$A$73=$A826)*
        ('Fairway Log'!$B$2:$B$73=$B826)*
        ('Fairway Log'!$C$2:$C897=$C826),
      0),
      MATCH($G826,'Fairway Log'!$E$1:$V$1,0)
    ),
  "")
)</f>
        <v>1</v>
      </c>
      <c r="Q826" t="str" cm="1">
        <f t="array" ref="Q826">IFERROR(
  INDEX('GIR Log'!$E$2:$V$73,
    MATCH(1,
      ('GIR Log'!$A$2:$A$73=$A826)*
      ('GIR Log'!$B$2:$B$73=$B826)*
      ('GIR Log'!$C$2:$C$73=$C826),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Log'!$E$2:$V$73,
    MATCH(1,
      ('Golf Log'!$A$2:$A$73=$A827)*
      ('Golf Log'!$B$2:$B$73=$B827)*
      ('Golf Log'!$C$2:$C$73=$C827),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Log'!$E$2:$V$73,
    MATCH(1,
      ('Putt Log'!$A$2:$A$73=$A827)*
      ('Putt Log'!$B$2:$B$73=$B827)*
      ('Putt Log'!$C$2:$C$73=$C827),
    0),
    MATCH($G827,'Putt Log'!$E$1:$V$1,0)
  ),
"")</f>
        <v>1</v>
      </c>
      <c r="P827" cm="1">
        <f t="array" ref="P827">IF(K827=3,"",
  IFERROR(
    INDEX('Fairway Log'!$E$2:$V$73,
      MATCH(1,
        ('Fairway Log'!$A$2:$A$73=$A827)*
        ('Fairway Log'!$B$2:$B$73=$B827)*
        ('Fairway Log'!$C$2:$C898=$C827),
      0),
      MATCH($G827,'Fairway Log'!$E$1:$V$1,0)
    ),
  "")
)</f>
        <v>1</v>
      </c>
      <c r="Q827" cm="1">
        <f t="array" ref="Q827">IFERROR(
  INDEX('GIR Log'!$E$2:$V$73,
    MATCH(1,
      ('GIR Log'!$A$2:$A$73=$A827)*
      ('GIR Log'!$B$2:$B$73=$B827)*
      ('GIR Log'!$C$2:$C$73=$C827),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Log'!$E$2:$V$73,
    MATCH(1,
      ('Golf Log'!$A$2:$A$73=$A828)*
      ('Golf Log'!$B$2:$B$73=$B828)*
      ('Golf Log'!$C$2:$C$73=$C828),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Log'!$E$2:$V$73,
    MATCH(1,
      ('Putt Log'!$A$2:$A$73=$A828)*
      ('Putt Log'!$B$2:$B$73=$B828)*
      ('Putt Log'!$C$2:$C$73=$C828),
    0),
    MATCH($G828,'Putt Log'!$E$1:$V$1,0)
  ),
"")</f>
        <v>2</v>
      </c>
      <c r="P828" cm="1">
        <f t="array" ref="P828">IF(K828=3,"",
  IFERROR(
    INDEX('Fairway Log'!$E$2:$V$73,
      MATCH(1,
        ('Fairway Log'!$A$2:$A$73=$A828)*
        ('Fairway Log'!$B$2:$B$73=$B828)*
        ('Fairway Log'!$C$2:$C899=$C828),
      0),
      MATCH($G828,'Fairway Log'!$E$1:$V$1,0)
    ),
  "")
)</f>
        <v>1</v>
      </c>
      <c r="Q828" t="str" cm="1">
        <f t="array" ref="Q828">IFERROR(
  INDEX('GIR Log'!$E$2:$V$73,
    MATCH(1,
      ('GIR Log'!$A$2:$A$73=$A828)*
      ('GIR Log'!$B$2:$B$73=$B828)*
      ('GIR Log'!$C$2:$C$73=$C828),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Log'!$E$2:$V$73,
    MATCH(1,
      ('Golf Log'!$A$2:$A$73=$A829)*
      ('Golf Log'!$B$2:$B$73=$B829)*
      ('Golf Log'!$C$2:$C$73=$C829),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Log'!$E$2:$V$73,
    MATCH(1,
      ('Putt Log'!$A$2:$A$73=$A829)*
      ('Putt Log'!$B$2:$B$73=$B829)*
      ('Putt Log'!$C$2:$C$73=$C829),
    0),
    MATCH($G829,'Putt Log'!$E$1:$V$1,0)
  ),
"")</f>
        <v>2</v>
      </c>
      <c r="P829" cm="1">
        <f t="array" ref="P829">IF(K829=3,"",
  IFERROR(
    INDEX('Fairway Log'!$E$2:$V$73,
      MATCH(1,
        ('Fairway Log'!$A$2:$A$73=$A829)*
        ('Fairway Log'!$B$2:$B$73=$B829)*
        ('Fairway Log'!$C$2:$C900=$C829),
      0),
      MATCH($G829,'Fairway Log'!$E$1:$V$1,0)
    ),
  "")
)</f>
        <v>1</v>
      </c>
      <c r="Q829" t="str" cm="1">
        <f t="array" ref="Q829">IFERROR(
  INDEX('GIR Log'!$E$2:$V$73,
    MATCH(1,
      ('GIR Log'!$A$2:$A$73=$A829)*
      ('GIR Log'!$B$2:$B$73=$B829)*
      ('GIR Log'!$C$2:$C$73=$C829),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Log'!$E$2:$V$73,
    MATCH(1,
      ('Golf Log'!$A$2:$A$73=$A830)*
      ('Golf Log'!$B$2:$B$73=$B830)*
      ('Golf Log'!$C$2:$C$73=$C830),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Log'!$E$2:$V$73,
    MATCH(1,
      ('Putt Log'!$A$2:$A$73=$A830)*
      ('Putt Log'!$B$2:$B$73=$B830)*
      ('Putt Log'!$C$2:$C$73=$C830),
    0),
    MATCH($G830,'Putt Log'!$E$1:$V$1,0)
  ),
"")</f>
        <v>1</v>
      </c>
      <c r="P830" cm="1">
        <f t="array" ref="P830">IF(K830=3,"",
  IFERROR(
    INDEX('Fairway Log'!$E$2:$V$73,
      MATCH(1,
        ('Fairway Log'!$A$2:$A$73=$A830)*
        ('Fairway Log'!$B$2:$B$73=$B830)*
        ('Fairway Log'!$C$2:$C901=$C830),
      0),
      MATCH($G830,'Fairway Log'!$E$1:$V$1,0)
    ),
  "")
)</f>
        <v>0</v>
      </c>
      <c r="Q830" cm="1">
        <f t="array" ref="Q830">IFERROR(
  INDEX('GIR Log'!$E$2:$V$73,
    MATCH(1,
      ('GIR Log'!$A$2:$A$73=$A830)*
      ('GIR Log'!$B$2:$B$73=$B830)*
      ('GIR Log'!$C$2:$C$73=$C830),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Log'!$E$2:$V$73,
    MATCH(1,
      ('Golf Log'!$A$2:$A$73=$A831)*
      ('Golf Log'!$B$2:$B$73=$B831)*
      ('Golf Log'!$C$2:$C$73=$C831),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Log'!$E$2:$V$73,
    MATCH(1,
      ('Putt Log'!$A$2:$A$73=$A831)*
      ('Putt Log'!$B$2:$B$73=$B831)*
      ('Putt Log'!$C$2:$C$73=$C831),
    0),
    MATCH($G831,'Putt Log'!$E$1:$V$1,0)
  ),
"")</f>
        <v>2</v>
      </c>
      <c r="P831" t="str" cm="1">
        <f t="array" ref="P831">IF(K831=3,"",
  IFERROR(
    INDEX('Fairway Log'!$E$2:$V$73,
      MATCH(1,
        ('Fairway Log'!$A$2:$A$73=$A831)*
        ('Fairway Log'!$B$2:$B$73=$B831)*
        ('Fairway Log'!$C$2:$C902=$C831),
      0),
      MATCH($G831,'Fairway Log'!$E$1:$V$1,0)
    ),
  "")
)</f>
        <v/>
      </c>
      <c r="Q831" cm="1">
        <f t="array" ref="Q831">IFERROR(
  INDEX('GIR Log'!$E$2:$V$73,
    MATCH(1,
      ('GIR Log'!$A$2:$A$73=$A831)*
      ('GIR Log'!$B$2:$B$73=$B831)*
      ('GIR Log'!$C$2:$C$73=$C831),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Log'!$E$2:$V$73,
    MATCH(1,
      ('Golf Log'!$A$2:$A$73=$A832)*
      ('Golf Log'!$B$2:$B$73=$B832)*
      ('Golf Log'!$C$2:$C$73=$C832),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Log'!$E$2:$V$73,
    MATCH(1,
      ('Putt Log'!$A$2:$A$73=$A832)*
      ('Putt Log'!$B$2:$B$73=$B832)*
      ('Putt Log'!$C$2:$C$73=$C832),
    0),
    MATCH($G832,'Putt Log'!$E$1:$V$1,0)
  ),
"")</f>
        <v>1</v>
      </c>
      <c r="P832" cm="1">
        <f t="array" ref="P832">IF(K832=3,"",
  IFERROR(
    INDEX('Fairway Log'!$E$2:$V$73,
      MATCH(1,
        ('Fairway Log'!$A$2:$A$73=$A832)*
        ('Fairway Log'!$B$2:$B$73=$B832)*
        ('Fairway Log'!$C$2:$C903=$C832),
      0),
      MATCH($G832,'Fairway Log'!$E$1:$V$1,0)
    ),
  "")
)</f>
        <v>0</v>
      </c>
      <c r="Q832" cm="1">
        <f t="array" ref="Q832">IFERROR(
  INDEX('GIR Log'!$E$2:$V$73,
    MATCH(1,
      ('GIR Log'!$A$2:$A$73=$A832)*
      ('GIR Log'!$B$2:$B$73=$B832)*
      ('GIR Log'!$C$2:$C$73=$C832),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Log'!$E$2:$V$73,
    MATCH(1,
      ('Golf Log'!$A$2:$A$73=$A833)*
      ('Golf Log'!$B$2:$B$73=$B833)*
      ('Golf Log'!$C$2:$C$73=$C833),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Log'!$E$2:$V$73,
    MATCH(1,
      ('Putt Log'!$A$2:$A$73=$A833)*
      ('Putt Log'!$B$2:$B$73=$B833)*
      ('Putt Log'!$C$2:$C$73=$C833),
    0),
    MATCH($G833,'Putt Log'!$E$1:$V$1,0)
  ),
"")</f>
        <v>3</v>
      </c>
      <c r="P833" t="str" cm="1">
        <f t="array" ref="P833">IF(K833=3,"",
  IFERROR(
    INDEX('Fairway Log'!$E$2:$V$73,
      MATCH(1,
        ('Fairway Log'!$A$2:$A$73=$A833)*
        ('Fairway Log'!$B$2:$B$73=$B833)*
        ('Fairway Log'!$C$2:$C904=$C833),
      0),
      MATCH($G833,'Fairway Log'!$E$1:$V$1,0)
    ),
  "")
)</f>
        <v/>
      </c>
      <c r="Q833" cm="1">
        <f t="array" ref="Q833">IFERROR(
  INDEX('GIR Log'!$E$2:$V$73,
    MATCH(1,
      ('GIR Log'!$A$2:$A$73=$A833)*
      ('GIR Log'!$B$2:$B$73=$B833)*
      ('GIR Log'!$C$2:$C$73=$C833),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Log'!$E$2:$V$73,
    MATCH(1,
      ('Golf Log'!$A$2:$A$73=$A834)*
      ('Golf Log'!$B$2:$B$73=$B834)*
      ('Golf Log'!$C$2:$C$73=$C834),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Log'!$E$2:$V$73,
    MATCH(1,
      ('Putt Log'!$A$2:$A$73=$A834)*
      ('Putt Log'!$B$2:$B$73=$B834)*
      ('Putt Log'!$C$2:$C$73=$C834),
    0),
    MATCH($G834,'Putt Log'!$E$1:$V$1,0)
  ),
"")</f>
        <v>2</v>
      </c>
      <c r="P834" cm="1">
        <f t="array" ref="P834">IF(K834=3,"",
  IFERROR(
    INDEX('Fairway Log'!$E$2:$V$73,
      MATCH(1,
        ('Fairway Log'!$A$2:$A$73=$A834)*
        ('Fairway Log'!$B$2:$B$73=$B834)*
        ('Fairway Log'!$C$2:$C905=$C834),
      0),
      MATCH($G834,'Fairway Log'!$E$1:$V$1,0)
    ),
  "")
)</f>
        <v>0</v>
      </c>
      <c r="Q834" cm="1">
        <f t="array" ref="Q834">IFERROR(
  INDEX('GIR Log'!$E$2:$V$73,
    MATCH(1,
      ('GIR Log'!$A$2:$A$73=$A834)*
      ('GIR Log'!$B$2:$B$73=$B834)*
      ('GIR Log'!$C$2:$C$73=$C834),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Log'!$E$2:$V$73,
    MATCH(1,
      ('Golf Log'!$A$2:$A$73=$A835)*
      ('Golf Log'!$B$2:$B$73=$B835)*
      ('Golf Log'!$C$2:$C$73=$C835),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Log'!$E$2:$V$73,
    MATCH(1,
      ('Putt Log'!$A$2:$A$73=$A835)*
      ('Putt Log'!$B$2:$B$73=$B835)*
      ('Putt Log'!$C$2:$C$73=$C835),
    0),
    MATCH($G835,'Putt Log'!$E$1:$V$1,0)
  ),
"")</f>
        <v>2</v>
      </c>
      <c r="P835" cm="1">
        <f t="array" ref="P835">IF(K835=3,"",
  IFERROR(
    INDEX('Fairway Log'!$E$2:$V$73,
      MATCH(1,
        ('Fairway Log'!$A$2:$A$73=$A835)*
        ('Fairway Log'!$B$2:$B$73=$B835)*
        ('Fairway Log'!$C$2:$C906=$C835),
      0),
      MATCH($G835,'Fairway Log'!$E$1:$V$1,0)
    ),
  "")
)</f>
        <v>0</v>
      </c>
      <c r="Q835" cm="1">
        <f t="array" ref="Q835">IFERROR(
  INDEX('GIR Log'!$E$2:$V$73,
    MATCH(1,
      ('GIR Log'!$A$2:$A$73=$A835)*
      ('GIR Log'!$B$2:$B$73=$B835)*
      ('GIR Log'!$C$2:$C$73=$C835),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Log'!$E$2:$V$73,
    MATCH(1,
      ('Golf Log'!$A$2:$A$73=$A836)*
      ('Golf Log'!$B$2:$B$73=$B836)*
      ('Golf Log'!$C$2:$C$73=$C836),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Log'!$E$2:$V$73,
    MATCH(1,
      ('Putt Log'!$A$2:$A$73=$A836)*
      ('Putt Log'!$B$2:$B$73=$B836)*
      ('Putt Log'!$C$2:$C$73=$C836),
    0),
    MATCH($G836,'Putt Log'!$E$1:$V$1,0)
  ),
"")</f>
        <v>2</v>
      </c>
      <c r="P836" cm="1">
        <f t="array" ref="P836">IF(K836=3,"",
  IFERROR(
    INDEX('Fairway Log'!$E$2:$V$73,
      MATCH(1,
        ('Fairway Log'!$A$2:$A$73=$A836)*
        ('Fairway Log'!$B$2:$B$73=$B836)*
        ('Fairway Log'!$C$2:$C907=$C836),
      0),
      MATCH($G836,'Fairway Log'!$E$1:$V$1,0)
    ),
  "")
)</f>
        <v>0</v>
      </c>
      <c r="Q836" cm="1">
        <f t="array" ref="Q836">IFERROR(
  INDEX('GIR Log'!$E$2:$V$73,
    MATCH(1,
      ('GIR Log'!$A$2:$A$73=$A836)*
      ('GIR Log'!$B$2:$B$73=$B836)*
      ('GIR Log'!$C$2:$C$73=$C836),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Log'!$E$2:$V$73,
    MATCH(1,
      ('Golf Log'!$A$2:$A$73=$A837)*
      ('Golf Log'!$B$2:$B$73=$B837)*
      ('Golf Log'!$C$2:$C$73=$C837),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Log'!$E$2:$V$73,
    MATCH(1,
      ('Putt Log'!$A$2:$A$73=$A837)*
      ('Putt Log'!$B$2:$B$73=$B837)*
      ('Putt Log'!$C$2:$C$73=$C837),
    0),
    MATCH($G837,'Putt Log'!$E$1:$V$1,0)
  ),
"")</f>
        <v>3</v>
      </c>
      <c r="P837" cm="1">
        <f t="array" ref="P837">IF(K837=3,"",
  IFERROR(
    INDEX('Fairway Log'!$E$2:$V$73,
      MATCH(1,
        ('Fairway Log'!$A$2:$A$73=$A837)*
        ('Fairway Log'!$B$2:$B$73=$B837)*
        ('Fairway Log'!$C$2:$C908=$C837),
      0),
      MATCH($G837,'Fairway Log'!$E$1:$V$1,0)
    ),
  "")
)</f>
        <v>0</v>
      </c>
      <c r="Q837" cm="1">
        <f t="array" ref="Q837">IFERROR(
  INDEX('GIR Log'!$E$2:$V$73,
    MATCH(1,
      ('GIR Log'!$A$2:$A$73=$A837)*
      ('GIR Log'!$B$2:$B$73=$B837)*
      ('GIR Log'!$C$2:$C$73=$C837),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Log'!$E$2:$V$73,
    MATCH(1,
      ('Golf Log'!$A$2:$A$73=$A838)*
      ('Golf Log'!$B$2:$B$73=$B838)*
      ('Golf Log'!$C$2:$C$73=$C838),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Log'!$E$2:$V$73,
    MATCH(1,
      ('Putt Log'!$A$2:$A$73=$A838)*
      ('Putt Log'!$B$2:$B$73=$B838)*
      ('Putt Log'!$C$2:$C$73=$C838),
    0),
    MATCH($G838,'Putt Log'!$E$1:$V$1,0)
  ),
"")</f>
        <v>2</v>
      </c>
      <c r="P838" cm="1">
        <f t="array" ref="P838">IF(K838=3,"",
  IFERROR(
    INDEX('Fairway Log'!$E$2:$V$73,
      MATCH(1,
        ('Fairway Log'!$A$2:$A$73=$A838)*
        ('Fairway Log'!$B$2:$B$73=$B838)*
        ('Fairway Log'!$C$2:$C909=$C838),
      0),
      MATCH($G838,'Fairway Log'!$E$1:$V$1,0)
    ),
  "")
)</f>
        <v>0</v>
      </c>
      <c r="Q838" cm="1">
        <f t="array" ref="Q838">IFERROR(
  INDEX('GIR Log'!$E$2:$V$73,
    MATCH(1,
      ('GIR Log'!$A$2:$A$73=$A838)*
      ('GIR Log'!$B$2:$B$73=$B838)*
      ('GIR Log'!$C$2:$C$73=$C838),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Log'!$E$2:$V$73,
    MATCH(1,
      ('Golf Log'!$A$2:$A$73=$A839)*
      ('Golf Log'!$B$2:$B$73=$B839)*
      ('Golf Log'!$C$2:$C$73=$C839),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Log'!$E$2:$V$73,
    MATCH(1,
      ('Putt Log'!$A$2:$A$73=$A839)*
      ('Putt Log'!$B$2:$B$73=$B839)*
      ('Putt Log'!$C$2:$C$73=$C839),
    0),
    MATCH($G839,'Putt Log'!$E$1:$V$1,0)
  ),
"")</f>
        <v>2</v>
      </c>
      <c r="P839" cm="1">
        <f t="array" ref="P839">IF(K839=3,"",
  IFERROR(
    INDEX('Fairway Log'!$E$2:$V$73,
      MATCH(1,
        ('Fairway Log'!$A$2:$A$73=$A839)*
        ('Fairway Log'!$B$2:$B$73=$B839)*
        ('Fairway Log'!$C$2:$C910=$C839),
      0),
      MATCH($G839,'Fairway Log'!$E$1:$V$1,0)
    ),
  "")
)</f>
        <v>0</v>
      </c>
      <c r="Q839" cm="1">
        <f t="array" ref="Q839">IFERROR(
  INDEX('GIR Log'!$E$2:$V$73,
    MATCH(1,
      ('GIR Log'!$A$2:$A$73=$A839)*
      ('GIR Log'!$B$2:$B$73=$B839)*
      ('GIR Log'!$C$2:$C$73=$C839),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Log'!$E$2:$V$73,
    MATCH(1,
      ('Golf Log'!$A$2:$A$73=$A840)*
      ('Golf Log'!$B$2:$B$73=$B840)*
      ('Golf Log'!$C$2:$C$73=$C840),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Log'!$E$2:$V$73,
    MATCH(1,
      ('Putt Log'!$A$2:$A$73=$A840)*
      ('Putt Log'!$B$2:$B$73=$B840)*
      ('Putt Log'!$C$2:$C$73=$C840),
    0),
    MATCH($G840,'Putt Log'!$E$1:$V$1,0)
  ),
"")</f>
        <v>1</v>
      </c>
      <c r="P840" t="str" cm="1">
        <f t="array" ref="P840">IF(K840=3,"",
  IFERROR(
    INDEX('Fairway Log'!$E$2:$V$73,
      MATCH(1,
        ('Fairway Log'!$A$2:$A$73=$A840)*
        ('Fairway Log'!$B$2:$B$73=$B840)*
        ('Fairway Log'!$C$2:$C911=$C840),
      0),
      MATCH($G840,'Fairway Log'!$E$1:$V$1,0)
    ),
  "")
)</f>
        <v/>
      </c>
      <c r="Q840" cm="1">
        <f t="array" ref="Q840">IFERROR(
  INDEX('GIR Log'!$E$2:$V$73,
    MATCH(1,
      ('GIR Log'!$A$2:$A$73=$A840)*
      ('GIR Log'!$B$2:$B$73=$B840)*
      ('GIR Log'!$C$2:$C$73=$C840),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Log'!$E$2:$V$73,
    MATCH(1,
      ('Golf Log'!$A$2:$A$73=$A841)*
      ('Golf Log'!$B$2:$B$73=$B841)*
      ('Golf Log'!$C$2:$C$73=$C841),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Log'!$E$2:$V$73,
    MATCH(1,
      ('Putt Log'!$A$2:$A$73=$A841)*
      ('Putt Log'!$B$2:$B$73=$B841)*
      ('Putt Log'!$C$2:$C$73=$C841),
    0),
    MATCH($G841,'Putt Log'!$E$1:$V$1,0)
  ),
"")</f>
        <v>2</v>
      </c>
      <c r="P841" cm="1">
        <f t="array" ref="P841">IF(K841=3,"",
  IFERROR(
    INDEX('Fairway Log'!$E$2:$V$73,
      MATCH(1,
        ('Fairway Log'!$A$2:$A$73=$A841)*
        ('Fairway Log'!$B$2:$B$73=$B841)*
        ('Fairway Log'!$C$2:$C912=$C841),
      0),
      MATCH($G841,'Fairway Log'!$E$1:$V$1,0)
    ),
  "")
)</f>
        <v>0</v>
      </c>
      <c r="Q841" cm="1">
        <f t="array" ref="Q841">IFERROR(
  INDEX('GIR Log'!$E$2:$V$73,
    MATCH(1,
      ('GIR Log'!$A$2:$A$73=$A841)*
      ('GIR Log'!$B$2:$B$73=$B841)*
      ('GIR Log'!$C$2:$C$73=$C841),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Log'!$E$2:$V$73,
    MATCH(1,
      ('Golf Log'!$A$2:$A$73=$A842)*
      ('Golf Log'!$B$2:$B$73=$B842)*
      ('Golf Log'!$C$2:$C$73=$C842),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Log'!$E$2:$V$73,
    MATCH(1,
      ('Putt Log'!$A$2:$A$73=$A842)*
      ('Putt Log'!$B$2:$B$73=$B842)*
      ('Putt Log'!$C$2:$C$73=$C842),
    0),
    MATCH($G842,'Putt Log'!$E$1:$V$1,0)
  ),
"")</f>
        <v>2</v>
      </c>
      <c r="P842" cm="1">
        <f t="array" ref="P842">IF(K842=3,"",
  IFERROR(
    INDEX('Fairway Log'!$E$2:$V$73,
      MATCH(1,
        ('Fairway Log'!$A$2:$A$73=$A842)*
        ('Fairway Log'!$B$2:$B$73=$B842)*
        ('Fairway Log'!$C$2:$C913=$C842),
      0),
      MATCH($G842,'Fairway Log'!$E$1:$V$1,0)
    ),
  "")
)</f>
        <v>0</v>
      </c>
      <c r="Q842" cm="1">
        <f t="array" ref="Q842">IFERROR(
  INDEX('GIR Log'!$E$2:$V$73,
    MATCH(1,
      ('GIR Log'!$A$2:$A$73=$A842)*
      ('GIR Log'!$B$2:$B$73=$B842)*
      ('GIR Log'!$C$2:$C$73=$C842),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Log'!$E$2:$V$73,
    MATCH(1,
      ('Golf Log'!$A$2:$A$73=$A843)*
      ('Golf Log'!$B$2:$B$73=$B843)*
      ('Golf Log'!$C$2:$C$73=$C843),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Log'!$E$2:$V$73,
    MATCH(1,
      ('Putt Log'!$A$2:$A$73=$A843)*
      ('Putt Log'!$B$2:$B$73=$B843)*
      ('Putt Log'!$C$2:$C$73=$C843),
    0),
    MATCH($G843,'Putt Log'!$E$1:$V$1,0)
  ),
"")</f>
        <v>2</v>
      </c>
      <c r="P843" t="str" cm="1">
        <f t="array" ref="P843">IF(K843=3,"",
  IFERROR(
    INDEX('Fairway Log'!$E$2:$V$73,
      MATCH(1,
        ('Fairway Log'!$A$2:$A$73=$A843)*
        ('Fairway Log'!$B$2:$B$73=$B843)*
        ('Fairway Log'!$C$2:$C914=$C843),
      0),
      MATCH($G843,'Fairway Log'!$E$1:$V$1,0)
    ),
  "")
)</f>
        <v/>
      </c>
      <c r="Q843" cm="1">
        <f t="array" ref="Q843">IFERROR(
  INDEX('GIR Log'!$E$2:$V$73,
    MATCH(1,
      ('GIR Log'!$A$2:$A$73=$A843)*
      ('GIR Log'!$B$2:$B$73=$B843)*
      ('GIR Log'!$C$2:$C$73=$C843),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Log'!$E$2:$V$73,
    MATCH(1,
      ('Golf Log'!$A$2:$A$73=$A844)*
      ('Golf Log'!$B$2:$B$73=$B844)*
      ('Golf Log'!$C$2:$C$73=$C844),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Log'!$E$2:$V$73,
    MATCH(1,
      ('Putt Log'!$A$2:$A$73=$A844)*
      ('Putt Log'!$B$2:$B$73=$B844)*
      ('Putt Log'!$C$2:$C$73=$C844),
    0),
    MATCH($G844,'Putt Log'!$E$1:$V$1,0)
  ),
"")</f>
        <v>2</v>
      </c>
      <c r="P844" cm="1">
        <f t="array" ref="P844">IF(K844=3,"",
  IFERROR(
    INDEX('Fairway Log'!$E$2:$V$73,
      MATCH(1,
        ('Fairway Log'!$A$2:$A$73=$A844)*
        ('Fairway Log'!$B$2:$B$73=$B844)*
        ('Fairway Log'!$C$2:$C915=$C844),
      0),
      MATCH($G844,'Fairway Log'!$E$1:$V$1,0)
    ),
  "")
)</f>
        <v>0</v>
      </c>
      <c r="Q844" cm="1">
        <f t="array" ref="Q844">IFERROR(
  INDEX('GIR Log'!$E$2:$V$73,
    MATCH(1,
      ('GIR Log'!$A$2:$A$73=$A844)*
      ('GIR Log'!$B$2:$B$73=$B844)*
      ('GIR Log'!$C$2:$C$73=$C844),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Log'!$E$2:$V$73,
    MATCH(1,
      ('Golf Log'!$A$2:$A$73=$A845)*
      ('Golf Log'!$B$2:$B$73=$B845)*
      ('Golf Log'!$C$2:$C$73=$C845),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Log'!$E$2:$V$73,
    MATCH(1,
      ('Putt Log'!$A$2:$A$73=$A845)*
      ('Putt Log'!$B$2:$B$73=$B845)*
      ('Putt Log'!$C$2:$C$73=$C845),
    0),
    MATCH($G845,'Putt Log'!$E$1:$V$1,0)
  ),
"")</f>
        <v>2</v>
      </c>
      <c r="P845" t="str" cm="1">
        <f t="array" ref="P845">IF(K845=3,"",
  IFERROR(
    INDEX('Fairway Log'!$E$2:$V$73,
      MATCH(1,
        ('Fairway Log'!$A$2:$A$73=$A845)*
        ('Fairway Log'!$B$2:$B$73=$B845)*
        ('Fairway Log'!$C$2:$C916=$C845),
      0),
      MATCH($G845,'Fairway Log'!$E$1:$V$1,0)
    ),
  "")
)</f>
        <v/>
      </c>
      <c r="Q845" cm="1">
        <f t="array" ref="Q845">IFERROR(
  INDEX('GIR Log'!$E$2:$V$73,
    MATCH(1,
      ('GIR Log'!$A$2:$A$73=$A845)*
      ('GIR Log'!$B$2:$B$73=$B845)*
      ('GIR Log'!$C$2:$C$73=$C845),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Log'!$E$2:$V$73,
    MATCH(1,
      ('Golf Log'!$A$2:$A$73=$A846)*
      ('Golf Log'!$B$2:$B$73=$B846)*
      ('Golf Log'!$C$2:$C$73=$C846),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Log'!$E$2:$V$73,
    MATCH(1,
      ('Putt Log'!$A$2:$A$73=$A846)*
      ('Putt Log'!$B$2:$B$73=$B846)*
      ('Putt Log'!$C$2:$C$73=$C846),
    0),
    MATCH($G846,'Putt Log'!$E$1:$V$1,0)
  ),
"")</f>
        <v>2</v>
      </c>
      <c r="P846" cm="1">
        <f t="array" ref="P846">IF(K846=3,"",
  IFERROR(
    INDEX('Fairway Log'!$E$2:$V$73,
      MATCH(1,
        ('Fairway Log'!$A$2:$A$73=$A846)*
        ('Fairway Log'!$B$2:$B$73=$B846)*
        ('Fairway Log'!$C$2:$C917=$C846),
      0),
      MATCH($G846,'Fairway Log'!$E$1:$V$1,0)
    ),
  "")
)</f>
        <v>0</v>
      </c>
      <c r="Q846" cm="1">
        <f t="array" ref="Q846">IFERROR(
  INDEX('GIR Log'!$E$2:$V$73,
    MATCH(1,
      ('GIR Log'!$A$2:$A$73=$A846)*
      ('GIR Log'!$B$2:$B$73=$B846)*
      ('GIR Log'!$C$2:$C$73=$C846),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Log'!$E$2:$V$73,
    MATCH(1,
      ('Golf Log'!$A$2:$A$73=$A847)*
      ('Golf Log'!$B$2:$B$73=$B847)*
      ('Golf Log'!$C$2:$C$73=$C847),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Log'!$E$2:$V$73,
    MATCH(1,
      ('Putt Log'!$A$2:$A$73=$A847)*
      ('Putt Log'!$B$2:$B$73=$B847)*
      ('Putt Log'!$C$2:$C$73=$C847),
    0),
    MATCH($G847,'Putt Log'!$E$1:$V$1,0)
  ),
"")</f>
        <v>2</v>
      </c>
      <c r="P847" cm="1">
        <f t="array" ref="P847">IF(K847=3,"",
  IFERROR(
    INDEX('Fairway Log'!$E$2:$V$73,
      MATCH(1,
        ('Fairway Log'!$A$2:$A$73=$A847)*
        ('Fairway Log'!$B$2:$B$73=$B847)*
        ('Fairway Log'!$C$2:$C918=$C847),
      0),
      MATCH($G847,'Fairway Log'!$E$1:$V$1,0)
    ),
  "")
)</f>
        <v>0</v>
      </c>
      <c r="Q847" cm="1">
        <f t="array" ref="Q847">IFERROR(
  INDEX('GIR Log'!$E$2:$V$73,
    MATCH(1,
      ('GIR Log'!$A$2:$A$73=$A847)*
      ('GIR Log'!$B$2:$B$73=$B847)*
      ('GIR Log'!$C$2:$C$73=$C847),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Log'!$E$2:$V$73,
    MATCH(1,
      ('Golf Log'!$A$2:$A$73=$A848)*
      ('Golf Log'!$B$2:$B$73=$B848)*
      ('Golf Log'!$C$2:$C$73=$C848),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Log'!$E$2:$V$73,
    MATCH(1,
      ('Putt Log'!$A$2:$A$73=$A848)*
      ('Putt Log'!$B$2:$B$73=$B848)*
      ('Putt Log'!$C$2:$C$73=$C848),
    0),
    MATCH($G848,'Putt Log'!$E$1:$V$1,0)
  ),
"")</f>
        <v>1</v>
      </c>
      <c r="P848" cm="1">
        <f t="array" ref="P848">IF(K848=3,"",
  IFERROR(
    INDEX('Fairway Log'!$E$2:$V$73,
      MATCH(1,
        ('Fairway Log'!$A$2:$A$73=$A848)*
        ('Fairway Log'!$B$2:$B$73=$B848)*
        ('Fairway Log'!$C$2:$C919=$C848),
      0),
      MATCH($G848,'Fairway Log'!$E$1:$V$1,0)
    ),
  "")
)</f>
        <v>0</v>
      </c>
      <c r="Q848" cm="1">
        <f t="array" ref="Q848">IFERROR(
  INDEX('GIR Log'!$E$2:$V$73,
    MATCH(1,
      ('GIR Log'!$A$2:$A$73=$A848)*
      ('GIR Log'!$B$2:$B$73=$B848)*
      ('GIR Log'!$C$2:$C$73=$C848),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Log'!$E$2:$V$73,
    MATCH(1,
      ('Golf Log'!$A$2:$A$73=$A849)*
      ('Golf Log'!$B$2:$B$73=$B849)*
      ('Golf Log'!$C$2:$C$73=$C849),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Log'!$E$2:$V$73,
    MATCH(1,
      ('Putt Log'!$A$2:$A$73=$A849)*
      ('Putt Log'!$B$2:$B$73=$B849)*
      ('Putt Log'!$C$2:$C$73=$C849),
    0),
    MATCH($G849,'Putt Log'!$E$1:$V$1,0)
  ),
"")</f>
        <v>2</v>
      </c>
      <c r="P849" cm="1">
        <f t="array" ref="P849">IF(K849=3,"",
  IFERROR(
    INDEX('Fairway Log'!$E$2:$V$73,
      MATCH(1,
        ('Fairway Log'!$A$2:$A$73=$A849)*
        ('Fairway Log'!$B$2:$B$73=$B849)*
        ('Fairway Log'!$C$2:$C920=$C849),
      0),
      MATCH($G849,'Fairway Log'!$E$1:$V$1,0)
    ),
  "")
)</f>
        <v>0</v>
      </c>
      <c r="Q849" cm="1">
        <f t="array" ref="Q849">IFERROR(
  INDEX('GIR Log'!$E$2:$V$73,
    MATCH(1,
      ('GIR Log'!$A$2:$A$73=$A849)*
      ('GIR Log'!$B$2:$B$73=$B849)*
      ('GIR Log'!$C$2:$C$73=$C849),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Log'!$E$2:$V$73,
    MATCH(1,
      ('Golf Log'!$A$2:$A$73=$A850)*
      ('Golf Log'!$B$2:$B$73=$B850)*
      ('Golf Log'!$C$2:$C$73=$C850),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Log'!$E$2:$V$73,
    MATCH(1,
      ('Putt Log'!$A$2:$A$73=$A850)*
      ('Putt Log'!$B$2:$B$73=$B850)*
      ('Putt Log'!$C$2:$C$73=$C850),
    0),
    MATCH($G850,'Putt Log'!$E$1:$V$1,0)
  ),
"")</f>
        <v>2</v>
      </c>
      <c r="P850" cm="1">
        <f t="array" ref="P850">IF(K850=3,"",
  IFERROR(
    INDEX('Fairway Log'!$E$2:$V$73,
      MATCH(1,
        ('Fairway Log'!$A$2:$A$73=$A850)*
        ('Fairway Log'!$B$2:$B$73=$B850)*
        ('Fairway Log'!$C$2:$C921=$C850),
      0),
      MATCH($G850,'Fairway Log'!$E$1:$V$1,0)
    ),
  "")
)</f>
        <v>0</v>
      </c>
      <c r="Q850" cm="1">
        <f t="array" ref="Q850">IFERROR(
  INDEX('GIR Log'!$E$2:$V$73,
    MATCH(1,
      ('GIR Log'!$A$2:$A$73=$A850)*
      ('GIR Log'!$B$2:$B$73=$B850)*
      ('GIR Log'!$C$2:$C$73=$C850),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Log'!$E$2:$V$73,
    MATCH(1,
      ('Golf Log'!$A$2:$A$73=$A851)*
      ('Golf Log'!$B$2:$B$73=$B851)*
      ('Golf Log'!$C$2:$C$73=$C851),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Log'!$E$2:$V$73,
    MATCH(1,
      ('Putt Log'!$A$2:$A$73=$A851)*
      ('Putt Log'!$B$2:$B$73=$B851)*
      ('Putt Log'!$C$2:$C$73=$C851),
    0),
    MATCH($G851,'Putt Log'!$E$1:$V$1,0)
  ),
"")</f>
        <v>3</v>
      </c>
      <c r="P851" cm="1">
        <f t="array" ref="P851">IF(K851=3,"",
  IFERROR(
    INDEX('Fairway Log'!$E$2:$V$73,
      MATCH(1,
        ('Fairway Log'!$A$2:$A$73=$A851)*
        ('Fairway Log'!$B$2:$B$73=$B851)*
        ('Fairway Log'!$C$2:$C922=$C851),
      0),
      MATCH($G851,'Fairway Log'!$E$1:$V$1,0)
    ),
  "")
)</f>
        <v>0</v>
      </c>
      <c r="Q851" cm="1">
        <f t="array" ref="Q851">IFERROR(
  INDEX('GIR Log'!$E$2:$V$73,
    MATCH(1,
      ('GIR Log'!$A$2:$A$73=$A851)*
      ('GIR Log'!$B$2:$B$73=$B851)*
      ('GIR Log'!$C$2:$C$73=$C851),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Log'!$E$2:$V$73,
    MATCH(1,
      ('Golf Log'!$A$2:$A$73=$A852)*
      ('Golf Log'!$B$2:$B$73=$B852)*
      ('Golf Log'!$C$2:$C$73=$C852),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Log'!$E$2:$V$73,
    MATCH(1,
      ('Putt Log'!$A$2:$A$73=$A852)*
      ('Putt Log'!$B$2:$B$73=$B852)*
      ('Putt Log'!$C$2:$C$73=$C852),
    0),
    MATCH($G852,'Putt Log'!$E$1:$V$1,0)
  ),
"")</f>
        <v>1</v>
      </c>
      <c r="P852" cm="1">
        <f t="array" ref="P852">IF(K852=3,"",
  IFERROR(
    INDEX('Fairway Log'!$E$2:$V$73,
      MATCH(1,
        ('Fairway Log'!$A$2:$A$73=$A852)*
        ('Fairway Log'!$B$2:$B$73=$B852)*
        ('Fairway Log'!$C$2:$C923=$C852),
      0),
      MATCH($G852,'Fairway Log'!$E$1:$V$1,0)
    ),
  "")
)</f>
        <v>0</v>
      </c>
      <c r="Q852" cm="1">
        <f t="array" ref="Q852">IFERROR(
  INDEX('GIR Log'!$E$2:$V$73,
    MATCH(1,
      ('GIR Log'!$A$2:$A$73=$A852)*
      ('GIR Log'!$B$2:$B$73=$B852)*
      ('GIR Log'!$C$2:$C$73=$C852),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Log'!$E$2:$V$73,
    MATCH(1,
      ('Golf Log'!$A$2:$A$73=$A853)*
      ('Golf Log'!$B$2:$B$73=$B853)*
      ('Golf Log'!$C$2:$C$73=$C853),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Log'!$E$2:$V$73,
    MATCH(1,
      ('Putt Log'!$A$2:$A$73=$A853)*
      ('Putt Log'!$B$2:$B$73=$B853)*
      ('Putt Log'!$C$2:$C$73=$C853),
    0),
    MATCH($G853,'Putt Log'!$E$1:$V$1,0)
  ),
"")</f>
        <v>2</v>
      </c>
      <c r="P853" cm="1">
        <f t="array" ref="P853">IF(K853=3,"",
  IFERROR(
    INDEX('Fairway Log'!$E$2:$V$73,
      MATCH(1,
        ('Fairway Log'!$A$2:$A$73=$A853)*
        ('Fairway Log'!$B$2:$B$73=$B853)*
        ('Fairway Log'!$C$2:$C924=$C853),
      0),
      MATCH($G853,'Fairway Log'!$E$1:$V$1,0)
    ),
  "")
)</f>
        <v>0</v>
      </c>
      <c r="Q853" cm="1">
        <f t="array" ref="Q853">IFERROR(
  INDEX('GIR Log'!$E$2:$V$73,
    MATCH(1,
      ('GIR Log'!$A$2:$A$73=$A853)*
      ('GIR Log'!$B$2:$B$73=$B853)*
      ('GIR Log'!$C$2:$C$73=$C853),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Log'!$E$2:$V$73,
    MATCH(1,
      ('Golf Log'!$A$2:$A$73=$A854)*
      ('Golf Log'!$B$2:$B$73=$B854)*
      ('Golf Log'!$C$2:$C$73=$C854),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Log'!$E$2:$V$73,
    MATCH(1,
      ('Putt Log'!$A$2:$A$73=$A854)*
      ('Putt Log'!$B$2:$B$73=$B854)*
      ('Putt Log'!$C$2:$C$73=$C854),
    0),
    MATCH($G854,'Putt Log'!$E$1:$V$1,0)
  ),
"")</f>
        <v>2</v>
      </c>
      <c r="P854" cm="1">
        <f t="array" ref="P854">IF(K854=3,"",
  IFERROR(
    INDEX('Fairway Log'!$E$2:$V$73,
      MATCH(1,
        ('Fairway Log'!$A$2:$A$73=$A854)*
        ('Fairway Log'!$B$2:$B$73=$B854)*
        ('Fairway Log'!$C$2:$C925=$C854),
      0),
      MATCH($G854,'Fairway Log'!$E$1:$V$1,0)
    ),
  "")
)</f>
        <v>0</v>
      </c>
      <c r="Q854" cm="1">
        <f t="array" ref="Q854">IFERROR(
  INDEX('GIR Log'!$E$2:$V$73,
    MATCH(1,
      ('GIR Log'!$A$2:$A$73=$A854)*
      ('GIR Log'!$B$2:$B$73=$B854)*
      ('GIR Log'!$C$2:$C$73=$C854),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Log'!$E$2:$V$73,
    MATCH(1,
      ('Golf Log'!$A$2:$A$73=$A855)*
      ('Golf Log'!$B$2:$B$73=$B855)*
      ('Golf Log'!$C$2:$C$73=$C855),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Log'!$E$2:$V$73,
    MATCH(1,
      ('Putt Log'!$A$2:$A$73=$A855)*
      ('Putt Log'!$B$2:$B$73=$B855)*
      ('Putt Log'!$C$2:$C$73=$C855),
    0),
    MATCH($G855,'Putt Log'!$E$1:$V$1,0)
  ),
"")</f>
        <v>1</v>
      </c>
      <c r="P855" cm="1">
        <f t="array" ref="P855">IF(K855=3,"",
  IFERROR(
    INDEX('Fairway Log'!$E$2:$V$73,
      MATCH(1,
        ('Fairway Log'!$A$2:$A$73=$A855)*
        ('Fairway Log'!$B$2:$B$73=$B855)*
        ('Fairway Log'!$C$2:$C926=$C855),
      0),
      MATCH($G855,'Fairway Log'!$E$1:$V$1,0)
    ),
  "")
)</f>
        <v>0</v>
      </c>
      <c r="Q855" cm="1">
        <f t="array" ref="Q855">IFERROR(
  INDEX('GIR Log'!$E$2:$V$73,
    MATCH(1,
      ('GIR Log'!$A$2:$A$73=$A855)*
      ('GIR Log'!$B$2:$B$73=$B855)*
      ('GIR Log'!$C$2:$C$73=$C855),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Log'!$E$2:$V$73,
    MATCH(1,
      ('Golf Log'!$A$2:$A$73=$A856)*
      ('Golf Log'!$B$2:$B$73=$B856)*
      ('Golf Log'!$C$2:$C$73=$C856),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Log'!$E$2:$V$73,
    MATCH(1,
      ('Putt Log'!$A$2:$A$73=$A856)*
      ('Putt Log'!$B$2:$B$73=$B856)*
      ('Putt Log'!$C$2:$C$73=$C856),
    0),
    MATCH($G856,'Putt Log'!$E$1:$V$1,0)
  ),
"")</f>
        <v>1</v>
      </c>
      <c r="P856" cm="1">
        <f t="array" ref="P856">IF(K856=3,"",
  IFERROR(
    INDEX('Fairway Log'!$E$2:$V$73,
      MATCH(1,
        ('Fairway Log'!$A$2:$A$73=$A856)*
        ('Fairway Log'!$B$2:$B$73=$B856)*
        ('Fairway Log'!$C$2:$C927=$C856),
      0),
      MATCH($G856,'Fairway Log'!$E$1:$V$1,0)
    ),
  "")
)</f>
        <v>0</v>
      </c>
      <c r="Q856" cm="1">
        <f t="array" ref="Q856">IFERROR(
  INDEX('GIR Log'!$E$2:$V$73,
    MATCH(1,
      ('GIR Log'!$A$2:$A$73=$A856)*
      ('GIR Log'!$B$2:$B$73=$B856)*
      ('GIR Log'!$C$2:$C$73=$C856),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Log'!$E$2:$V$73,
    MATCH(1,
      ('Golf Log'!$A$2:$A$73=$A857)*
      ('Golf Log'!$B$2:$B$73=$B857)*
      ('Golf Log'!$C$2:$C$73=$C857),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Log'!$E$2:$V$73,
    MATCH(1,
      ('Putt Log'!$A$2:$A$73=$A857)*
      ('Putt Log'!$B$2:$B$73=$B857)*
      ('Putt Log'!$C$2:$C$73=$C857),
    0),
    MATCH($G857,'Putt Log'!$E$1:$V$1,0)
  ),
"")</f>
        <v>2</v>
      </c>
      <c r="P857" cm="1">
        <f t="array" ref="P857">IF(K857=3,"",
  IFERROR(
    INDEX('Fairway Log'!$E$2:$V$73,
      MATCH(1,
        ('Fairway Log'!$A$2:$A$73=$A857)*
        ('Fairway Log'!$B$2:$B$73=$B857)*
        ('Fairway Log'!$C$2:$C928=$C857),
      0),
      MATCH($G857,'Fairway Log'!$E$1:$V$1,0)
    ),
  "")
)</f>
        <v>0</v>
      </c>
      <c r="Q857" cm="1">
        <f t="array" ref="Q857">IFERROR(
  INDEX('GIR Log'!$E$2:$V$73,
    MATCH(1,
      ('GIR Log'!$A$2:$A$73=$A857)*
      ('GIR Log'!$B$2:$B$73=$B857)*
      ('GIR Log'!$C$2:$C$73=$C857),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Log'!$E$2:$V$73,
    MATCH(1,
      ('Golf Log'!$A$2:$A$73=$A858)*
      ('Golf Log'!$B$2:$B$73=$B858)*
      ('Golf Log'!$C$2:$C$73=$C858),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Log'!$E$2:$V$73,
    MATCH(1,
      ('Putt Log'!$A$2:$A$73=$A858)*
      ('Putt Log'!$B$2:$B$73=$B858)*
      ('Putt Log'!$C$2:$C$73=$C858),
    0),
    MATCH($G858,'Putt Log'!$E$1:$V$1,0)
  ),
"")</f>
        <v>2</v>
      </c>
      <c r="P858" cm="1">
        <f t="array" ref="P858">IF(K858=3,"",
  IFERROR(
    INDEX('Fairway Log'!$E$2:$V$73,
      MATCH(1,
        ('Fairway Log'!$A$2:$A$73=$A858)*
        ('Fairway Log'!$B$2:$B$73=$B858)*
        ('Fairway Log'!$C$2:$C929=$C858),
      0),
      MATCH($G858,'Fairway Log'!$E$1:$V$1,0)
    ),
  "")
)</f>
        <v>0</v>
      </c>
      <c r="Q858" cm="1">
        <f t="array" ref="Q858">IFERROR(
  INDEX('GIR Log'!$E$2:$V$73,
    MATCH(1,
      ('GIR Log'!$A$2:$A$73=$A858)*
      ('GIR Log'!$B$2:$B$73=$B858)*
      ('GIR Log'!$C$2:$C$73=$C858),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Log'!$E$2:$V$73,
    MATCH(1,
      ('Golf Log'!$A$2:$A$73=$A859)*
      ('Golf Log'!$B$2:$B$73=$B859)*
      ('Golf Log'!$C$2:$C$73=$C859),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Log'!$E$2:$V$73,
    MATCH(1,
      ('Putt Log'!$A$2:$A$73=$A859)*
      ('Putt Log'!$B$2:$B$73=$B859)*
      ('Putt Log'!$C$2:$C$73=$C859),
    0),
    MATCH($G859,'Putt Log'!$E$1:$V$1,0)
  ),
"")</f>
        <v>2</v>
      </c>
      <c r="P859" cm="1">
        <f t="array" ref="P859">IF(K859=3,"",
  IFERROR(
    INDEX('Fairway Log'!$E$2:$V$73,
      MATCH(1,
        ('Fairway Log'!$A$2:$A$73=$A859)*
        ('Fairway Log'!$B$2:$B$73=$B859)*
        ('Fairway Log'!$C$2:$C930=$C859),
      0),
      MATCH($G859,'Fairway Log'!$E$1:$V$1,0)
    ),
  "")
)</f>
        <v>0</v>
      </c>
      <c r="Q859" cm="1">
        <f t="array" ref="Q859">IFERROR(
  INDEX('GIR Log'!$E$2:$V$73,
    MATCH(1,
      ('GIR Log'!$A$2:$A$73=$A859)*
      ('GIR Log'!$B$2:$B$73=$B859)*
      ('GIR Log'!$C$2:$C$73=$C859),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Log'!$E$2:$V$73,
    MATCH(1,
      ('Golf Log'!$A$2:$A$73=$A860)*
      ('Golf Log'!$B$2:$B$73=$B860)*
      ('Golf Log'!$C$2:$C$73=$C860),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Log'!$E$2:$V$73,
    MATCH(1,
      ('Putt Log'!$A$2:$A$73=$A860)*
      ('Putt Log'!$B$2:$B$73=$B860)*
      ('Putt Log'!$C$2:$C$73=$C860),
    0),
    MATCH($G860,'Putt Log'!$E$1:$V$1,0)
  ),
"")</f>
        <v>1</v>
      </c>
      <c r="P860" cm="1">
        <f t="array" ref="P860">IF(K860=3,"",
  IFERROR(
    INDEX('Fairway Log'!$E$2:$V$73,
      MATCH(1,
        ('Fairway Log'!$A$2:$A$73=$A860)*
        ('Fairway Log'!$B$2:$B$73=$B860)*
        ('Fairway Log'!$C$2:$C931=$C860),
      0),
      MATCH($G860,'Fairway Log'!$E$1:$V$1,0)
    ),
  "")
)</f>
        <v>0</v>
      </c>
      <c r="Q860" cm="1">
        <f t="array" ref="Q860">IFERROR(
  INDEX('GIR Log'!$E$2:$V$73,
    MATCH(1,
      ('GIR Log'!$A$2:$A$73=$A860)*
      ('GIR Log'!$B$2:$B$73=$B860)*
      ('GIR Log'!$C$2:$C$73=$C860),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Log'!$E$2:$V$73,
    MATCH(1,
      ('Golf Log'!$A$2:$A$73=$A861)*
      ('Golf Log'!$B$2:$B$73=$B861)*
      ('Golf Log'!$C$2:$C$73=$C861),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Log'!$E$2:$V$73,
    MATCH(1,
      ('Putt Log'!$A$2:$A$73=$A861)*
      ('Putt Log'!$B$2:$B$73=$B861)*
      ('Putt Log'!$C$2:$C$73=$C861),
    0),
    MATCH($G861,'Putt Log'!$E$1:$V$1,0)
  ),
"")</f>
        <v>2</v>
      </c>
      <c r="P861" cm="1">
        <f t="array" ref="P861">IF(K861=3,"",
  IFERROR(
    INDEX('Fairway Log'!$E$2:$V$73,
      MATCH(1,
        ('Fairway Log'!$A$2:$A$73=$A861)*
        ('Fairway Log'!$B$2:$B$73=$B861)*
        ('Fairway Log'!$C$2:$C932=$C861),
      0),
      MATCH($G861,'Fairway Log'!$E$1:$V$1,0)
    ),
  "")
)</f>
        <v>0</v>
      </c>
      <c r="Q861" cm="1">
        <f t="array" ref="Q861">IFERROR(
  INDEX('GIR Log'!$E$2:$V$73,
    MATCH(1,
      ('GIR Log'!$A$2:$A$73=$A861)*
      ('GIR Log'!$B$2:$B$73=$B861)*
      ('GIR Log'!$C$2:$C$73=$C861),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Log'!$E$2:$V$73,
    MATCH(1,
      ('Golf Log'!$A$2:$A$73=$A862)*
      ('Golf Log'!$B$2:$B$73=$B862)*
      ('Golf Log'!$C$2:$C$73=$C862),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Log'!$E$2:$V$73,
    MATCH(1,
      ('Putt Log'!$A$2:$A$73=$A862)*
      ('Putt Log'!$B$2:$B$73=$B862)*
      ('Putt Log'!$C$2:$C$73=$C862),
    0),
    MATCH($G862,'Putt Log'!$E$1:$V$1,0)
  ),
"")</f>
        <v>1</v>
      </c>
      <c r="P862" cm="1">
        <f t="array" ref="P862">IF(K862=3,"",
  IFERROR(
    INDEX('Fairway Log'!$E$2:$V$73,
      MATCH(1,
        ('Fairway Log'!$A$2:$A$73=$A862)*
        ('Fairway Log'!$B$2:$B$73=$B862)*
        ('Fairway Log'!$C$2:$C933=$C862),
      0),
      MATCH($G862,'Fairway Log'!$E$1:$V$1,0)
    ),
  "")
)</f>
        <v>0</v>
      </c>
      <c r="Q862" cm="1">
        <f t="array" ref="Q862">IFERROR(
  INDEX('GIR Log'!$E$2:$V$73,
    MATCH(1,
      ('GIR Log'!$A$2:$A$73=$A862)*
      ('GIR Log'!$B$2:$B$73=$B862)*
      ('GIR Log'!$C$2:$C$73=$C862),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Log'!$E$2:$V$73,
    MATCH(1,
      ('Golf Log'!$A$2:$A$73=$A863)*
      ('Golf Log'!$B$2:$B$73=$B863)*
      ('Golf Log'!$C$2:$C$73=$C863),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Log'!$E$2:$V$73,
    MATCH(1,
      ('Putt Log'!$A$2:$A$73=$A863)*
      ('Putt Log'!$B$2:$B$73=$B863)*
      ('Putt Log'!$C$2:$C$73=$C863),
    0),
    MATCH($G863,'Putt Log'!$E$1:$V$1,0)
  ),
"")</f>
        <v>1</v>
      </c>
      <c r="P863" cm="1">
        <f t="array" ref="P863">IF(K863=3,"",
  IFERROR(
    INDEX('Fairway Log'!$E$2:$V$73,
      MATCH(1,
        ('Fairway Log'!$A$2:$A$73=$A863)*
        ('Fairway Log'!$B$2:$B$73=$B863)*
        ('Fairway Log'!$C$2:$C934=$C863),
      0),
      MATCH($G863,'Fairway Log'!$E$1:$V$1,0)
    ),
  "")
)</f>
        <v>0</v>
      </c>
      <c r="Q863" cm="1">
        <f t="array" ref="Q863">IFERROR(
  INDEX('GIR Log'!$E$2:$V$73,
    MATCH(1,
      ('GIR Log'!$A$2:$A$73=$A863)*
      ('GIR Log'!$B$2:$B$73=$B863)*
      ('GIR Log'!$C$2:$C$73=$C863),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Log'!$E$2:$V$73,
    MATCH(1,
      ('Golf Log'!$A$2:$A$73=$A864)*
      ('Golf Log'!$B$2:$B$73=$B864)*
      ('Golf Log'!$C$2:$C$73=$C864),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Log'!$E$2:$V$73,
    MATCH(1,
      ('Putt Log'!$A$2:$A$73=$A864)*
      ('Putt Log'!$B$2:$B$73=$B864)*
      ('Putt Log'!$C$2:$C$73=$C864),
    0),
    MATCH($G864,'Putt Log'!$E$1:$V$1,0)
  ),
"")</f>
        <v>2</v>
      </c>
      <c r="P864" cm="1">
        <f t="array" ref="P864">IF(K864=3,"",
  IFERROR(
    INDEX('Fairway Log'!$E$2:$V$73,
      MATCH(1,
        ('Fairway Log'!$A$2:$A$73=$A864)*
        ('Fairway Log'!$B$2:$B$73=$B864)*
        ('Fairway Log'!$C$2:$C935=$C864),
      0),
      MATCH($G864,'Fairway Log'!$E$1:$V$1,0)
    ),
  "")
)</f>
        <v>0</v>
      </c>
      <c r="Q864" cm="1">
        <f t="array" ref="Q864">IFERROR(
  INDEX('GIR Log'!$E$2:$V$73,
    MATCH(1,
      ('GIR Log'!$A$2:$A$73=$A864)*
      ('GIR Log'!$B$2:$B$73=$B864)*
      ('GIR Log'!$C$2:$C$73=$C864),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Log'!$E$2:$V$73,
    MATCH(1,
      ('Golf Log'!$A$2:$A$73=$A865)*
      ('Golf Log'!$B$2:$B$73=$B865)*
      ('Golf Log'!$C$2:$C$73=$C865),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Log'!$E$2:$V$73,
    MATCH(1,
      ('Putt Log'!$A$2:$A$73=$A865)*
      ('Putt Log'!$B$2:$B$73=$B865)*
      ('Putt Log'!$C$2:$C$73=$C865),
    0),
    MATCH($G865,'Putt Log'!$E$1:$V$1,0)
  ),
"")</f>
        <v>3</v>
      </c>
      <c r="P865" cm="1">
        <f t="array" ref="P865">IF(K865=3,"",
  IFERROR(
    INDEX('Fairway Log'!$E$2:$V$73,
      MATCH(1,
        ('Fairway Log'!$A$2:$A$73=$A865)*
        ('Fairway Log'!$B$2:$B$73=$B865)*
        ('Fairway Log'!$C$2:$C936=$C865),
      0),
      MATCH($G865,'Fairway Log'!$E$1:$V$1,0)
    ),
  "")
)</f>
        <v>0</v>
      </c>
      <c r="Q865" cm="1">
        <f t="array" ref="Q865">IFERROR(
  INDEX('GIR Log'!$E$2:$V$73,
    MATCH(1,
      ('GIR Log'!$A$2:$A$73=$A865)*
      ('GIR Log'!$B$2:$B$73=$B865)*
      ('GIR Log'!$C$2:$C$73=$C865),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Log'!$E$2:$V$73,
    MATCH(1,
      ('Golf Log'!$A$2:$A$73=$A866)*
      ('Golf Log'!$B$2:$B$73=$B866)*
      ('Golf Log'!$C$2:$C$73=$C866),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Log'!$E$2:$V$73,
    MATCH(1,
      ('Putt Log'!$A$2:$A$73=$A866)*
      ('Putt Log'!$B$2:$B$73=$B866)*
      ('Putt Log'!$C$2:$C$73=$C866),
    0),
    MATCH($G866,'Putt Log'!$E$1:$V$1,0)
  ),
"")</f>
        <v>1</v>
      </c>
      <c r="P866" t="str" cm="1">
        <f t="array" ref="P866">IF(K866=3,"",
  IFERROR(
    INDEX('Fairway Log'!$E$2:$V$73,
      MATCH(1,
        ('Fairway Log'!$A$2:$A$73=$A866)*
        ('Fairway Log'!$B$2:$B$73=$B866)*
        ('Fairway Log'!$C$2:$C937=$C866),
      0),
      MATCH($G866,'Fairway Log'!$E$1:$V$1,0)
    ),
  "")
)</f>
        <v>↓</v>
      </c>
      <c r="Q866" t="str" cm="1">
        <f t="array" ref="Q866">IFERROR(
  INDEX('GIR Log'!$E$2:$V$73,
    MATCH(1,
      ('GIR Log'!$A$2:$A$73=$A866)*
      ('GIR Log'!$B$2:$B$73=$B866)*
      ('GIR Log'!$C$2:$C$73=$C866),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Log'!$E$2:$V$73,
    MATCH(1,
      ('Golf Log'!$A$2:$A$73=$A867)*
      ('Golf Log'!$B$2:$B$73=$B867)*
      ('Golf Log'!$C$2:$C$73=$C867),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Log'!$E$2:$V$73,
    MATCH(1,
      ('Putt Log'!$A$2:$A$73=$A867)*
      ('Putt Log'!$B$2:$B$73=$B867)*
      ('Putt Log'!$C$2:$C$73=$C867),
    0),
    MATCH($G867,'Putt Log'!$E$1:$V$1,0)
  ),
"")</f>
        <v>1</v>
      </c>
      <c r="P867" t="str" cm="1">
        <f t="array" ref="P867">IF(K867=3,"",
  IFERROR(
    INDEX('Fairway Log'!$E$2:$V$73,
      MATCH(1,
        ('Fairway Log'!$A$2:$A$73=$A867)*
        ('Fairway Log'!$B$2:$B$73=$B867)*
        ('Fairway Log'!$C$2:$C938=$C867),
      0),
      MATCH($G867,'Fairway Log'!$E$1:$V$1,0)
    ),
  "")
)</f>
        <v>←</v>
      </c>
      <c r="Q867" t="str" cm="1">
        <f t="array" ref="Q867">IFERROR(
  INDEX('GIR Log'!$E$2:$V$73,
    MATCH(1,
      ('GIR Log'!$A$2:$A$73=$A867)*
      ('GIR Log'!$B$2:$B$73=$B867)*
      ('GIR Log'!$C$2:$C$73=$C867),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Log'!$E$2:$V$73,
    MATCH(1,
      ('Golf Log'!$A$2:$A$73=$A868)*
      ('Golf Log'!$B$2:$B$73=$B868)*
      ('Golf Log'!$C$2:$C$73=$C868),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Log'!$E$2:$V$73,
    MATCH(1,
      ('Putt Log'!$A$2:$A$73=$A868)*
      ('Putt Log'!$B$2:$B$73=$B868)*
      ('Putt Log'!$C$2:$C$73=$C868),
    0),
    MATCH($G868,'Putt Log'!$E$1:$V$1,0)
  ),
"")</f>
        <v>2</v>
      </c>
      <c r="P868" t="str" cm="1">
        <f t="array" ref="P868">IF(K868=3,"",
  IFERROR(
    INDEX('Fairway Log'!$E$2:$V$73,
      MATCH(1,
        ('Fairway Log'!$A$2:$A$73=$A868)*
        ('Fairway Log'!$B$2:$B$73=$B868)*
        ('Fairway Log'!$C$2:$C939=$C868),
      0),
      MATCH($G868,'Fairway Log'!$E$1:$V$1,0)
    ),
  "")
)</f>
        <v>←</v>
      </c>
      <c r="Q868" t="str" cm="1">
        <f t="array" ref="Q868">IFERROR(
  INDEX('GIR Log'!$E$2:$V$73,
    MATCH(1,
      ('GIR Log'!$A$2:$A$73=$A868)*
      ('GIR Log'!$B$2:$B$73=$B868)*
      ('GIR Log'!$C$2:$C$73=$C868),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Log'!$E$2:$V$73,
    MATCH(1,
      ('Golf Log'!$A$2:$A$73=$A869)*
      ('Golf Log'!$B$2:$B$73=$B869)*
      ('Golf Log'!$C$2:$C$73=$C869),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Log'!$E$2:$V$73,
    MATCH(1,
      ('Putt Log'!$A$2:$A$73=$A869)*
      ('Putt Log'!$B$2:$B$73=$B869)*
      ('Putt Log'!$C$2:$C$73=$C869),
    0),
    MATCH($G869,'Putt Log'!$E$1:$V$1,0)
  ),
"")</f>
        <v>2</v>
      </c>
      <c r="P869" t="str" cm="1">
        <f t="array" ref="P869">IF(K869=3,"",
  IFERROR(
    INDEX('Fairway Log'!$E$2:$V$73,
      MATCH(1,
        ('Fairway Log'!$A$2:$A$73=$A869)*
        ('Fairway Log'!$B$2:$B$73=$B869)*
        ('Fairway Log'!$C$2:$C940=$C869),
      0),
      MATCH($G869,'Fairway Log'!$E$1:$V$1,0)
    ),
  "")
)</f>
        <v>←</v>
      </c>
      <c r="Q869" t="str" cm="1">
        <f t="array" ref="Q869">IFERROR(
  INDEX('GIR Log'!$E$2:$V$73,
    MATCH(1,
      ('GIR Log'!$A$2:$A$73=$A869)*
      ('GIR Log'!$B$2:$B$73=$B869)*
      ('GIR Log'!$C$2:$C$73=$C869),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Log'!$E$2:$V$73,
    MATCH(1,
      ('Golf Log'!$A$2:$A$73=$A870)*
      ('Golf Log'!$B$2:$B$73=$B870)*
      ('Golf Log'!$C$2:$C$73=$C870),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Log'!$E$2:$V$73,
    MATCH(1,
      ('Putt Log'!$A$2:$A$73=$A870)*
      ('Putt Log'!$B$2:$B$73=$B870)*
      ('Putt Log'!$C$2:$C$73=$C870),
    0),
    MATCH($G870,'Putt Log'!$E$1:$V$1,0)
  ),
"")</f>
        <v>2</v>
      </c>
      <c r="P870" t="str" cm="1">
        <f t="array" ref="P870">IF(K870=3,"",
  IFERROR(
    INDEX('Fairway Log'!$E$2:$V$73,
      MATCH(1,
        ('Fairway Log'!$A$2:$A$73=$A870)*
        ('Fairway Log'!$B$2:$B$73=$B870)*
        ('Fairway Log'!$C$2:$C941=$C870),
      0),
      MATCH($G870,'Fairway Log'!$E$1:$V$1,0)
    ),
  "")
)</f>
        <v>←</v>
      </c>
      <c r="Q870" t="str" cm="1">
        <f t="array" ref="Q870">IFERROR(
  INDEX('GIR Log'!$E$2:$V$73,
    MATCH(1,
      ('GIR Log'!$A$2:$A$73=$A870)*
      ('GIR Log'!$B$2:$B$73=$B870)*
      ('GIR Log'!$C$2:$C$73=$C870),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Log'!$E$2:$V$73,
    MATCH(1,
      ('Golf Log'!$A$2:$A$73=$A871)*
      ('Golf Log'!$B$2:$B$73=$B871)*
      ('Golf Log'!$C$2:$C$73=$C871),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Log'!$E$2:$V$73,
    MATCH(1,
      ('Putt Log'!$A$2:$A$73=$A871)*
      ('Putt Log'!$B$2:$B$73=$B871)*
      ('Putt Log'!$C$2:$C$73=$C871),
    0),
    MATCH($G871,'Putt Log'!$E$1:$V$1,0)
  ),
"")</f>
        <v>2</v>
      </c>
      <c r="P871" t="str" cm="1">
        <f t="array" ref="P871">IF(K871=3,"",
  IFERROR(
    INDEX('Fairway Log'!$E$2:$V$73,
      MATCH(1,
        ('Fairway Log'!$A$2:$A$73=$A871)*
        ('Fairway Log'!$B$2:$B$73=$B871)*
        ('Fairway Log'!$C$2:$C942=$C871),
      0),
      MATCH($G871,'Fairway Log'!$E$1:$V$1,0)
    ),
  "")
)</f>
        <v/>
      </c>
      <c r="Q871" t="str" cm="1">
        <f t="array" ref="Q871">IFERROR(
  INDEX('GIR Log'!$E$2:$V$73,
    MATCH(1,
      ('GIR Log'!$A$2:$A$73=$A871)*
      ('GIR Log'!$B$2:$B$73=$B871)*
      ('GIR Log'!$C$2:$C$73=$C871),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Log'!$E$2:$V$73,
    MATCH(1,
      ('Golf Log'!$A$2:$A$73=$A872)*
      ('Golf Log'!$B$2:$B$73=$B872)*
      ('Golf Log'!$C$2:$C$73=$C872),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Log'!$E$2:$V$73,
    MATCH(1,
      ('Putt Log'!$A$2:$A$73=$A872)*
      ('Putt Log'!$B$2:$B$73=$B872)*
      ('Putt Log'!$C$2:$C$73=$C872),
    0),
    MATCH($G872,'Putt Log'!$E$1:$V$1,0)
  ),
"")</f>
        <v>2</v>
      </c>
      <c r="P872" t="str" cm="1">
        <f t="array" ref="P872">IF(K872=3,"",
  IFERROR(
    INDEX('Fairway Log'!$E$2:$V$73,
      MATCH(1,
        ('Fairway Log'!$A$2:$A$73=$A872)*
        ('Fairway Log'!$B$2:$B$73=$B872)*
        ('Fairway Log'!$C$2:$C943=$C872),
      0),
      MATCH($G872,'Fairway Log'!$E$1:$V$1,0)
    ),
  "")
)</f>
        <v>←</v>
      </c>
      <c r="Q872" t="str" cm="1">
        <f t="array" ref="Q872">IFERROR(
  INDEX('GIR Log'!$E$2:$V$73,
    MATCH(1,
      ('GIR Log'!$A$2:$A$73=$A872)*
      ('GIR Log'!$B$2:$B$73=$B872)*
      ('GIR Log'!$C$2:$C$73=$C872),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Log'!$E$2:$V$73,
    MATCH(1,
      ('Golf Log'!$A$2:$A$73=$A873)*
      ('Golf Log'!$B$2:$B$73=$B873)*
      ('Golf Log'!$C$2:$C$73=$C873),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Log'!$E$2:$V$73,
    MATCH(1,
      ('Putt Log'!$A$2:$A$73=$A873)*
      ('Putt Log'!$B$2:$B$73=$B873)*
      ('Putt Log'!$C$2:$C$73=$C873),
    0),
    MATCH($G873,'Putt Log'!$E$1:$V$1,0)
  ),
"")</f>
        <v>2</v>
      </c>
      <c r="P873" t="str" cm="1">
        <f t="array" ref="P873">IF(K873=3,"",
  IFERROR(
    INDEX('Fairway Log'!$E$2:$V$73,
      MATCH(1,
        ('Fairway Log'!$A$2:$A$73=$A873)*
        ('Fairway Log'!$B$2:$B$73=$B873)*
        ('Fairway Log'!$C$2:$C944=$C873),
      0),
      MATCH($G873,'Fairway Log'!$E$1:$V$1,0)
    ),
  "")
)</f>
        <v/>
      </c>
      <c r="Q873" t="str" cm="1">
        <f t="array" ref="Q873">IFERROR(
  INDEX('GIR Log'!$E$2:$V$73,
    MATCH(1,
      ('GIR Log'!$A$2:$A$73=$A873)*
      ('GIR Log'!$B$2:$B$73=$B873)*
      ('GIR Log'!$C$2:$C$73=$C873),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Log'!$E$2:$V$73,
    MATCH(1,
      ('Golf Log'!$A$2:$A$73=$A874)*
      ('Golf Log'!$B$2:$B$73=$B874)*
      ('Golf Log'!$C$2:$C$73=$C874),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Log'!$E$2:$V$73,
    MATCH(1,
      ('Putt Log'!$A$2:$A$73=$A874)*
      ('Putt Log'!$B$2:$B$73=$B874)*
      ('Putt Log'!$C$2:$C$73=$C874),
    0),
    MATCH($G874,'Putt Log'!$E$1:$V$1,0)
  ),
"")</f>
        <v>2</v>
      </c>
      <c r="P874" t="str" cm="1">
        <f t="array" ref="P874">IF(K874=3,"",
  IFERROR(
    INDEX('Fairway Log'!$E$2:$V$73,
      MATCH(1,
        ('Fairway Log'!$A$2:$A$73=$A874)*
        ('Fairway Log'!$B$2:$B$73=$B874)*
        ('Fairway Log'!$C$2:$C945=$C874),
      0),
      MATCH($G874,'Fairway Log'!$E$1:$V$1,0)
    ),
  "")
)</f>
        <v>↓</v>
      </c>
      <c r="Q874" t="str" cm="1">
        <f t="array" ref="Q874">IFERROR(
  INDEX('GIR Log'!$E$2:$V$73,
    MATCH(1,
      ('GIR Log'!$A$2:$A$73=$A874)*
      ('GIR Log'!$B$2:$B$73=$B874)*
      ('GIR Log'!$C$2:$C$73=$C874),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Log'!$E$2:$V$73,
    MATCH(1,
      ('Golf Log'!$A$2:$A$73=$A875)*
      ('Golf Log'!$B$2:$B$73=$B875)*
      ('Golf Log'!$C$2:$C$73=$C875),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Log'!$E$2:$V$73,
    MATCH(1,
      ('Putt Log'!$A$2:$A$73=$A875)*
      ('Putt Log'!$B$2:$B$73=$B875)*
      ('Putt Log'!$C$2:$C$73=$C875),
    0),
    MATCH($G875,'Putt Log'!$E$1:$V$1,0)
  ),
"")</f>
        <v>2</v>
      </c>
      <c r="P875" t="str" cm="1">
        <f t="array" ref="P875">IF(K875=3,"",
  IFERROR(
    INDEX('Fairway Log'!$E$2:$V$73,
      MATCH(1,
        ('Fairway Log'!$A$2:$A$73=$A875)*
        ('Fairway Log'!$B$2:$B$73=$B875)*
        ('Fairway Log'!$C$2:$C946=$C875),
      0),
      MATCH($G875,'Fairway Log'!$E$1:$V$1,0)
    ),
  "")
)</f>
        <v>↓</v>
      </c>
      <c r="Q875" t="str" cm="1">
        <f t="array" ref="Q875">IFERROR(
  INDEX('GIR Log'!$E$2:$V$73,
    MATCH(1,
      ('GIR Log'!$A$2:$A$73=$A875)*
      ('GIR Log'!$B$2:$B$73=$B875)*
      ('GIR Log'!$C$2:$C$73=$C875),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Log'!$E$2:$V$73,
    MATCH(1,
      ('Golf Log'!$A$2:$A$73=$A876)*
      ('Golf Log'!$B$2:$B$73=$B876)*
      ('Golf Log'!$C$2:$C$73=$C876),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Log'!$E$2:$V$73,
    MATCH(1,
      ('Putt Log'!$A$2:$A$73=$A876)*
      ('Putt Log'!$B$2:$B$73=$B876)*
      ('Putt Log'!$C$2:$C$73=$C876),
    0),
    MATCH($G876,'Putt Log'!$E$1:$V$1,0)
  ),
"")</f>
        <v>2</v>
      </c>
      <c r="P876" t="str" cm="1">
        <f t="array" ref="P876">IF(K876=3,"",
  IFERROR(
    INDEX('Fairway Log'!$E$2:$V$73,
      MATCH(1,
        ('Fairway Log'!$A$2:$A$73=$A876)*
        ('Fairway Log'!$B$2:$B$73=$B876)*
        ('Fairway Log'!$C$2:$C947=$C876),
      0),
      MATCH($G876,'Fairway Log'!$E$1:$V$1,0)
    ),
  "")
)</f>
        <v>→</v>
      </c>
      <c r="Q876" t="str" cm="1">
        <f t="array" ref="Q876">IFERROR(
  INDEX('GIR Log'!$E$2:$V$73,
    MATCH(1,
      ('GIR Log'!$A$2:$A$73=$A876)*
      ('GIR Log'!$B$2:$B$73=$B876)*
      ('GIR Log'!$C$2:$C$73=$C876),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Log'!$E$2:$V$73,
    MATCH(1,
      ('Golf Log'!$A$2:$A$73=$A877)*
      ('Golf Log'!$B$2:$B$73=$B877)*
      ('Golf Log'!$C$2:$C$73=$C877),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Log'!$E$2:$V$73,
    MATCH(1,
      ('Putt Log'!$A$2:$A$73=$A877)*
      ('Putt Log'!$B$2:$B$73=$B877)*
      ('Putt Log'!$C$2:$C$73=$C877),
    0),
    MATCH($G877,'Putt Log'!$E$1:$V$1,0)
  ),
"")</f>
        <v>2</v>
      </c>
      <c r="P877" t="str" cm="1">
        <f t="array" ref="P877">IF(K877=3,"",
  IFERROR(
    INDEX('Fairway Log'!$E$2:$V$73,
      MATCH(1,
        ('Fairway Log'!$A$2:$A$73=$A877)*
        ('Fairway Log'!$B$2:$B$73=$B877)*
        ('Fairway Log'!$C$2:$C948=$C877),
      0),
      MATCH($G877,'Fairway Log'!$E$1:$V$1,0)
    ),
  "")
)</f>
        <v/>
      </c>
      <c r="Q877" t="str" cm="1">
        <f t="array" ref="Q877">IFERROR(
  INDEX('GIR Log'!$E$2:$V$73,
    MATCH(1,
      ('GIR Log'!$A$2:$A$73=$A877)*
      ('GIR Log'!$B$2:$B$73=$B877)*
      ('GIR Log'!$C$2:$C$73=$C877),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Log'!$E$2:$V$73,
    MATCH(1,
      ('Golf Log'!$A$2:$A$73=$A878)*
      ('Golf Log'!$B$2:$B$73=$B878)*
      ('Golf Log'!$C$2:$C$73=$C878),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Log'!$E$2:$V$73,
    MATCH(1,
      ('Putt Log'!$A$2:$A$73=$A878)*
      ('Putt Log'!$B$2:$B$73=$B878)*
      ('Putt Log'!$C$2:$C$73=$C878),
    0),
    MATCH($G878,'Putt Log'!$E$1:$V$1,0)
  ),
"")</f>
        <v>2</v>
      </c>
      <c r="P878" t="str" cm="1">
        <f t="array" ref="P878">IF(K878=3,"",
  IFERROR(
    INDEX('Fairway Log'!$E$2:$V$73,
      MATCH(1,
        ('Fairway Log'!$A$2:$A$73=$A878)*
        ('Fairway Log'!$B$2:$B$73=$B878)*
        ('Fairway Log'!$C$2:$C949=$C878),
      0),
      MATCH($G878,'Fairway Log'!$E$1:$V$1,0)
    ),
  "")
)</f>
        <v>←</v>
      </c>
      <c r="Q878" t="str" cm="1">
        <f t="array" ref="Q878">IFERROR(
  INDEX('GIR Log'!$E$2:$V$73,
    MATCH(1,
      ('GIR Log'!$A$2:$A$73=$A878)*
      ('GIR Log'!$B$2:$B$73=$B878)*
      ('GIR Log'!$C$2:$C$73=$C878),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Log'!$E$2:$V$73,
    MATCH(1,
      ('Golf Log'!$A$2:$A$73=$A879)*
      ('Golf Log'!$B$2:$B$73=$B879)*
      ('Golf Log'!$C$2:$C$73=$C879),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Log'!$E$2:$V$73,
    MATCH(1,
      ('Putt Log'!$A$2:$A$73=$A879)*
      ('Putt Log'!$B$2:$B$73=$B879)*
      ('Putt Log'!$C$2:$C$73=$C879),
    0),
    MATCH($G879,'Putt Log'!$E$1:$V$1,0)
  ),
"")</f>
        <v>2</v>
      </c>
      <c r="P879" t="str" cm="1">
        <f t="array" ref="P879">IF(K879=3,"",
  IFERROR(
    INDEX('Fairway Log'!$E$2:$V$73,
      MATCH(1,
        ('Fairway Log'!$A$2:$A$73=$A879)*
        ('Fairway Log'!$B$2:$B$73=$B879)*
        ('Fairway Log'!$C$2:$C950=$C879),
      0),
      MATCH($G879,'Fairway Log'!$E$1:$V$1,0)
    ),
  "")
)</f>
        <v/>
      </c>
      <c r="Q879" t="str" cm="1">
        <f t="array" ref="Q879">IFERROR(
  INDEX('GIR Log'!$E$2:$V$73,
    MATCH(1,
      ('GIR Log'!$A$2:$A$73=$A879)*
      ('GIR Log'!$B$2:$B$73=$B879)*
      ('GIR Log'!$C$2:$C$73=$C879),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Log'!$E$2:$V$73,
    MATCH(1,
      ('Golf Log'!$A$2:$A$73=$A880)*
      ('Golf Log'!$B$2:$B$73=$B880)*
      ('Golf Log'!$C$2:$C$73=$C880),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Log'!$E$2:$V$73,
    MATCH(1,
      ('Putt Log'!$A$2:$A$73=$A880)*
      ('Putt Log'!$B$2:$B$73=$B880)*
      ('Putt Log'!$C$2:$C$73=$C880),
    0),
    MATCH($G880,'Putt Log'!$E$1:$V$1,0)
  ),
"")</f>
        <v>1</v>
      </c>
      <c r="P880" t="str" cm="1">
        <f t="array" ref="P880">IF(K880=3,"",
  IFERROR(
    INDEX('Fairway Log'!$E$2:$V$73,
      MATCH(1,
        ('Fairway Log'!$A$2:$A$73=$A880)*
        ('Fairway Log'!$B$2:$B$73=$B880)*
        ('Fairway Log'!$C$2:$C951=$C880),
      0),
      MATCH($G880,'Fairway Log'!$E$1:$V$1,0)
    ),
  "")
)</f>
        <v>←</v>
      </c>
      <c r="Q880" t="str" cm="1">
        <f t="array" ref="Q880">IFERROR(
  INDEX('GIR Log'!$E$2:$V$73,
    MATCH(1,
      ('GIR Log'!$A$2:$A$73=$A880)*
      ('GIR Log'!$B$2:$B$73=$B880)*
      ('GIR Log'!$C$2:$C$73=$C880),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Log'!$E$2:$V$73,
    MATCH(1,
      ('Golf Log'!$A$2:$A$73=$A881)*
      ('Golf Log'!$B$2:$B$73=$B881)*
      ('Golf Log'!$C$2:$C$73=$C881),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Log'!$E$2:$V$73,
    MATCH(1,
      ('Putt Log'!$A$2:$A$73=$A881)*
      ('Putt Log'!$B$2:$B$73=$B881)*
      ('Putt Log'!$C$2:$C$73=$C881),
    0),
    MATCH($G881,'Putt Log'!$E$1:$V$1,0)
  ),
"")</f>
        <v>3</v>
      </c>
      <c r="P881" t="str" cm="1">
        <f t="array" ref="P881">IF(K881=3,"",
  IFERROR(
    INDEX('Fairway Log'!$E$2:$V$73,
      MATCH(1,
        ('Fairway Log'!$A$2:$A$73=$A881)*
        ('Fairway Log'!$B$2:$B$73=$B881)*
        ('Fairway Log'!$C$2:$C952=$C881),
      0),
      MATCH($G881,'Fairway Log'!$E$1:$V$1,0)
    ),
  "")
)</f>
        <v>↓</v>
      </c>
      <c r="Q881" cm="1">
        <f t="array" ref="Q881">IFERROR(
  INDEX('GIR Log'!$E$2:$V$73,
    MATCH(1,
      ('GIR Log'!$A$2:$A$73=$A881)*
      ('GIR Log'!$B$2:$B$73=$B881)*
      ('GIR Log'!$C$2:$C$73=$C881),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Log'!$E$2:$V$73,
    MATCH(1,
      ('Golf Log'!$A$2:$A$73=$A882)*
      ('Golf Log'!$B$2:$B$73=$B882)*
      ('Golf Log'!$C$2:$C$73=$C882),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Log'!$E$2:$V$73,
    MATCH(1,
      ('Putt Log'!$A$2:$A$73=$A882)*
      ('Putt Log'!$B$2:$B$73=$B882)*
      ('Putt Log'!$C$2:$C$73=$C882),
    0),
    MATCH($G882,'Putt Log'!$E$1:$V$1,0)
  ),
"")</f>
        <v>2</v>
      </c>
      <c r="P882" t="str" cm="1">
        <f t="array" ref="P882">IF(K882=3,"",
  IFERROR(
    INDEX('Fairway Log'!$E$2:$V$73,
      MATCH(1,
        ('Fairway Log'!$A$2:$A$73=$A882)*
        ('Fairway Log'!$B$2:$B$73=$B882)*
        ('Fairway Log'!$C$2:$C953=$C882),
      0),
      MATCH($G882,'Fairway Log'!$E$1:$V$1,0)
    ),
  "")
)</f>
        <v>←</v>
      </c>
      <c r="Q882" t="str" cm="1">
        <f t="array" ref="Q882">IFERROR(
  INDEX('GIR Log'!$E$2:$V$73,
    MATCH(1,
      ('GIR Log'!$A$2:$A$73=$A882)*
      ('GIR Log'!$B$2:$B$73=$B882)*
      ('GIR Log'!$C$2:$C$73=$C882),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Log'!$E$2:$V$73,
    MATCH(1,
      ('Golf Log'!$A$2:$A$73=$A883)*
      ('Golf Log'!$B$2:$B$73=$B883)*
      ('Golf Log'!$C$2:$C$73=$C883),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Log'!$E$2:$V$73,
    MATCH(1,
      ('Putt Log'!$A$2:$A$73=$A883)*
      ('Putt Log'!$B$2:$B$73=$B883)*
      ('Putt Log'!$C$2:$C$73=$C883),
    0),
    MATCH($G883,'Putt Log'!$E$1:$V$1,0)
  ),
"")</f>
        <v>2</v>
      </c>
      <c r="P883" t="str" cm="1">
        <f t="array" ref="P883">IF(K883=3,"",
  IFERROR(
    INDEX('Fairway Log'!$E$2:$V$73,
      MATCH(1,
        ('Fairway Log'!$A$2:$A$73=$A883)*
        ('Fairway Log'!$B$2:$B$73=$B883)*
        ('Fairway Log'!$C$2:$C954=$C883),
      0),
      MATCH($G883,'Fairway Log'!$E$1:$V$1,0)
    ),
  "")
)</f>
        <v>→</v>
      </c>
      <c r="Q883" t="str" cm="1">
        <f t="array" ref="Q883">IFERROR(
  INDEX('GIR Log'!$E$2:$V$73,
    MATCH(1,
      ('GIR Log'!$A$2:$A$73=$A883)*
      ('GIR Log'!$B$2:$B$73=$B883)*
      ('GIR Log'!$C$2:$C$73=$C883),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Log'!$E$2:$V$73,
    MATCH(1,
      ('Golf Log'!$A$2:$A$73=$A884)*
      ('Golf Log'!$B$2:$B$73=$B884)*
      ('Golf Log'!$C$2:$C$73=$C884),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Log'!$E$2:$V$73,
    MATCH(1,
      ('Putt Log'!$A$2:$A$73=$A884)*
      ('Putt Log'!$B$2:$B$73=$B884)*
      ('Putt Log'!$C$2:$C$73=$C884),
    0),
    MATCH($G884,'Putt Log'!$E$1:$V$1,0)
  ),
"")</f>
        <v>1</v>
      </c>
      <c r="P884" t="str" cm="1">
        <f t="array" ref="P884">IF(K884=3,"",
  IFERROR(
    INDEX('Fairway Log'!$E$2:$V$73,
      MATCH(1,
        ('Fairway Log'!$A$2:$A$73=$A884)*
        ('Fairway Log'!$B$2:$B$73=$B884)*
        ('Fairway Log'!$C$2:$C955=$C884),
      0),
      MATCH($G884,'Fairway Log'!$E$1:$V$1,0)
    ),
  "")
)</f>
        <v>←</v>
      </c>
      <c r="Q884" t="str" cm="1">
        <f t="array" ref="Q884">IFERROR(
  INDEX('GIR Log'!$E$2:$V$73,
    MATCH(1,
      ('GIR Log'!$A$2:$A$73=$A884)*
      ('GIR Log'!$B$2:$B$73=$B884)*
      ('GIR Log'!$C$2:$C$73=$C884),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Log'!$E$2:$V$73,
    MATCH(1,
      ('Golf Log'!$A$2:$A$73=$A885)*
      ('Golf Log'!$B$2:$B$73=$B885)*
      ('Golf Log'!$C$2:$C$73=$C885),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Log'!$E$2:$V$73,
    MATCH(1,
      ('Putt Log'!$A$2:$A$73=$A885)*
      ('Putt Log'!$B$2:$B$73=$B885)*
      ('Putt Log'!$C$2:$C$73=$C885),
    0),
    MATCH($G885,'Putt Log'!$E$1:$V$1,0)
  ),
"")</f>
        <v>1</v>
      </c>
      <c r="P885" t="str" cm="1">
        <f t="array" ref="P885">IF(K885=3,"",
  IFERROR(
    INDEX('Fairway Log'!$E$2:$V$73,
      MATCH(1,
        ('Fairway Log'!$A$2:$A$73=$A885)*
        ('Fairway Log'!$B$2:$B$73=$B885)*
        ('Fairway Log'!$C$2:$C956=$C885),
      0),
      MATCH($G885,'Fairway Log'!$E$1:$V$1,0)
    ),
  "")
)</f>
        <v>←</v>
      </c>
      <c r="Q885" t="str" cm="1">
        <f t="array" ref="Q885">IFERROR(
  INDEX('GIR Log'!$E$2:$V$73,
    MATCH(1,
      ('GIR Log'!$A$2:$A$73=$A885)*
      ('GIR Log'!$B$2:$B$73=$B885)*
      ('GIR Log'!$C$2:$C$73=$C885),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Log'!$E$2:$V$73,
    MATCH(1,
      ('Golf Log'!$A$2:$A$73=$A886)*
      ('Golf Log'!$B$2:$B$73=$B886)*
      ('Golf Log'!$C$2:$C$73=$C886),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Log'!$E$2:$V$73,
    MATCH(1,
      ('Putt Log'!$A$2:$A$73=$A886)*
      ('Putt Log'!$B$2:$B$73=$B886)*
      ('Putt Log'!$C$2:$C$73=$C886),
    0),
    MATCH($G886,'Putt Log'!$E$1:$V$1,0)
  ),
"")</f>
        <v>1</v>
      </c>
      <c r="P886" t="str" cm="1">
        <f t="array" ref="P886">IF(K886=3,"",
  IFERROR(
    INDEX('Fairway Log'!$E$2:$V$73,
      MATCH(1,
        ('Fairway Log'!$A$2:$A$73=$A886)*
        ('Fairway Log'!$B$2:$B$73=$B886)*
        ('Fairway Log'!$C$2:$C957=$C886),
      0),
      MATCH($G886,'Fairway Log'!$E$1:$V$1,0)
    ),
  "")
)</f>
        <v/>
      </c>
      <c r="Q886" t="str" cm="1">
        <f t="array" ref="Q886">IFERROR(
  INDEX('GIR Log'!$E$2:$V$73,
    MATCH(1,
      ('GIR Log'!$A$2:$A$73=$A886)*
      ('GIR Log'!$B$2:$B$73=$B886)*
      ('GIR Log'!$C$2:$C$73=$C886),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Log'!$E$2:$V$73,
    MATCH(1,
      ('Golf Log'!$A$2:$A$73=$A887)*
      ('Golf Log'!$B$2:$B$73=$B887)*
      ('Golf Log'!$C$2:$C$73=$C887),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Log'!$E$2:$V$73,
    MATCH(1,
      ('Putt Log'!$A$2:$A$73=$A887)*
      ('Putt Log'!$B$2:$B$73=$B887)*
      ('Putt Log'!$C$2:$C$73=$C887),
    0),
    MATCH($G887,'Putt Log'!$E$1:$V$1,0)
  ),
"")</f>
        <v>1</v>
      </c>
      <c r="P887" cm="1">
        <f t="array" ref="P887">IF(K887=3,"",
  IFERROR(
    INDEX('Fairway Log'!$E$2:$V$73,
      MATCH(1,
        ('Fairway Log'!$A$2:$A$73=$A887)*
        ('Fairway Log'!$B$2:$B$73=$B887)*
        ('Fairway Log'!$C$2:$C958=$C887),
      0),
      MATCH($G887,'Fairway Log'!$E$1:$V$1,0)
    ),
  "")
)</f>
        <v>1</v>
      </c>
      <c r="Q887" t="str" cm="1">
        <f t="array" ref="Q887">IFERROR(
  INDEX('GIR Log'!$E$2:$V$73,
    MATCH(1,
      ('GIR Log'!$A$2:$A$73=$A887)*
      ('GIR Log'!$B$2:$B$73=$B887)*
      ('GIR Log'!$C$2:$C$73=$C887),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Log'!$E$2:$V$73,
    MATCH(1,
      ('Golf Log'!$A$2:$A$73=$A888)*
      ('Golf Log'!$B$2:$B$73=$B888)*
      ('Golf Log'!$C$2:$C$73=$C888),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Log'!$E$2:$V$73,
    MATCH(1,
      ('Putt Log'!$A$2:$A$73=$A888)*
      ('Putt Log'!$B$2:$B$73=$B888)*
      ('Putt Log'!$C$2:$C$73=$C888),
    0),
    MATCH($G888,'Putt Log'!$E$1:$V$1,0)
  ),
"")</f>
        <v>2</v>
      </c>
      <c r="P888" t="str" cm="1">
        <f t="array" ref="P888">IF(K888=3,"",
  IFERROR(
    INDEX('Fairway Log'!$E$2:$V$73,
      MATCH(1,
        ('Fairway Log'!$A$2:$A$73=$A888)*
        ('Fairway Log'!$B$2:$B$73=$B888)*
        ('Fairway Log'!$C$2:$C959=$C888),
      0),
      MATCH($G888,'Fairway Log'!$E$1:$V$1,0)
    ),
  "")
)</f>
        <v/>
      </c>
      <c r="Q888" t="str" cm="1">
        <f t="array" ref="Q888">IFERROR(
  INDEX('GIR Log'!$E$2:$V$73,
    MATCH(1,
      ('GIR Log'!$A$2:$A$73=$A888)*
      ('GIR Log'!$B$2:$B$73=$B888)*
      ('GIR Log'!$C$2:$C$73=$C888),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Log'!$E$2:$V$73,
    MATCH(1,
      ('Golf Log'!$A$2:$A$73=$A889)*
      ('Golf Log'!$B$2:$B$73=$B889)*
      ('Golf Log'!$C$2:$C$73=$C889),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Log'!$E$2:$V$73,
    MATCH(1,
      ('Putt Log'!$A$2:$A$73=$A889)*
      ('Putt Log'!$B$2:$B$73=$B889)*
      ('Putt Log'!$C$2:$C$73=$C889),
    0),
    MATCH($G889,'Putt Log'!$E$1:$V$1,0)
  ),
"")</f>
        <v>2</v>
      </c>
      <c r="P889" cm="1">
        <f t="array" ref="P889">IF(K889=3,"",
  IFERROR(
    INDEX('Fairway Log'!$E$2:$V$73,
      MATCH(1,
        ('Fairway Log'!$A$2:$A$73=$A889)*
        ('Fairway Log'!$B$2:$B$73=$B889)*
        ('Fairway Log'!$C$2:$C960=$C889),
      0),
      MATCH($G889,'Fairway Log'!$E$1:$V$1,0)
    ),
  "")
)</f>
        <v>1</v>
      </c>
      <c r="Q889" t="str" cm="1">
        <f t="array" ref="Q889">IFERROR(
  INDEX('GIR Log'!$E$2:$V$73,
    MATCH(1,
      ('GIR Log'!$A$2:$A$73=$A889)*
      ('GIR Log'!$B$2:$B$73=$B889)*
      ('GIR Log'!$C$2:$C$73=$C889),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Log'!$E$2:$V$73,
    MATCH(1,
      ('Golf Log'!$A$2:$A$73=$A890)*
      ('Golf Log'!$B$2:$B$73=$B890)*
      ('Golf Log'!$C$2:$C$73=$C890),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Log'!$E$2:$V$73,
    MATCH(1,
      ('Putt Log'!$A$2:$A$73=$A890)*
      ('Putt Log'!$B$2:$B$73=$B890)*
      ('Putt Log'!$C$2:$C$73=$C890),
    0),
    MATCH($G890,'Putt Log'!$E$1:$V$1,0)
  ),
"")</f>
        <v>2</v>
      </c>
      <c r="P890" t="str" cm="1">
        <f t="array" ref="P890">IF(K890=3,"",
  IFERROR(
    INDEX('Fairway Log'!$E$2:$V$73,
      MATCH(1,
        ('Fairway Log'!$A$2:$A$73=$A890)*
        ('Fairway Log'!$B$2:$B$73=$B890)*
        ('Fairway Log'!$C$2:$C961=$C890),
      0),
      MATCH($G890,'Fairway Log'!$E$1:$V$1,0)
    ),
  "")
)</f>
        <v>←</v>
      </c>
      <c r="Q890" cm="1">
        <f t="array" ref="Q890">IFERROR(
  INDEX('GIR Log'!$E$2:$V$73,
    MATCH(1,
      ('GIR Log'!$A$2:$A$73=$A890)*
      ('GIR Log'!$B$2:$B$73=$B890)*
      ('GIR Log'!$C$2:$C$73=$C890),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Log'!$E$2:$V$73,
    MATCH(1,
      ('Golf Log'!$A$2:$A$73=$A891)*
      ('Golf Log'!$B$2:$B$73=$B891)*
      ('Golf Log'!$C$2:$C$73=$C891),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Log'!$E$2:$V$73,
    MATCH(1,
      ('Putt Log'!$A$2:$A$73=$A891)*
      ('Putt Log'!$B$2:$B$73=$B891)*
      ('Putt Log'!$C$2:$C$73=$C891),
    0),
    MATCH($G891,'Putt Log'!$E$1:$V$1,0)
  ),
"")</f>
        <v>1</v>
      </c>
      <c r="P891" t="str" cm="1">
        <f t="array" ref="P891">IF(K891=3,"",
  IFERROR(
    INDEX('Fairway Log'!$E$2:$V$73,
      MATCH(1,
        ('Fairway Log'!$A$2:$A$73=$A891)*
        ('Fairway Log'!$B$2:$B$73=$B891)*
        ('Fairway Log'!$C$2:$C962=$C891),
      0),
      MATCH($G891,'Fairway Log'!$E$1:$V$1,0)
    ),
  "")
)</f>
        <v>←</v>
      </c>
      <c r="Q891" t="str" cm="1">
        <f t="array" ref="Q891">IFERROR(
  INDEX('GIR Log'!$E$2:$V$73,
    MATCH(1,
      ('GIR Log'!$A$2:$A$73=$A891)*
      ('GIR Log'!$B$2:$B$73=$B891)*
      ('GIR Log'!$C$2:$C$73=$C891),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Log'!$E$2:$V$73,
    MATCH(1,
      ('Golf Log'!$A$2:$A$73=$A892)*
      ('Golf Log'!$B$2:$B$73=$B892)*
      ('Golf Log'!$C$2:$C$73=$C892),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Log'!$E$2:$V$73,
    MATCH(1,
      ('Putt Log'!$A$2:$A$73=$A892)*
      ('Putt Log'!$B$2:$B$73=$B892)*
      ('Putt Log'!$C$2:$C$73=$C892),
    0),
    MATCH($G892,'Putt Log'!$E$1:$V$1,0)
  ),
"")</f>
        <v>2</v>
      </c>
      <c r="P892" t="str" cm="1">
        <f t="array" ref="P892">IF(K892=3,"",
  IFERROR(
    INDEX('Fairway Log'!$E$2:$V$73,
      MATCH(1,
        ('Fairway Log'!$A$2:$A$73=$A892)*
        ('Fairway Log'!$B$2:$B$73=$B892)*
        ('Fairway Log'!$C$2:$C963=$C892),
      0),
      MATCH($G892,'Fairway Log'!$E$1:$V$1,0)
    ),
  "")
)</f>
        <v>←</v>
      </c>
      <c r="Q892" t="str" cm="1">
        <f t="array" ref="Q892">IFERROR(
  INDEX('GIR Log'!$E$2:$V$73,
    MATCH(1,
      ('GIR Log'!$A$2:$A$73=$A892)*
      ('GIR Log'!$B$2:$B$73=$B892)*
      ('GIR Log'!$C$2:$C$73=$C892),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Log'!$E$2:$V$73,
    MATCH(1,
      ('Golf Log'!$A$2:$A$73=$A893)*
      ('Golf Log'!$B$2:$B$73=$B893)*
      ('Golf Log'!$C$2:$C$73=$C893),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Log'!$E$2:$V$73,
    MATCH(1,
      ('Putt Log'!$A$2:$A$73=$A893)*
      ('Putt Log'!$B$2:$B$73=$B893)*
      ('Putt Log'!$C$2:$C$73=$C893),
    0),
    MATCH($G893,'Putt Log'!$E$1:$V$1,0)
  ),
"")</f>
        <v>2</v>
      </c>
      <c r="P893" t="str" cm="1">
        <f t="array" ref="P893">IF(K893=3,"",
  IFERROR(
    INDEX('Fairway Log'!$E$2:$V$73,
      MATCH(1,
        ('Fairway Log'!$A$2:$A$73=$A893)*
        ('Fairway Log'!$B$2:$B$73=$B893)*
        ('Fairway Log'!$C$2:$C964=$C893),
      0),
      MATCH($G893,'Fairway Log'!$E$1:$V$1,0)
    ),
  "")
)</f>
        <v>→</v>
      </c>
      <c r="Q893" t="str" cm="1">
        <f t="array" ref="Q893">IFERROR(
  INDEX('GIR Log'!$E$2:$V$73,
    MATCH(1,
      ('GIR Log'!$A$2:$A$73=$A893)*
      ('GIR Log'!$B$2:$B$73=$B893)*
      ('GIR Log'!$C$2:$C$73=$C893),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Log'!$E$2:$V$73,
    MATCH(1,
      ('Golf Log'!$A$2:$A$73=$A894)*
      ('Golf Log'!$B$2:$B$73=$B894)*
      ('Golf Log'!$C$2:$C$73=$C894),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Log'!$E$2:$V$73,
    MATCH(1,
      ('Putt Log'!$A$2:$A$73=$A894)*
      ('Putt Log'!$B$2:$B$73=$B894)*
      ('Putt Log'!$C$2:$C$73=$C894),
    0),
    MATCH($G894,'Putt Log'!$E$1:$V$1,0)
  ),
"")</f>
        <v>2</v>
      </c>
      <c r="P894" t="str" cm="1">
        <f t="array" ref="P894">IF(K894=3,"",
  IFERROR(
    INDEX('Fairway Log'!$E$2:$V$73,
      MATCH(1,
        ('Fairway Log'!$A$2:$A$73=$A894)*
        ('Fairway Log'!$B$2:$B$73=$B894)*
        ('Fairway Log'!$C$2:$C965=$C894),
      0),
      MATCH($G894,'Fairway Log'!$E$1:$V$1,0)
    ),
  "")
)</f>
        <v>←</v>
      </c>
      <c r="Q894" t="str" cm="1">
        <f t="array" ref="Q894">IFERROR(
  INDEX('GIR Log'!$E$2:$V$73,
    MATCH(1,
      ('GIR Log'!$A$2:$A$73=$A894)*
      ('GIR Log'!$B$2:$B$73=$B894)*
      ('GIR Log'!$C$2:$C$73=$C894),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Log'!$E$2:$V$73,
    MATCH(1,
      ('Golf Log'!$A$2:$A$73=$A895)*
      ('Golf Log'!$B$2:$B$73=$B895)*
      ('Golf Log'!$C$2:$C$73=$C895),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Log'!$E$2:$V$73,
    MATCH(1,
      ('Putt Log'!$A$2:$A$73=$A895)*
      ('Putt Log'!$B$2:$B$73=$B895)*
      ('Putt Log'!$C$2:$C$73=$C895),
    0),
    MATCH($G895,'Putt Log'!$E$1:$V$1,0)
  ),
"")</f>
        <v>2</v>
      </c>
      <c r="P895" cm="1">
        <f t="array" ref="P895">IF(K895=3,"",
  IFERROR(
    INDEX('Fairway Log'!$E$2:$V$73,
      MATCH(1,
        ('Fairway Log'!$A$2:$A$73=$A895)*
        ('Fairway Log'!$B$2:$B$73=$B895)*
        ('Fairway Log'!$C$2:$C966=$C895),
      0),
      MATCH($G895,'Fairway Log'!$E$1:$V$1,0)
    ),
  "")
)</f>
        <v>1</v>
      </c>
      <c r="Q895" t="str" cm="1">
        <f t="array" ref="Q895">IFERROR(
  INDEX('GIR Log'!$E$2:$V$73,
    MATCH(1,
      ('GIR Log'!$A$2:$A$73=$A895)*
      ('GIR Log'!$B$2:$B$73=$B895)*
      ('GIR Log'!$C$2:$C$73=$C895),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Log'!$E$2:$V$73,
    MATCH(1,
      ('Golf Log'!$A$2:$A$73=$A896)*
      ('Golf Log'!$B$2:$B$73=$B896)*
      ('Golf Log'!$C$2:$C$73=$C896),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Log'!$E$2:$V$73,
    MATCH(1,
      ('Putt Log'!$A$2:$A$73=$A896)*
      ('Putt Log'!$B$2:$B$73=$B896)*
      ('Putt Log'!$C$2:$C$73=$C896),
    0),
    MATCH($G896,'Putt Log'!$E$1:$V$1,0)
  ),
"")</f>
        <v>2</v>
      </c>
      <c r="P896" t="str" cm="1">
        <f t="array" ref="P896">IF(K896=3,"",
  IFERROR(
    INDEX('Fairway Log'!$E$2:$V$73,
      MATCH(1,
        ('Fairway Log'!$A$2:$A$73=$A896)*
        ('Fairway Log'!$B$2:$B$73=$B896)*
        ('Fairway Log'!$C$2:$C967=$C896),
      0),
      MATCH($G896,'Fairway Log'!$E$1:$V$1,0)
    ),
  "")
)</f>
        <v>←</v>
      </c>
      <c r="Q896" t="str" cm="1">
        <f t="array" ref="Q896">IFERROR(
  INDEX('GIR Log'!$E$2:$V$73,
    MATCH(1,
      ('GIR Log'!$A$2:$A$73=$A896)*
      ('GIR Log'!$B$2:$B$73=$B896)*
      ('GIR Log'!$C$2:$C$73=$C896),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Log'!$E$2:$V$73,
    MATCH(1,
      ('Golf Log'!$A$2:$A$73=$A897)*
      ('Golf Log'!$B$2:$B$73=$B897)*
      ('Golf Log'!$C$2:$C$73=$C897),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Log'!$E$2:$V$73,
    MATCH(1,
      ('Putt Log'!$A$2:$A$73=$A897)*
      ('Putt Log'!$B$2:$B$73=$B897)*
      ('Putt Log'!$C$2:$C$73=$C897),
    0),
    MATCH($G897,'Putt Log'!$E$1:$V$1,0)
  ),
"")</f>
        <v>1</v>
      </c>
      <c r="P897" t="str" cm="1">
        <f t="array" ref="P897">IF(K897=3,"",
  IFERROR(
    INDEX('Fairway Log'!$E$2:$V$73,
      MATCH(1,
        ('Fairway Log'!$A$2:$A$73=$A897)*
        ('Fairway Log'!$B$2:$B$73=$B897)*
        ('Fairway Log'!$C$2:$C968=$C897),
      0),
      MATCH($G897,'Fairway Log'!$E$1:$V$1,0)
    ),
  "")
)</f>
        <v/>
      </c>
      <c r="Q897" t="str" cm="1">
        <f t="array" ref="Q897">IFERROR(
  INDEX('GIR Log'!$E$2:$V$73,
    MATCH(1,
      ('GIR Log'!$A$2:$A$73=$A897)*
      ('GIR Log'!$B$2:$B$73=$B897)*
      ('GIR Log'!$C$2:$C$73=$C897),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Log'!$E$2:$V$73,
    MATCH(1,
      ('Golf Log'!$A$2:$A$73=$A898)*
      ('Golf Log'!$B$2:$B$73=$B898)*
      ('Golf Log'!$C$2:$C$73=$C898),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Log'!$E$2:$V$73,
    MATCH(1,
      ('Putt Log'!$A$2:$A$73=$A898)*
      ('Putt Log'!$B$2:$B$73=$B898)*
      ('Putt Log'!$C$2:$C$73=$C898),
    0),
    MATCH($G898,'Putt Log'!$E$1:$V$1,0)
  ),
"")</f>
        <v>2</v>
      </c>
      <c r="P898" t="str" cm="1">
        <f t="array" ref="P898">IF(K898=3,"",
  IFERROR(
    INDEX('Fairway Log'!$E$2:$V$73,
      MATCH(1,
        ('Fairway Log'!$A$2:$A$73=$A898)*
        ('Fairway Log'!$B$2:$B$73=$B898)*
        ('Fairway Log'!$C$2:$C969=$C898),
      0),
      MATCH($G898,'Fairway Log'!$E$1:$V$1,0)
    ),
  "")
)</f>
        <v>→</v>
      </c>
      <c r="Q898" t="str" cm="1">
        <f t="array" ref="Q898">IFERROR(
  INDEX('GIR Log'!$E$2:$V$73,
    MATCH(1,
      ('GIR Log'!$A$2:$A$73=$A898)*
      ('GIR Log'!$B$2:$B$73=$B898)*
      ('GIR Log'!$C$2:$C$73=$C898),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Log'!$E$2:$V$73,
    MATCH(1,
      ('Golf Log'!$A$2:$A$73=$A899)*
      ('Golf Log'!$B$2:$B$73=$B899)*
      ('Golf Log'!$C$2:$C$73=$C899),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Log'!$E$2:$V$73,
    MATCH(1,
      ('Putt Log'!$A$2:$A$73=$A899)*
      ('Putt Log'!$B$2:$B$73=$B899)*
      ('Putt Log'!$C$2:$C$73=$C899),
    0),
    MATCH($G899,'Putt Log'!$E$1:$V$1,0)
  ),
"")</f>
        <v>1</v>
      </c>
      <c r="P899" t="str" cm="1">
        <f t="array" ref="P899">IF(K899=3,"",
  IFERROR(
    INDEX('Fairway Log'!$E$2:$V$73,
      MATCH(1,
        ('Fairway Log'!$A$2:$A$73=$A899)*
        ('Fairway Log'!$B$2:$B$73=$B899)*
        ('Fairway Log'!$C$2:$C970=$C899),
      0),
      MATCH($G899,'Fairway Log'!$E$1:$V$1,0)
    ),
  "")
)</f>
        <v>←</v>
      </c>
      <c r="Q899" t="str" cm="1">
        <f t="array" ref="Q899">IFERROR(
  INDEX('GIR Log'!$E$2:$V$73,
    MATCH(1,
      ('GIR Log'!$A$2:$A$73=$A899)*
      ('GIR Log'!$B$2:$B$73=$B899)*
      ('GIR Log'!$C$2:$C$73=$C899),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Log'!$E$2:$V$73,
    MATCH(1,
      ('Golf Log'!$A$2:$A$73=$A900)*
      ('Golf Log'!$B$2:$B$73=$B900)*
      ('Golf Log'!$C$2:$C$73=$C900),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Log'!$E$2:$V$73,
    MATCH(1,
      ('Putt Log'!$A$2:$A$73=$A900)*
      ('Putt Log'!$B$2:$B$73=$B900)*
      ('Putt Log'!$C$2:$C$73=$C900),
    0),
    MATCH($G900,'Putt Log'!$E$1:$V$1,0)
  ),
"")</f>
        <v>1</v>
      </c>
      <c r="P900" cm="1">
        <f t="array" ref="P900">IF(K900=3,"",
  IFERROR(
    INDEX('Fairway Log'!$E$2:$V$73,
      MATCH(1,
        ('Fairway Log'!$A$2:$A$73=$A900)*
        ('Fairway Log'!$B$2:$B$73=$B900)*
        ('Fairway Log'!$C$2:$C971=$C900),
      0),
      MATCH($G900,'Fairway Log'!$E$1:$V$1,0)
    ),
  "")
)</f>
        <v>1</v>
      </c>
      <c r="Q900" t="str" cm="1">
        <f t="array" ref="Q900">IFERROR(
  INDEX('GIR Log'!$E$2:$V$73,
    MATCH(1,
      ('GIR Log'!$A$2:$A$73=$A900)*
      ('GIR Log'!$B$2:$B$73=$B900)*
      ('GIR Log'!$C$2:$C$73=$C900),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Log'!$E$2:$V$73,
    MATCH(1,
      ('Golf Log'!$A$2:$A$73=$A901)*
      ('Golf Log'!$B$2:$B$73=$B901)*
      ('Golf Log'!$C$2:$C$73=$C901),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Log'!$E$2:$V$73,
    MATCH(1,
      ('Putt Log'!$A$2:$A$73=$A901)*
      ('Putt Log'!$B$2:$B$73=$B901)*
      ('Putt Log'!$C$2:$C$73=$C901),
    0),
    MATCH($G901,'Putt Log'!$E$1:$V$1,0)
  ),
"")</f>
        <v>2</v>
      </c>
      <c r="P901" t="str" cm="1">
        <f t="array" ref="P901">IF(K901=3,"",
  IFERROR(
    INDEX('Fairway Log'!$E$2:$V$73,
      MATCH(1,
        ('Fairway Log'!$A$2:$A$73=$A901)*
        ('Fairway Log'!$B$2:$B$73=$B901)*
        ('Fairway Log'!$C$2:$C972=$C901),
      0),
      MATCH($G901,'Fairway Log'!$E$1:$V$1,0)
    ),
  "")
)</f>
        <v>←</v>
      </c>
      <c r="Q901" t="str" cm="1">
        <f t="array" ref="Q901">IFERROR(
  INDEX('GIR Log'!$E$2:$V$73,
    MATCH(1,
      ('GIR Log'!$A$2:$A$73=$A901)*
      ('GIR Log'!$B$2:$B$73=$B901)*
      ('GIR Log'!$C$2:$C$73=$C901),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Log'!$E$2:$V$73,
    MATCH(1,
      ('Golf Log'!$A$2:$A$73=$A902)*
      ('Golf Log'!$B$2:$B$73=$B902)*
      ('Golf Log'!$C$2:$C$73=$C902),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Log'!$E$2:$V$73,
    MATCH(1,
      ('Putt Log'!$A$2:$A$73=$A902)*
      ('Putt Log'!$B$2:$B$73=$B902)*
      ('Putt Log'!$C$2:$C$73=$C902),
    0),
    MATCH($G902,'Putt Log'!$E$1:$V$1,0)
  ),
"")</f>
        <v>2</v>
      </c>
      <c r="P902" t="str" cm="1">
        <f t="array" ref="P902">IF(K902=3,"",
  IFERROR(
    INDEX('Fairway Log'!$E$2:$V$73,
      MATCH(1,
        ('Fairway Log'!$A$2:$A$73=$A902)*
        ('Fairway Log'!$B$2:$B$73=$B902)*
        ('Fairway Log'!$C$2:$C973=$C902),
      0),
      MATCH($G902,'Fairway Log'!$E$1:$V$1,0)
    ),
  "")
)</f>
        <v>←</v>
      </c>
      <c r="Q902" cm="1">
        <f t="array" ref="Q902">IFERROR(
  INDEX('GIR Log'!$E$2:$V$73,
    MATCH(1,
      ('GIR Log'!$A$2:$A$73=$A902)*
      ('GIR Log'!$B$2:$B$73=$B902)*
      ('GIR Log'!$C$2:$C$73=$C902),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Log'!$E$2:$V$73,
    MATCH(1,
      ('Golf Log'!$A$2:$A$73=$A903)*
      ('Golf Log'!$B$2:$B$73=$B903)*
      ('Golf Log'!$C$2:$C$73=$C903),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Log'!$E$2:$V$73,
    MATCH(1,
      ('Putt Log'!$A$2:$A$73=$A903)*
      ('Putt Log'!$B$2:$B$73=$B903)*
      ('Putt Log'!$C$2:$C$73=$C903),
    0),
    MATCH($G903,'Putt Log'!$E$1:$V$1,0)
  ),
"")</f>
        <v>2</v>
      </c>
      <c r="P903" cm="1">
        <f t="array" ref="P903">IF(K903=3,"",
  IFERROR(
    INDEX('Fairway Log'!$E$2:$V$73,
      MATCH(1,
        ('Fairway Log'!$A$2:$A$73=$A903)*
        ('Fairway Log'!$B$2:$B$73=$B903)*
        ('Fairway Log'!$C$2:$C974=$C903),
      0),
      MATCH($G903,'Fairway Log'!$E$1:$V$1,0)
    ),
  "")
)</f>
        <v>1</v>
      </c>
      <c r="Q903" cm="1">
        <f t="array" ref="Q903">IFERROR(
  INDEX('GIR Log'!$E$2:$V$73,
    MATCH(1,
      ('GIR Log'!$A$2:$A$73=$A903)*
      ('GIR Log'!$B$2:$B$73=$B903)*
      ('GIR Log'!$C$2:$C$73=$C903),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Log'!$E$2:$V$73,
    MATCH(1,
      ('Golf Log'!$A$2:$A$73=$A904)*
      ('Golf Log'!$B$2:$B$73=$B904)*
      ('Golf Log'!$C$2:$C$73=$C904),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Log'!$E$2:$V$73,
    MATCH(1,
      ('Putt Log'!$A$2:$A$73=$A904)*
      ('Putt Log'!$B$2:$B$73=$B904)*
      ('Putt Log'!$C$2:$C$73=$C904),
    0),
    MATCH($G904,'Putt Log'!$E$1:$V$1,0)
  ),
"")</f>
        <v>2</v>
      </c>
      <c r="P904" t="str" cm="1">
        <f t="array" ref="P904">IF(K904=3,"",
  IFERROR(
    INDEX('Fairway Log'!$E$2:$V$73,
      MATCH(1,
        ('Fairway Log'!$A$2:$A$73=$A904)*
        ('Fairway Log'!$B$2:$B$73=$B904)*
        ('Fairway Log'!$C$2:$C975=$C904),
      0),
      MATCH($G904,'Fairway Log'!$E$1:$V$1,0)
    ),
  "")
)</f>
        <v/>
      </c>
      <c r="Q904" cm="1">
        <f t="array" ref="Q904">IFERROR(
  INDEX('GIR Log'!$E$2:$V$73,
    MATCH(1,
      ('GIR Log'!$A$2:$A$73=$A904)*
      ('GIR Log'!$B$2:$B$73=$B904)*
      ('GIR Log'!$C$2:$C$73=$C904),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Log'!$E$2:$V$73,
    MATCH(1,
      ('Golf Log'!$A$2:$A$73=$A905)*
      ('Golf Log'!$B$2:$B$73=$B905)*
      ('Golf Log'!$C$2:$C$73=$C905),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Log'!$E$2:$V$73,
    MATCH(1,
      ('Putt Log'!$A$2:$A$73=$A905)*
      ('Putt Log'!$B$2:$B$73=$B905)*
      ('Putt Log'!$C$2:$C$73=$C905),
    0),
    MATCH($G905,'Putt Log'!$E$1:$V$1,0)
  ),
"")</f>
        <v>2</v>
      </c>
      <c r="P905" cm="1">
        <f t="array" ref="P905">IF(K905=3,"",
  IFERROR(
    INDEX('Fairway Log'!$E$2:$V$73,
      MATCH(1,
        ('Fairway Log'!$A$2:$A$73=$A905)*
        ('Fairway Log'!$B$2:$B$73=$B905)*
        ('Fairway Log'!$C$2:$C976=$C905),
      0),
      MATCH($G905,'Fairway Log'!$E$1:$V$1,0)
    ),
  "")
)</f>
        <v>1</v>
      </c>
      <c r="Q905" cm="1">
        <f t="array" ref="Q905">IFERROR(
  INDEX('GIR Log'!$E$2:$V$73,
    MATCH(1,
      ('GIR Log'!$A$2:$A$73=$A905)*
      ('GIR Log'!$B$2:$B$73=$B905)*
      ('GIR Log'!$C$2:$C$73=$C905),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Log'!$E$2:$V$73,
    MATCH(1,
      ('Golf Log'!$A$2:$A$73=$A906)*
      ('Golf Log'!$B$2:$B$73=$B906)*
      ('Golf Log'!$C$2:$C$73=$C906),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Log'!$E$2:$V$73,
    MATCH(1,
      ('Putt Log'!$A$2:$A$73=$A906)*
      ('Putt Log'!$B$2:$B$73=$B906)*
      ('Putt Log'!$C$2:$C$73=$C906),
    0),
    MATCH($G906,'Putt Log'!$E$1:$V$1,0)
  ),
"")</f>
        <v>1</v>
      </c>
      <c r="P906" cm="1">
        <f t="array" ref="P906">IF(K906=3,"",
  IFERROR(
    INDEX('Fairway Log'!$E$2:$V$73,
      MATCH(1,
        ('Fairway Log'!$A$2:$A$73=$A906)*
        ('Fairway Log'!$B$2:$B$73=$B906)*
        ('Fairway Log'!$C$2:$C977=$C906),
      0),
      MATCH($G906,'Fairway Log'!$E$1:$V$1,0)
    ),
  "")
)</f>
        <v>1</v>
      </c>
      <c r="Q906" cm="1">
        <f t="array" ref="Q906">IFERROR(
  INDEX('GIR Log'!$E$2:$V$73,
    MATCH(1,
      ('GIR Log'!$A$2:$A$73=$A906)*
      ('GIR Log'!$B$2:$B$73=$B906)*
      ('GIR Log'!$C$2:$C$73=$C906),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Log'!$E$2:$V$73,
    MATCH(1,
      ('Golf Log'!$A$2:$A$73=$A907)*
      ('Golf Log'!$B$2:$B$73=$B907)*
      ('Golf Log'!$C$2:$C$73=$C907),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Log'!$E$2:$V$73,
    MATCH(1,
      ('Putt Log'!$A$2:$A$73=$A907)*
      ('Putt Log'!$B$2:$B$73=$B907)*
      ('Putt Log'!$C$2:$C$73=$C907),
    0),
    MATCH($G907,'Putt Log'!$E$1:$V$1,0)
  ),
"")</f>
        <v>2</v>
      </c>
      <c r="P907" t="str" cm="1">
        <f t="array" ref="P907">IF(K907=3,"",
  IFERROR(
    INDEX('Fairway Log'!$E$2:$V$73,
      MATCH(1,
        ('Fairway Log'!$A$2:$A$73=$A907)*
        ('Fairway Log'!$B$2:$B$73=$B907)*
        ('Fairway Log'!$C$2:$C978=$C907),
      0),
      MATCH($G907,'Fairway Log'!$E$1:$V$1,0)
    ),
  "")
)</f>
        <v/>
      </c>
      <c r="Q907" cm="1">
        <f t="array" ref="Q907">IFERROR(
  INDEX('GIR Log'!$E$2:$V$73,
    MATCH(1,
      ('GIR Log'!$A$2:$A$73=$A907)*
      ('GIR Log'!$B$2:$B$73=$B907)*
      ('GIR Log'!$C$2:$C$73=$C907),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Log'!$E$2:$V$73,
    MATCH(1,
      ('Golf Log'!$A$2:$A$73=$A908)*
      ('Golf Log'!$B$2:$B$73=$B908)*
      ('Golf Log'!$C$2:$C$73=$C908),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Log'!$E$2:$V$73,
    MATCH(1,
      ('Putt Log'!$A$2:$A$73=$A908)*
      ('Putt Log'!$B$2:$B$73=$B908)*
      ('Putt Log'!$C$2:$C$73=$C908),
    0),
    MATCH($G908,'Putt Log'!$E$1:$V$1,0)
  ),
"")</f>
        <v>2</v>
      </c>
      <c r="P908" t="str" cm="1">
        <f t="array" ref="P908">IF(K908=3,"",
  IFERROR(
    INDEX('Fairway Log'!$E$2:$V$73,
      MATCH(1,
        ('Fairway Log'!$A$2:$A$73=$A908)*
        ('Fairway Log'!$B$2:$B$73=$B908)*
        ('Fairway Log'!$C$2:$C979=$C908),
      0),
      MATCH($G908,'Fairway Log'!$E$1:$V$1,0)
    ),
  "")
)</f>
        <v>→</v>
      </c>
      <c r="Q908" cm="1">
        <f t="array" ref="Q908">IFERROR(
  INDEX('GIR Log'!$E$2:$V$73,
    MATCH(1,
      ('GIR Log'!$A$2:$A$73=$A908)*
      ('GIR Log'!$B$2:$B$73=$B908)*
      ('GIR Log'!$C$2:$C$73=$C908),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Log'!$E$2:$V$73,
    MATCH(1,
      ('Golf Log'!$A$2:$A$73=$A909)*
      ('Golf Log'!$B$2:$B$73=$B909)*
      ('Golf Log'!$C$2:$C$73=$C909),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Log'!$E$2:$V$73,
    MATCH(1,
      ('Putt Log'!$A$2:$A$73=$A909)*
      ('Putt Log'!$B$2:$B$73=$B909)*
      ('Putt Log'!$C$2:$C$73=$C909),
    0),
    MATCH($G909,'Putt Log'!$E$1:$V$1,0)
  ),
"")</f>
        <v>3</v>
      </c>
      <c r="P909" cm="1">
        <f t="array" ref="P909">IF(K909=3,"",
  IFERROR(
    INDEX('Fairway Log'!$E$2:$V$73,
      MATCH(1,
        ('Fairway Log'!$A$2:$A$73=$A909)*
        ('Fairway Log'!$B$2:$B$73=$B909)*
        ('Fairway Log'!$C$2:$C980=$C909),
      0),
      MATCH($G909,'Fairway Log'!$E$1:$V$1,0)
    ),
  "")
)</f>
        <v>1</v>
      </c>
      <c r="Q909" cm="1">
        <f t="array" ref="Q909">IFERROR(
  INDEX('GIR Log'!$E$2:$V$73,
    MATCH(1,
      ('GIR Log'!$A$2:$A$73=$A909)*
      ('GIR Log'!$B$2:$B$73=$B909)*
      ('GIR Log'!$C$2:$C$73=$C909),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Log'!$E$2:$V$73,
    MATCH(1,
      ('Golf Log'!$A$2:$A$73=$A910)*
      ('Golf Log'!$B$2:$B$73=$B910)*
      ('Golf Log'!$C$2:$C$73=$C910),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Log'!$E$2:$V$73,
    MATCH(1,
      ('Putt Log'!$A$2:$A$73=$A910)*
      ('Putt Log'!$B$2:$B$73=$B910)*
      ('Putt Log'!$C$2:$C$73=$C910),
    0),
    MATCH($G910,'Putt Log'!$E$1:$V$1,0)
  ),
"")</f>
        <v>2</v>
      </c>
      <c r="P910" cm="1">
        <f t="array" ref="P910">IF(K910=3,"",
  IFERROR(
    INDEX('Fairway Log'!$E$2:$V$73,
      MATCH(1,
        ('Fairway Log'!$A$2:$A$73=$A910)*
        ('Fairway Log'!$B$2:$B$73=$B910)*
        ('Fairway Log'!$C$2:$C981=$C910),
      0),
      MATCH($G910,'Fairway Log'!$E$1:$V$1,0)
    ),
  "")
)</f>
        <v>1</v>
      </c>
      <c r="Q910" cm="1">
        <f t="array" ref="Q910">IFERROR(
  INDEX('GIR Log'!$E$2:$V$73,
    MATCH(1,
      ('GIR Log'!$A$2:$A$73=$A910)*
      ('GIR Log'!$B$2:$B$73=$B910)*
      ('GIR Log'!$C$2:$C$73=$C910),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Log'!$E$2:$V$73,
    MATCH(1,
      ('Golf Log'!$A$2:$A$73=$A911)*
      ('Golf Log'!$B$2:$B$73=$B911)*
      ('Golf Log'!$C$2:$C$73=$C911),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Log'!$E$2:$V$73,
    MATCH(1,
      ('Putt Log'!$A$2:$A$73=$A911)*
      ('Putt Log'!$B$2:$B$73=$B911)*
      ('Putt Log'!$C$2:$C$73=$C911),
    0),
    MATCH($G911,'Putt Log'!$E$1:$V$1,0)
  ),
"")</f>
        <v>3</v>
      </c>
      <c r="P911" t="str" cm="1">
        <f t="array" ref="P911">IF(K911=3,"",
  IFERROR(
    INDEX('Fairway Log'!$E$2:$V$73,
      MATCH(1,
        ('Fairway Log'!$A$2:$A$73=$A911)*
        ('Fairway Log'!$B$2:$B$73=$B911)*
        ('Fairway Log'!$C$2:$C982=$C911),
      0),
      MATCH($G911,'Fairway Log'!$E$1:$V$1,0)
    ),
  "")
)</f>
        <v>←</v>
      </c>
      <c r="Q911" cm="1">
        <f t="array" ref="Q911">IFERROR(
  INDEX('GIR Log'!$E$2:$V$73,
    MATCH(1,
      ('GIR Log'!$A$2:$A$73=$A911)*
      ('GIR Log'!$B$2:$B$73=$B911)*
      ('GIR Log'!$C$2:$C$73=$C911),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Log'!$E$2:$V$73,
    MATCH(1,
      ('Golf Log'!$A$2:$A$73=$A912)*
      ('Golf Log'!$B$2:$B$73=$B912)*
      ('Golf Log'!$C$2:$C$73=$C912),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Log'!$E$2:$V$73,
    MATCH(1,
      ('Putt Log'!$A$2:$A$73=$A912)*
      ('Putt Log'!$B$2:$B$73=$B912)*
      ('Putt Log'!$C$2:$C$73=$C912),
    0),
    MATCH($G912,'Putt Log'!$E$1:$V$1,0)
  ),
"")</f>
        <v>2</v>
      </c>
      <c r="P912" cm="1">
        <f t="array" ref="P912">IF(K912=3,"",
  IFERROR(
    INDEX('Fairway Log'!$E$2:$V$73,
      MATCH(1,
        ('Fairway Log'!$A$2:$A$73=$A912)*
        ('Fairway Log'!$B$2:$B$73=$B912)*
        ('Fairway Log'!$C$2:$C983=$C912),
      0),
      MATCH($G912,'Fairway Log'!$E$1:$V$1,0)
    ),
  "")
)</f>
        <v>1</v>
      </c>
      <c r="Q912" cm="1">
        <f t="array" ref="Q912">IFERROR(
  INDEX('GIR Log'!$E$2:$V$73,
    MATCH(1,
      ('GIR Log'!$A$2:$A$73=$A912)*
      ('GIR Log'!$B$2:$B$73=$B912)*
      ('GIR Log'!$C$2:$C$73=$C912),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Log'!$E$2:$V$73,
    MATCH(1,
      ('Golf Log'!$A$2:$A$73=$A913)*
      ('Golf Log'!$B$2:$B$73=$B913)*
      ('Golf Log'!$C$2:$C$73=$C913),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Log'!$E$2:$V$73,
    MATCH(1,
      ('Putt Log'!$A$2:$A$73=$A913)*
      ('Putt Log'!$B$2:$B$73=$B913)*
      ('Putt Log'!$C$2:$C$73=$C913),
    0),
    MATCH($G913,'Putt Log'!$E$1:$V$1,0)
  ),
"")</f>
        <v>2</v>
      </c>
      <c r="P913" t="str" cm="1">
        <f t="array" ref="P913">IF(K913=3,"",
  IFERROR(
    INDEX('Fairway Log'!$E$2:$V$73,
      MATCH(1,
        ('Fairway Log'!$A$2:$A$73=$A913)*
        ('Fairway Log'!$B$2:$B$73=$B913)*
        ('Fairway Log'!$C$2:$C984=$C913),
      0),
      MATCH($G913,'Fairway Log'!$E$1:$V$1,0)
    ),
  "")
)</f>
        <v>→</v>
      </c>
      <c r="Q913" cm="1">
        <f t="array" ref="Q913">IFERROR(
  INDEX('GIR Log'!$E$2:$V$73,
    MATCH(1,
      ('GIR Log'!$A$2:$A$73=$A913)*
      ('GIR Log'!$B$2:$B$73=$B913)*
      ('GIR Log'!$C$2:$C$73=$C913),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Log'!$E$2:$V$73,
    MATCH(1,
      ('Golf Log'!$A$2:$A$73=$A914)*
      ('Golf Log'!$B$2:$B$73=$B914)*
      ('Golf Log'!$C$2:$C$73=$C914),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Log'!$E$2:$V$73,
    MATCH(1,
      ('Putt Log'!$A$2:$A$73=$A914)*
      ('Putt Log'!$B$2:$B$73=$B914)*
      ('Putt Log'!$C$2:$C$73=$C914),
    0),
    MATCH($G914,'Putt Log'!$E$1:$V$1,0)
  ),
"")</f>
        <v>2</v>
      </c>
      <c r="P914" t="str" cm="1">
        <f t="array" ref="P914">IF(K914=3,"",
  IFERROR(
    INDEX('Fairway Log'!$E$2:$V$73,
      MATCH(1,
        ('Fairway Log'!$A$2:$A$73=$A914)*
        ('Fairway Log'!$B$2:$B$73=$B914)*
        ('Fairway Log'!$C$2:$C985=$C914),
      0),
      MATCH($G914,'Fairway Log'!$E$1:$V$1,0)
    ),
  "")
)</f>
        <v/>
      </c>
      <c r="Q914" cm="1">
        <f t="array" ref="Q914">IFERROR(
  INDEX('GIR Log'!$E$2:$V$73,
    MATCH(1,
      ('GIR Log'!$A$2:$A$73=$A914)*
      ('GIR Log'!$B$2:$B$73=$B914)*
      ('GIR Log'!$C$2:$C$73=$C914),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Log'!$E$2:$V$73,
    MATCH(1,
      ('Golf Log'!$A$2:$A$73=$A915)*
      ('Golf Log'!$B$2:$B$73=$B915)*
      ('Golf Log'!$C$2:$C$73=$C915),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Log'!$E$2:$V$73,
    MATCH(1,
      ('Putt Log'!$A$2:$A$73=$A915)*
      ('Putt Log'!$B$2:$B$73=$B915)*
      ('Putt Log'!$C$2:$C$73=$C915),
    0),
    MATCH($G915,'Putt Log'!$E$1:$V$1,0)
  ),
"")</f>
        <v>2</v>
      </c>
      <c r="P915" t="str" cm="1">
        <f t="array" ref="P915">IF(K915=3,"",
  IFERROR(
    INDEX('Fairway Log'!$E$2:$V$73,
      MATCH(1,
        ('Fairway Log'!$A$2:$A$73=$A915)*
        ('Fairway Log'!$B$2:$B$73=$B915)*
        ('Fairway Log'!$C$2:$C986=$C915),
      0),
      MATCH($G915,'Fairway Log'!$E$1:$V$1,0)
    ),
  "")
)</f>
        <v>↓</v>
      </c>
      <c r="Q915" cm="1">
        <f t="array" ref="Q915">IFERROR(
  INDEX('GIR Log'!$E$2:$V$73,
    MATCH(1,
      ('GIR Log'!$A$2:$A$73=$A915)*
      ('GIR Log'!$B$2:$B$73=$B915)*
      ('GIR Log'!$C$2:$C$73=$C915),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Log'!$E$2:$V$73,
    MATCH(1,
      ('Golf Log'!$A$2:$A$73=$A916)*
      ('Golf Log'!$B$2:$B$73=$B916)*
      ('Golf Log'!$C$2:$C$73=$C916),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Log'!$E$2:$V$73,
    MATCH(1,
      ('Putt Log'!$A$2:$A$73=$A916)*
      ('Putt Log'!$B$2:$B$73=$B916)*
      ('Putt Log'!$C$2:$C$73=$C916),
    0),
    MATCH($G916,'Putt Log'!$E$1:$V$1,0)
  ),
"")</f>
        <v>3</v>
      </c>
      <c r="P916" t="str" cm="1">
        <f t="array" ref="P916">IF(K916=3,"",
  IFERROR(
    INDEX('Fairway Log'!$E$2:$V$73,
      MATCH(1,
        ('Fairway Log'!$A$2:$A$73=$A916)*
        ('Fairway Log'!$B$2:$B$73=$B916)*
        ('Fairway Log'!$C$2:$C987=$C916),
      0),
      MATCH($G916,'Fairway Log'!$E$1:$V$1,0)
    ),
  "")
)</f>
        <v>↓</v>
      </c>
      <c r="Q916" cm="1">
        <f t="array" ref="Q916">IFERROR(
  INDEX('GIR Log'!$E$2:$V$73,
    MATCH(1,
      ('GIR Log'!$A$2:$A$73=$A916)*
      ('GIR Log'!$B$2:$B$73=$B916)*
      ('GIR Log'!$C$2:$C$73=$C916),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Log'!$E$2:$V$73,
    MATCH(1,
      ('Golf Log'!$A$2:$A$73=$A917)*
      ('Golf Log'!$B$2:$B$73=$B917)*
      ('Golf Log'!$C$2:$C$73=$C917),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Log'!$E$2:$V$73,
    MATCH(1,
      ('Putt Log'!$A$2:$A$73=$A917)*
      ('Putt Log'!$B$2:$B$73=$B917)*
      ('Putt Log'!$C$2:$C$73=$C917),
    0),
    MATCH($G917,'Putt Log'!$E$1:$V$1,0)
  ),
"")</f>
        <v>2</v>
      </c>
      <c r="P917" t="str" cm="1">
        <f t="array" ref="P917">IF(K917=3,"",
  IFERROR(
    INDEX('Fairway Log'!$E$2:$V$73,
      MATCH(1,
        ('Fairway Log'!$A$2:$A$73=$A917)*
        ('Fairway Log'!$B$2:$B$73=$B917)*
        ('Fairway Log'!$C$2:$C988=$C917),
      0),
      MATCH($G917,'Fairway Log'!$E$1:$V$1,0)
    ),
  "")
)</f>
        <v/>
      </c>
      <c r="Q917" cm="1">
        <f t="array" ref="Q917">IFERROR(
  INDEX('GIR Log'!$E$2:$V$73,
    MATCH(1,
      ('GIR Log'!$A$2:$A$73=$A917)*
      ('GIR Log'!$B$2:$B$73=$B917)*
      ('GIR Log'!$C$2:$C$73=$C917),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Log'!$E$2:$V$73,
    MATCH(1,
      ('Golf Log'!$A$2:$A$73=$A918)*
      ('Golf Log'!$B$2:$B$73=$B918)*
      ('Golf Log'!$C$2:$C$73=$C918),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Log'!$E$2:$V$73,
    MATCH(1,
      ('Putt Log'!$A$2:$A$73=$A918)*
      ('Putt Log'!$B$2:$B$73=$B918)*
      ('Putt Log'!$C$2:$C$73=$C918),
    0),
    MATCH($G918,'Putt Log'!$E$1:$V$1,0)
  ),
"")</f>
        <v>2</v>
      </c>
      <c r="P918" cm="1">
        <f t="array" ref="P918">IF(K918=3,"",
  IFERROR(
    INDEX('Fairway Log'!$E$2:$V$73,
      MATCH(1,
        ('Fairway Log'!$A$2:$A$73=$A918)*
        ('Fairway Log'!$B$2:$B$73=$B918)*
        ('Fairway Log'!$C$2:$C989=$C918),
      0),
      MATCH($G918,'Fairway Log'!$E$1:$V$1,0)
    ),
  "")
)</f>
        <v>1</v>
      </c>
      <c r="Q918" cm="1">
        <f t="array" ref="Q918">IFERROR(
  INDEX('GIR Log'!$E$2:$V$73,
    MATCH(1,
      ('GIR Log'!$A$2:$A$73=$A918)*
      ('GIR Log'!$B$2:$B$73=$B918)*
      ('GIR Log'!$C$2:$C$73=$C918),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Log'!$E$2:$V$73,
    MATCH(1,
      ('Golf Log'!$A$2:$A$73=$A919)*
      ('Golf Log'!$B$2:$B$73=$B919)*
      ('Golf Log'!$C$2:$C$73=$C919),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Log'!$E$2:$V$73,
    MATCH(1,
      ('Putt Log'!$A$2:$A$73=$A919)*
      ('Putt Log'!$B$2:$B$73=$B919)*
      ('Putt Log'!$C$2:$C$73=$C919),
    0),
    MATCH($G919,'Putt Log'!$E$1:$V$1,0)
  ),
"")</f>
        <v>2</v>
      </c>
      <c r="P919" cm="1">
        <f t="array" ref="P919">IF(K919=3,"",
  IFERROR(
    INDEX('Fairway Log'!$E$2:$V$73,
      MATCH(1,
        ('Fairway Log'!$A$2:$A$73=$A919)*
        ('Fairway Log'!$B$2:$B$73=$B919)*
        ('Fairway Log'!$C$2:$C990=$C919),
      0),
      MATCH($G919,'Fairway Log'!$E$1:$V$1,0)
    ),
  "")
)</f>
        <v>1</v>
      </c>
      <c r="Q919" cm="1">
        <f t="array" ref="Q919">IFERROR(
  INDEX('GIR Log'!$E$2:$V$73,
    MATCH(1,
      ('GIR Log'!$A$2:$A$73=$A919)*
      ('GIR Log'!$B$2:$B$73=$B919)*
      ('GIR Log'!$C$2:$C$73=$C919),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Log'!$E$2:$V$73,
    MATCH(1,
      ('Golf Log'!$A$2:$A$73=$A920)*
      ('Golf Log'!$B$2:$B$73=$B920)*
      ('Golf Log'!$C$2:$C$73=$C920),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Log'!$E$2:$V$73,
    MATCH(1,
      ('Putt Log'!$A$2:$A$73=$A920)*
      ('Putt Log'!$B$2:$B$73=$B920)*
      ('Putt Log'!$C$2:$C$73=$C920),
    0),
    MATCH($G920,'Putt Log'!$E$1:$V$1,0)
  ),
"")</f>
        <v>3</v>
      </c>
      <c r="P920" t="str" cm="1">
        <f t="array" ref="P920">IF(K920=3,"",
  IFERROR(
    INDEX('Fairway Log'!$E$2:$V$73,
      MATCH(1,
        ('Fairway Log'!$A$2:$A$73=$A920)*
        ('Fairway Log'!$B$2:$B$73=$B920)*
        ('Fairway Log'!$C$2:$C991=$C920),
      0),
      MATCH($G920,'Fairway Log'!$E$1:$V$1,0)
    ),
  "")
)</f>
        <v>←</v>
      </c>
      <c r="Q920" t="str" cm="1">
        <f t="array" ref="Q920">IFERROR(
  INDEX('GIR Log'!$E$2:$V$73,
    MATCH(1,
      ('GIR Log'!$A$2:$A$73=$A920)*
      ('GIR Log'!$B$2:$B$73=$B920)*
      ('GIR Log'!$C$2:$C$73=$C920),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Log'!$E$2:$V$73,
    MATCH(1,
      ('Golf Log'!$A$2:$A$73=$A921)*
      ('Golf Log'!$B$2:$B$73=$B921)*
      ('Golf Log'!$C$2:$C$73=$C921),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Log'!$E$2:$V$73,
    MATCH(1,
      ('Putt Log'!$A$2:$A$73=$A921)*
      ('Putt Log'!$B$2:$B$73=$B921)*
      ('Putt Log'!$C$2:$C$73=$C921),
    0),
    MATCH($G921,'Putt Log'!$E$1:$V$1,0)
  ),
"")</f>
        <v>3</v>
      </c>
      <c r="P921" t="str" cm="1">
        <f t="array" ref="P921">IF(K921=3,"",
  IFERROR(
    INDEX('Fairway Log'!$E$2:$V$73,
      MATCH(1,
        ('Fairway Log'!$A$2:$A$73=$A921)*
        ('Fairway Log'!$B$2:$B$73=$B921)*
        ('Fairway Log'!$C$2:$C992=$C921),
      0),
      MATCH($G921,'Fairway Log'!$E$1:$V$1,0)
    ),
  "")
)</f>
        <v>↓</v>
      </c>
      <c r="Q921" t="str" cm="1">
        <f t="array" ref="Q921">IFERROR(
  INDEX('GIR Log'!$E$2:$V$73,
    MATCH(1,
      ('GIR Log'!$A$2:$A$73=$A921)*
      ('GIR Log'!$B$2:$B$73=$B921)*
      ('GIR Log'!$C$2:$C$73=$C921),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Log'!$E$2:$V$73,
    MATCH(1,
      ('Golf Log'!$A$2:$A$73=$A922)*
      ('Golf Log'!$B$2:$B$73=$B922)*
      ('Golf Log'!$C$2:$C$73=$C922),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Log'!$E$2:$V$73,
    MATCH(1,
      ('Putt Log'!$A$2:$A$73=$A922)*
      ('Putt Log'!$B$2:$B$73=$B922)*
      ('Putt Log'!$C$2:$C$73=$C922),
    0),
    MATCH($G922,'Putt Log'!$E$1:$V$1,0)
  ),
"")</f>
        <v>2</v>
      </c>
      <c r="P922" t="str" cm="1">
        <f t="array" ref="P922">IF(K922=3,"",
  IFERROR(
    INDEX('Fairway Log'!$E$2:$V$73,
      MATCH(1,
        ('Fairway Log'!$A$2:$A$73=$A922)*
        ('Fairway Log'!$B$2:$B$73=$B922)*
        ('Fairway Log'!$C$2:$C993=$C922),
      0),
      MATCH($G922,'Fairway Log'!$E$1:$V$1,0)
    ),
  "")
)</f>
        <v/>
      </c>
      <c r="Q922" t="str" cm="1">
        <f t="array" ref="Q922">IFERROR(
  INDEX('GIR Log'!$E$2:$V$73,
    MATCH(1,
      ('GIR Log'!$A$2:$A$73=$A922)*
      ('GIR Log'!$B$2:$B$73=$B922)*
      ('GIR Log'!$C$2:$C$73=$C922),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Log'!$E$2:$V$73,
    MATCH(1,
      ('Golf Log'!$A$2:$A$73=$A923)*
      ('Golf Log'!$B$2:$B$73=$B923)*
      ('Golf Log'!$C$2:$C$73=$C923),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Log'!$E$2:$V$73,
    MATCH(1,
      ('Putt Log'!$A$2:$A$73=$A923)*
      ('Putt Log'!$B$2:$B$73=$B923)*
      ('Putt Log'!$C$2:$C$73=$C923),
    0),
    MATCH($G923,'Putt Log'!$E$1:$V$1,0)
  ),
"")</f>
        <v>3</v>
      </c>
      <c r="P923" cm="1">
        <f t="array" ref="P923">IF(K923=3,"",
  IFERROR(
    INDEX('Fairway Log'!$E$2:$V$73,
      MATCH(1,
        ('Fairway Log'!$A$2:$A$73=$A923)*
        ('Fairway Log'!$B$2:$B$73=$B923)*
        ('Fairway Log'!$C$2:$C994=$C923),
      0),
      MATCH($G923,'Fairway Log'!$E$1:$V$1,0)
    ),
  "")
)</f>
        <v>1</v>
      </c>
      <c r="Q923" cm="1">
        <f t="array" ref="Q923">IFERROR(
  INDEX('GIR Log'!$E$2:$V$73,
    MATCH(1,
      ('GIR Log'!$A$2:$A$73=$A923)*
      ('GIR Log'!$B$2:$B$73=$B923)*
      ('GIR Log'!$C$2:$C$73=$C923),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Log'!$E$2:$V$73,
    MATCH(1,
      ('Golf Log'!$A$2:$A$73=$A924)*
      ('Golf Log'!$B$2:$B$73=$B924)*
      ('Golf Log'!$C$2:$C$73=$C924),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Log'!$E$2:$V$73,
    MATCH(1,
      ('Putt Log'!$A$2:$A$73=$A924)*
      ('Putt Log'!$B$2:$B$73=$B924)*
      ('Putt Log'!$C$2:$C$73=$C924),
    0),
    MATCH($G924,'Putt Log'!$E$1:$V$1,0)
  ),
"")</f>
        <v>2</v>
      </c>
      <c r="P924" t="str" cm="1">
        <f t="array" ref="P924">IF(K924=3,"",
  IFERROR(
    INDEX('Fairway Log'!$E$2:$V$73,
      MATCH(1,
        ('Fairway Log'!$A$2:$A$73=$A924)*
        ('Fairway Log'!$B$2:$B$73=$B924)*
        ('Fairway Log'!$C$2:$C995=$C924),
      0),
      MATCH($G924,'Fairway Log'!$E$1:$V$1,0)
    ),
  "")
)</f>
        <v>↓</v>
      </c>
      <c r="Q924" t="str" cm="1">
        <f t="array" ref="Q924">IFERROR(
  INDEX('GIR Log'!$E$2:$V$73,
    MATCH(1,
      ('GIR Log'!$A$2:$A$73=$A924)*
      ('GIR Log'!$B$2:$B$73=$B924)*
      ('GIR Log'!$C$2:$C$73=$C924),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Log'!$E$2:$V$73,
    MATCH(1,
      ('Golf Log'!$A$2:$A$73=$A925)*
      ('Golf Log'!$B$2:$B$73=$B925)*
      ('Golf Log'!$C$2:$C$73=$C925),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Log'!$E$2:$V$73,
    MATCH(1,
      ('Putt Log'!$A$2:$A$73=$A925)*
      ('Putt Log'!$B$2:$B$73=$B925)*
      ('Putt Log'!$C$2:$C$73=$C925),
    0),
    MATCH($G925,'Putt Log'!$E$1:$V$1,0)
  ),
"")</f>
        <v>2</v>
      </c>
      <c r="P925" t="str" cm="1">
        <f t="array" ref="P925">IF(K925=3,"",
  IFERROR(
    INDEX('Fairway Log'!$E$2:$V$73,
      MATCH(1,
        ('Fairway Log'!$A$2:$A$73=$A925)*
        ('Fairway Log'!$B$2:$B$73=$B925)*
        ('Fairway Log'!$C$2:$C996=$C925),
      0),
      MATCH($G925,'Fairway Log'!$E$1:$V$1,0)
    ),
  "")
)</f>
        <v/>
      </c>
      <c r="Q925" cm="1">
        <f t="array" ref="Q925">IFERROR(
  INDEX('GIR Log'!$E$2:$V$73,
    MATCH(1,
      ('GIR Log'!$A$2:$A$73=$A925)*
      ('GIR Log'!$B$2:$B$73=$B925)*
      ('GIR Log'!$C$2:$C$73=$C925),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Log'!$E$2:$V$73,
    MATCH(1,
      ('Golf Log'!$A$2:$A$73=$A926)*
      ('Golf Log'!$B$2:$B$73=$B926)*
      ('Golf Log'!$C$2:$C$73=$C926),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Log'!$E$2:$V$73,
    MATCH(1,
      ('Putt Log'!$A$2:$A$73=$A926)*
      ('Putt Log'!$B$2:$B$73=$B926)*
      ('Putt Log'!$C$2:$C$73=$C926),
    0),
    MATCH($G926,'Putt Log'!$E$1:$V$1,0)
  ),
"")</f>
        <v>2</v>
      </c>
      <c r="P926" cm="1">
        <f t="array" ref="P926">IF(K926=3,"",
  IFERROR(
    INDEX('Fairway Log'!$E$2:$V$73,
      MATCH(1,
        ('Fairway Log'!$A$2:$A$73=$A926)*
        ('Fairway Log'!$B$2:$B$73=$B926)*
        ('Fairway Log'!$C$2:$C997=$C926),
      0),
      MATCH($G926,'Fairway Log'!$E$1:$V$1,0)
    ),
  "")
)</f>
        <v>1</v>
      </c>
      <c r="Q926" cm="1">
        <f t="array" ref="Q926">IFERROR(
  INDEX('GIR Log'!$E$2:$V$73,
    MATCH(1,
      ('GIR Log'!$A$2:$A$73=$A926)*
      ('GIR Log'!$B$2:$B$73=$B926)*
      ('GIR Log'!$C$2:$C$73=$C926),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Log'!$E$2:$V$73,
    MATCH(1,
      ('Golf Log'!$A$2:$A$73=$A927)*
      ('Golf Log'!$B$2:$B$73=$B927)*
      ('Golf Log'!$C$2:$C$73=$C927),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Log'!$E$2:$V$73,
    MATCH(1,
      ('Putt Log'!$A$2:$A$73=$A927)*
      ('Putt Log'!$B$2:$B$73=$B927)*
      ('Putt Log'!$C$2:$C$73=$C927),
    0),
    MATCH($G927,'Putt Log'!$E$1:$V$1,0)
  ),
"")</f>
        <v>2</v>
      </c>
      <c r="P927" cm="1">
        <f t="array" ref="P927">IF(K927=3,"",
  IFERROR(
    INDEX('Fairway Log'!$E$2:$V$73,
      MATCH(1,
        ('Fairway Log'!$A$2:$A$73=$A927)*
        ('Fairway Log'!$B$2:$B$73=$B927)*
        ('Fairway Log'!$C$2:$C998=$C927),
      0),
      MATCH($G927,'Fairway Log'!$E$1:$V$1,0)
    ),
  "")
)</f>
        <v>1</v>
      </c>
      <c r="Q927" cm="1">
        <f t="array" ref="Q927">IFERROR(
  INDEX('GIR Log'!$E$2:$V$73,
    MATCH(1,
      ('GIR Log'!$A$2:$A$73=$A927)*
      ('GIR Log'!$B$2:$B$73=$B927)*
      ('GIR Log'!$C$2:$C$73=$C927),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Log'!$E$2:$V$73,
    MATCH(1,
      ('Golf Log'!$A$2:$A$73=$A928)*
      ('Golf Log'!$B$2:$B$73=$B928)*
      ('Golf Log'!$C$2:$C$73=$C928),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Log'!$E$2:$V$73,
    MATCH(1,
      ('Putt Log'!$A$2:$A$73=$A928)*
      ('Putt Log'!$B$2:$B$73=$B928)*
      ('Putt Log'!$C$2:$C$73=$C928),
    0),
    MATCH($G928,'Putt Log'!$E$1:$V$1,0)
  ),
"")</f>
        <v>2</v>
      </c>
      <c r="P928" t="str" cm="1">
        <f t="array" ref="P928">IF(K928=3,"",
  IFERROR(
    INDEX('Fairway Log'!$E$2:$V$73,
      MATCH(1,
        ('Fairway Log'!$A$2:$A$73=$A928)*
        ('Fairway Log'!$B$2:$B$73=$B928)*
        ('Fairway Log'!$C$2:$C999=$C928),
      0),
      MATCH($G928,'Fairway Log'!$E$1:$V$1,0)
    ),
  "")
)</f>
        <v>←</v>
      </c>
      <c r="Q928" t="str" cm="1">
        <f t="array" ref="Q928">IFERROR(
  INDEX('GIR Log'!$E$2:$V$73,
    MATCH(1,
      ('GIR Log'!$A$2:$A$73=$A928)*
      ('GIR Log'!$B$2:$B$73=$B928)*
      ('GIR Log'!$C$2:$C$73=$C928),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Log'!$E$2:$V$73,
    MATCH(1,
      ('Golf Log'!$A$2:$A$73=$A929)*
      ('Golf Log'!$B$2:$B$73=$B929)*
      ('Golf Log'!$C$2:$C$73=$C929),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Log'!$E$2:$V$73,
    MATCH(1,
      ('Putt Log'!$A$2:$A$73=$A929)*
      ('Putt Log'!$B$2:$B$73=$B929)*
      ('Putt Log'!$C$2:$C$73=$C929),
    0),
    MATCH($G929,'Putt Log'!$E$1:$V$1,0)
  ),
"")</f>
        <v>2</v>
      </c>
      <c r="P929" cm="1">
        <f t="array" ref="P929">IF(K929=3,"",
  IFERROR(
    INDEX('Fairway Log'!$E$2:$V$73,
      MATCH(1,
        ('Fairway Log'!$A$2:$A$73=$A929)*
        ('Fairway Log'!$B$2:$B$73=$B929)*
        ('Fairway Log'!$C$2:$C1000=$C929),
      0),
      MATCH($G929,'Fairway Log'!$E$1:$V$1,0)
    ),
  "")
)</f>
        <v>1</v>
      </c>
      <c r="Q929" cm="1">
        <f t="array" ref="Q929">IFERROR(
  INDEX('GIR Log'!$E$2:$V$73,
    MATCH(1,
      ('GIR Log'!$A$2:$A$73=$A929)*
      ('GIR Log'!$B$2:$B$73=$B929)*
      ('GIR Log'!$C$2:$C$73=$C929),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Log'!$E$2:$V$73,
    MATCH(1,
      ('Golf Log'!$A$2:$A$73=$A930)*
      ('Golf Log'!$B$2:$B$73=$B930)*
      ('Golf Log'!$C$2:$C$73=$C930),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Log'!$E$2:$V$73,
    MATCH(1,
      ('Putt Log'!$A$2:$A$73=$A930)*
      ('Putt Log'!$B$2:$B$73=$B930)*
      ('Putt Log'!$C$2:$C$73=$C930),
    0),
    MATCH($G930,'Putt Log'!$E$1:$V$1,0)
  ),
"")</f>
        <v>2</v>
      </c>
      <c r="P930" cm="1">
        <f t="array" ref="P930">IF(K930=3,"",
  IFERROR(
    INDEX('Fairway Log'!$E$2:$V$73,
      MATCH(1,
        ('Fairway Log'!$A$2:$A$73=$A930)*
        ('Fairway Log'!$B$2:$B$73=$B930)*
        ('Fairway Log'!$C$2:$C1001=$C930),
      0),
      MATCH($G930,'Fairway Log'!$E$1:$V$1,0)
    ),
  "")
)</f>
        <v>1</v>
      </c>
      <c r="Q930" cm="1">
        <f t="array" ref="Q930">IFERROR(
  INDEX('GIR Log'!$E$2:$V$73,
    MATCH(1,
      ('GIR Log'!$A$2:$A$73=$A930)*
      ('GIR Log'!$B$2:$B$73=$B930)*
      ('GIR Log'!$C$2:$C$73=$C930),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Log'!$E$2:$V$73,
    MATCH(1,
      ('Golf Log'!$A$2:$A$73=$A931)*
      ('Golf Log'!$B$2:$B$73=$B931)*
      ('Golf Log'!$C$2:$C$73=$C931),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Log'!$E$2:$V$73,
    MATCH(1,
      ('Putt Log'!$A$2:$A$73=$A931)*
      ('Putt Log'!$B$2:$B$73=$B931)*
      ('Putt Log'!$C$2:$C$73=$C931),
    0),
    MATCH($G931,'Putt Log'!$E$1:$V$1,0)
  ),
"")</f>
        <v>1</v>
      </c>
      <c r="P931" cm="1">
        <f t="array" ref="P931">IF(K931=3,"",
  IFERROR(
    INDEX('Fairway Log'!$E$2:$V$73,
      MATCH(1,
        ('Fairway Log'!$A$2:$A$73=$A931)*
        ('Fairway Log'!$B$2:$B$73=$B931)*
        ('Fairway Log'!$C$2:$C1002=$C931),
      0),
      MATCH($G931,'Fairway Log'!$E$1:$V$1,0)
    ),
  "")
)</f>
        <v>1</v>
      </c>
      <c r="Q931" t="str" cm="1">
        <f t="array" ref="Q931">IFERROR(
  INDEX('GIR Log'!$E$2:$V$73,
    MATCH(1,
      ('GIR Log'!$A$2:$A$73=$A931)*
      ('GIR Log'!$B$2:$B$73=$B931)*
      ('GIR Log'!$C$2:$C$73=$C931),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Log'!$E$2:$V$73,
    MATCH(1,
      ('Golf Log'!$A$2:$A$73=$A932)*
      ('Golf Log'!$B$2:$B$73=$B932)*
      ('Golf Log'!$C$2:$C$73=$C932),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Log'!$E$2:$V$73,
    MATCH(1,
      ('Putt Log'!$A$2:$A$73=$A932)*
      ('Putt Log'!$B$2:$B$73=$B932)*
      ('Putt Log'!$C$2:$C$73=$C932),
    0),
    MATCH($G932,'Putt Log'!$E$1:$V$1,0)
  ),
"")</f>
        <v>2</v>
      </c>
      <c r="P932" t="str" cm="1">
        <f t="array" ref="P932">IF(K932=3,"",
  IFERROR(
    INDEX('Fairway Log'!$E$2:$V$73,
      MATCH(1,
        ('Fairway Log'!$A$2:$A$73=$A932)*
        ('Fairway Log'!$B$2:$B$73=$B932)*
        ('Fairway Log'!$C$2:$C1003=$C932),
      0),
      MATCH($G932,'Fairway Log'!$E$1:$V$1,0)
    ),
  "")
)</f>
        <v/>
      </c>
      <c r="Q932" t="str" cm="1">
        <f t="array" ref="Q932">IFERROR(
  INDEX('GIR Log'!$E$2:$V$73,
    MATCH(1,
      ('GIR Log'!$A$2:$A$73=$A932)*
      ('GIR Log'!$B$2:$B$73=$B932)*
      ('GIR Log'!$C$2:$C$73=$C932),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Log'!$E$2:$V$73,
    MATCH(1,
      ('Golf Log'!$A$2:$A$73=$A933)*
      ('Golf Log'!$B$2:$B$73=$B933)*
      ('Golf Log'!$C$2:$C$73=$C933),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Log'!$E$2:$V$73,
    MATCH(1,
      ('Putt Log'!$A$2:$A$73=$A933)*
      ('Putt Log'!$B$2:$B$73=$B933)*
      ('Putt Log'!$C$2:$C$73=$C933),
    0),
    MATCH($G933,'Putt Log'!$E$1:$V$1,0)
  ),
"")</f>
        <v>2</v>
      </c>
      <c r="P933" cm="1">
        <f t="array" ref="P933">IF(K933=3,"",
  IFERROR(
    INDEX('Fairway Log'!$E$2:$V$73,
      MATCH(1,
        ('Fairway Log'!$A$2:$A$73=$A933)*
        ('Fairway Log'!$B$2:$B$73=$B933)*
        ('Fairway Log'!$C$2:$C1004=$C933),
      0),
      MATCH($G933,'Fairway Log'!$E$1:$V$1,0)
    ),
  "")
)</f>
        <v>1</v>
      </c>
      <c r="Q933" cm="1">
        <f t="array" ref="Q933">IFERROR(
  INDEX('GIR Log'!$E$2:$V$73,
    MATCH(1,
      ('GIR Log'!$A$2:$A$73=$A933)*
      ('GIR Log'!$B$2:$B$73=$B933)*
      ('GIR Log'!$C$2:$C$73=$C933),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Log'!$E$2:$V$73,
    MATCH(1,
      ('Golf Log'!$A$2:$A$73=$A934)*
      ('Golf Log'!$B$2:$B$73=$B934)*
      ('Golf Log'!$C$2:$C$73=$C934),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Log'!$E$2:$V$73,
    MATCH(1,
      ('Putt Log'!$A$2:$A$73=$A934)*
      ('Putt Log'!$B$2:$B$73=$B934)*
      ('Putt Log'!$C$2:$C$73=$C934),
    0),
    MATCH($G934,'Putt Log'!$E$1:$V$1,0)
  ),
"")</f>
        <v>2</v>
      </c>
      <c r="P934" t="str" cm="1">
        <f t="array" ref="P934">IF(K934=3,"",
  IFERROR(
    INDEX('Fairway Log'!$E$2:$V$73,
      MATCH(1,
        ('Fairway Log'!$A$2:$A$73=$A934)*
        ('Fairway Log'!$B$2:$B$73=$B934)*
        ('Fairway Log'!$C$2:$C1005=$C934),
      0),
      MATCH($G934,'Fairway Log'!$E$1:$V$1,0)
    ),
  "")
)</f>
        <v>←</v>
      </c>
      <c r="Q934" t="str" cm="1">
        <f t="array" ref="Q934">IFERROR(
  INDEX('GIR Log'!$E$2:$V$73,
    MATCH(1,
      ('GIR Log'!$A$2:$A$73=$A934)*
      ('GIR Log'!$B$2:$B$73=$B934)*
      ('GIR Log'!$C$2:$C$73=$C934),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Log'!$E$2:$V$73,
    MATCH(1,
      ('Golf Log'!$A$2:$A$73=$A935)*
      ('Golf Log'!$B$2:$B$73=$B935)*
      ('Golf Log'!$C$2:$C$73=$C935),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Log'!$E$2:$V$73,
    MATCH(1,
      ('Putt Log'!$A$2:$A$73=$A935)*
      ('Putt Log'!$B$2:$B$73=$B935)*
      ('Putt Log'!$C$2:$C$73=$C935),
    0),
    MATCH($G935,'Putt Log'!$E$1:$V$1,0)
  ),
"")</f>
        <v>2</v>
      </c>
      <c r="P935" t="str" cm="1">
        <f t="array" ref="P935">IF(K935=3,"",
  IFERROR(
    INDEX('Fairway Log'!$E$2:$V$73,
      MATCH(1,
        ('Fairway Log'!$A$2:$A$73=$A935)*
        ('Fairway Log'!$B$2:$B$73=$B935)*
        ('Fairway Log'!$C$2:$C1006=$C935),
      0),
      MATCH($G935,'Fairway Log'!$E$1:$V$1,0)
    ),
  "")
)</f>
        <v/>
      </c>
      <c r="Q935" cm="1">
        <f t="array" ref="Q935">IFERROR(
  INDEX('GIR Log'!$E$2:$V$73,
    MATCH(1,
      ('GIR Log'!$A$2:$A$73=$A935)*
      ('GIR Log'!$B$2:$B$73=$B935)*
      ('GIR Log'!$C$2:$C$73=$C935),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Log'!$E$2:$V$73,
    MATCH(1,
      ('Golf Log'!$A$2:$A$73=$A936)*
      ('Golf Log'!$B$2:$B$73=$B936)*
      ('Golf Log'!$C$2:$C$73=$C936),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Log'!$E$2:$V$73,
    MATCH(1,
      ('Putt Log'!$A$2:$A$73=$A936)*
      ('Putt Log'!$B$2:$B$73=$B936)*
      ('Putt Log'!$C$2:$C$73=$C936),
    0),
    MATCH($G936,'Putt Log'!$E$1:$V$1,0)
  ),
"")</f>
        <v>3</v>
      </c>
      <c r="P936" t="str" cm="1">
        <f t="array" ref="P936">IF(K936=3,"",
  IFERROR(
    INDEX('Fairway Log'!$E$2:$V$73,
      MATCH(1,
        ('Fairway Log'!$A$2:$A$73=$A936)*
        ('Fairway Log'!$B$2:$B$73=$B936)*
        ('Fairway Log'!$C$2:$C1007=$C936),
      0),
      MATCH($G936,'Fairway Log'!$E$1:$V$1,0)
    ),
  "")
)</f>
        <v>→</v>
      </c>
      <c r="Q936" t="str" cm="1">
        <f t="array" ref="Q936">IFERROR(
  INDEX('GIR Log'!$E$2:$V$73,
    MATCH(1,
      ('GIR Log'!$A$2:$A$73=$A936)*
      ('GIR Log'!$B$2:$B$73=$B936)*
      ('GIR Log'!$C$2:$C$73=$C936),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Log'!$E$2:$V$73,
    MATCH(1,
      ('Golf Log'!$A$2:$A$73=$A937)*
      ('Golf Log'!$B$2:$B$73=$B937)*
      ('Golf Log'!$C$2:$C$73=$C937),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Log'!$E$2:$V$73,
    MATCH(1,
      ('Putt Log'!$A$2:$A$73=$A937)*
      ('Putt Log'!$B$2:$B$73=$B937)*
      ('Putt Log'!$C$2:$C$73=$C937),
    0),
    MATCH($G937,'Putt Log'!$E$1:$V$1,0)
  ),
"")</f>
        <v>2</v>
      </c>
      <c r="P937" cm="1">
        <f t="array" ref="P937">IF(K937=3,"",
  IFERROR(
    INDEX('Fairway Log'!$E$2:$V$73,
      MATCH(1,
        ('Fairway Log'!$A$2:$A$73=$A937)*
        ('Fairway Log'!$B$2:$B$73=$B937)*
        ('Fairway Log'!$C$2:$C1008=$C937),
      0),
      MATCH($G937,'Fairway Log'!$E$1:$V$1,0)
    ),
  "")
)</f>
        <v>1</v>
      </c>
      <c r="Q937" t="str" cm="1">
        <f t="array" ref="Q937">IFERROR(
  INDEX('GIR Log'!$E$2:$V$73,
    MATCH(1,
      ('GIR Log'!$A$2:$A$73=$A937)*
      ('GIR Log'!$B$2:$B$73=$B937)*
      ('GIR Log'!$C$2:$C$73=$C937),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Log'!$E$2:$V$73,
    MATCH(1,
      ('Golf Log'!$A$2:$A$73=$A938)*
      ('Golf Log'!$B$2:$B$73=$B938)*
      ('Golf Log'!$C$2:$C$73=$C938),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Log'!$E$2:$V$73,
    MATCH(1,
      ('Putt Log'!$A$2:$A$73=$A938)*
      ('Putt Log'!$B$2:$B$73=$B938)*
      ('Putt Log'!$C$2:$C$73=$C938),
    0),
    MATCH($G938,'Putt Log'!$E$1:$V$1,0)
  ),
"")</f>
        <v>2</v>
      </c>
      <c r="P938" t="str" cm="1">
        <f t="array" ref="P938">IF(K938=3,"",
  IFERROR(
    INDEX('Fairway Log'!$E$2:$V$73,
      MATCH(1,
        ('Fairway Log'!$A$2:$A$73=$A938)*
        ('Fairway Log'!$B$2:$B$73=$B938)*
        ('Fairway Log'!$C$2:$C1009=$C938),
      0),
      MATCH($G938,'Fairway Log'!$E$1:$V$1,0)
    ),
  "")
)</f>
        <v>←</v>
      </c>
      <c r="Q938" t="str" cm="1">
        <f t="array" ref="Q938">IFERROR(
  INDEX('GIR Log'!$E$2:$V$73,
    MATCH(1,
      ('GIR Log'!$A$2:$A$73=$A938)*
      ('GIR Log'!$B$2:$B$73=$B938)*
      ('GIR Log'!$C$2:$C$73=$C938),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Log'!$E$2:$V$73,
    MATCH(1,
      ('Golf Log'!$A$2:$A$73=$A939)*
      ('Golf Log'!$B$2:$B$73=$B939)*
      ('Golf Log'!$C$2:$C$73=$C939),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Log'!$E$2:$V$73,
    MATCH(1,
      ('Putt Log'!$A$2:$A$73=$A939)*
      ('Putt Log'!$B$2:$B$73=$B939)*
      ('Putt Log'!$C$2:$C$73=$C939),
    0),
    MATCH($G939,'Putt Log'!$E$1:$V$1,0)
  ),
"")</f>
        <v>1</v>
      </c>
      <c r="P939" t="str" cm="1">
        <f t="array" ref="P939">IF(K939=3,"",
  IFERROR(
    INDEX('Fairway Log'!$E$2:$V$73,
      MATCH(1,
        ('Fairway Log'!$A$2:$A$73=$A939)*
        ('Fairway Log'!$B$2:$B$73=$B939)*
        ('Fairway Log'!$C$2:$C1010=$C939),
      0),
      MATCH($G939,'Fairway Log'!$E$1:$V$1,0)
    ),
  "")
)</f>
        <v>←</v>
      </c>
      <c r="Q939" t="str" cm="1">
        <f t="array" ref="Q939">IFERROR(
  INDEX('GIR Log'!$E$2:$V$73,
    MATCH(1,
      ('GIR Log'!$A$2:$A$73=$A939)*
      ('GIR Log'!$B$2:$B$73=$B939)*
      ('GIR Log'!$C$2:$C$73=$C939),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Log'!$E$2:$V$73,
    MATCH(1,
      ('Golf Log'!$A$2:$A$73=$A940)*
      ('Golf Log'!$B$2:$B$73=$B940)*
      ('Golf Log'!$C$2:$C$73=$C940),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Log'!$E$2:$V$73,
    MATCH(1,
      ('Putt Log'!$A$2:$A$73=$A940)*
      ('Putt Log'!$B$2:$B$73=$B940)*
      ('Putt Log'!$C$2:$C$73=$C940),
    0),
    MATCH($G940,'Putt Log'!$E$1:$V$1,0)
  ),
"")</f>
        <v>2</v>
      </c>
      <c r="P940" t="str" cm="1">
        <f t="array" ref="P940">IF(K940=3,"",
  IFERROR(
    INDEX('Fairway Log'!$E$2:$V$73,
      MATCH(1,
        ('Fairway Log'!$A$2:$A$73=$A940)*
        ('Fairway Log'!$B$2:$B$73=$B940)*
        ('Fairway Log'!$C$2:$C1011=$C940),
      0),
      MATCH($G940,'Fairway Log'!$E$1:$V$1,0)
    ),
  "")
)</f>
        <v/>
      </c>
      <c r="Q940" t="str" cm="1">
        <f t="array" ref="Q940">IFERROR(
  INDEX('GIR Log'!$E$2:$V$73,
    MATCH(1,
      ('GIR Log'!$A$2:$A$73=$A940)*
      ('GIR Log'!$B$2:$B$73=$B940)*
      ('GIR Log'!$C$2:$C$73=$C940),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Log'!$E$2:$V$73,
    MATCH(1,
      ('Golf Log'!$A$2:$A$73=$A941)*
      ('Golf Log'!$B$2:$B$73=$B941)*
      ('Golf Log'!$C$2:$C$73=$C941),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Log'!$E$2:$V$73,
    MATCH(1,
      ('Putt Log'!$A$2:$A$73=$A941)*
      ('Putt Log'!$B$2:$B$73=$B941)*
      ('Putt Log'!$C$2:$C$73=$C941),
    0),
    MATCH($G941,'Putt Log'!$E$1:$V$1,0)
  ),
"")</f>
        <v>2</v>
      </c>
      <c r="P941" cm="1">
        <f t="array" ref="P941">IF(K941=3,"",
  IFERROR(
    INDEX('Fairway Log'!$E$2:$V$73,
      MATCH(1,
        ('Fairway Log'!$A$2:$A$73=$A941)*
        ('Fairway Log'!$B$2:$B$73=$B941)*
        ('Fairway Log'!$C$2:$C1012=$C941),
      0),
      MATCH($G941,'Fairway Log'!$E$1:$V$1,0)
    ),
  "")
)</f>
        <v>1</v>
      </c>
      <c r="Q941" t="str" cm="1">
        <f t="array" ref="Q941">IFERROR(
  INDEX('GIR Log'!$E$2:$V$73,
    MATCH(1,
      ('GIR Log'!$A$2:$A$73=$A941)*
      ('GIR Log'!$B$2:$B$73=$B941)*
      ('GIR Log'!$C$2:$C$73=$C941),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Log'!$E$2:$V$73,
    MATCH(1,
      ('Golf Log'!$A$2:$A$73=$A942)*
      ('Golf Log'!$B$2:$B$73=$B942)*
      ('Golf Log'!$C$2:$C$73=$C942),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Log'!$E$2:$V$73,
    MATCH(1,
      ('Putt Log'!$A$2:$A$73=$A942)*
      ('Putt Log'!$B$2:$B$73=$B942)*
      ('Putt Log'!$C$2:$C$73=$C942),
    0),
    MATCH($G942,'Putt Log'!$E$1:$V$1,0)
  ),
"")</f>
        <v>2</v>
      </c>
      <c r="P942" t="str" cm="1">
        <f t="array" ref="P942">IF(K942=3,"",
  IFERROR(
    INDEX('Fairway Log'!$E$2:$V$73,
      MATCH(1,
        ('Fairway Log'!$A$2:$A$73=$A942)*
        ('Fairway Log'!$B$2:$B$73=$B942)*
        ('Fairway Log'!$C$2:$C1013=$C942),
      0),
      MATCH($G942,'Fairway Log'!$E$1:$V$1,0)
    ),
  "")
)</f>
        <v>←</v>
      </c>
      <c r="Q942" t="str" cm="1">
        <f t="array" ref="Q942">IFERROR(
  INDEX('GIR Log'!$E$2:$V$73,
    MATCH(1,
      ('GIR Log'!$A$2:$A$73=$A942)*
      ('GIR Log'!$B$2:$B$73=$B942)*
      ('GIR Log'!$C$2:$C$73=$C942),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Log'!$E$2:$V$73,
    MATCH(1,
      ('Golf Log'!$A$2:$A$73=$A943)*
      ('Golf Log'!$B$2:$B$73=$B943)*
      ('Golf Log'!$C$2:$C$73=$C943),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Log'!$E$2:$V$73,
    MATCH(1,
      ('Putt Log'!$A$2:$A$73=$A943)*
      ('Putt Log'!$B$2:$B$73=$B943)*
      ('Putt Log'!$C$2:$C$73=$C943),
    0),
    MATCH($G943,'Putt Log'!$E$1:$V$1,0)
  ),
"")</f>
        <v>1</v>
      </c>
      <c r="P943" t="str" cm="1">
        <f t="array" ref="P943">IF(K943=3,"",
  IFERROR(
    INDEX('Fairway Log'!$E$2:$V$73,
      MATCH(1,
        ('Fairway Log'!$A$2:$A$73=$A943)*
        ('Fairway Log'!$B$2:$B$73=$B943)*
        ('Fairway Log'!$C$2:$C1014=$C943),
      0),
      MATCH($G943,'Fairway Log'!$E$1:$V$1,0)
    ),
  "")
)</f>
        <v/>
      </c>
      <c r="Q943" t="str" cm="1">
        <f t="array" ref="Q943">IFERROR(
  INDEX('GIR Log'!$E$2:$V$73,
    MATCH(1,
      ('GIR Log'!$A$2:$A$73=$A943)*
      ('GIR Log'!$B$2:$B$73=$B943)*
      ('GIR Log'!$C$2:$C$73=$C943),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Log'!$E$2:$V$73,
    MATCH(1,
      ('Golf Log'!$A$2:$A$73=$A944)*
      ('Golf Log'!$B$2:$B$73=$B944)*
      ('Golf Log'!$C$2:$C$73=$C944),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Log'!$E$2:$V$73,
    MATCH(1,
      ('Putt Log'!$A$2:$A$73=$A944)*
      ('Putt Log'!$B$2:$B$73=$B944)*
      ('Putt Log'!$C$2:$C$73=$C944),
    0),
    MATCH($G944,'Putt Log'!$E$1:$V$1,0)
  ),
"")</f>
        <v>1</v>
      </c>
      <c r="P944" t="str" cm="1">
        <f t="array" ref="P944">IF(K944=3,"",
  IFERROR(
    INDEX('Fairway Log'!$E$2:$V$73,
      MATCH(1,
        ('Fairway Log'!$A$2:$A$73=$A944)*
        ('Fairway Log'!$B$2:$B$73=$B944)*
        ('Fairway Log'!$C$2:$C1015=$C944),
      0),
      MATCH($G944,'Fairway Log'!$E$1:$V$1,0)
    ),
  "")
)</f>
        <v>←</v>
      </c>
      <c r="Q944" t="str" cm="1">
        <f t="array" ref="Q944">IFERROR(
  INDEX('GIR Log'!$E$2:$V$73,
    MATCH(1,
      ('GIR Log'!$A$2:$A$73=$A944)*
      ('GIR Log'!$B$2:$B$73=$B944)*
      ('GIR Log'!$C$2:$C$73=$C944),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Log'!$E$2:$V$73,
    MATCH(1,
      ('Golf Log'!$A$2:$A$73=$A945)*
      ('Golf Log'!$B$2:$B$73=$B945)*
      ('Golf Log'!$C$2:$C$73=$C945),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Log'!$E$2:$V$73,
    MATCH(1,
      ('Putt Log'!$A$2:$A$73=$A945)*
      ('Putt Log'!$B$2:$B$73=$B945)*
      ('Putt Log'!$C$2:$C$73=$C945),
    0),
    MATCH($G945,'Putt Log'!$E$1:$V$1,0)
  ),
"")</f>
        <v>2</v>
      </c>
      <c r="P945" cm="1">
        <f t="array" ref="P945">IF(K945=3,"",
  IFERROR(
    INDEX('Fairway Log'!$E$2:$V$73,
      MATCH(1,
        ('Fairway Log'!$A$2:$A$73=$A945)*
        ('Fairway Log'!$B$2:$B$73=$B945)*
        ('Fairway Log'!$C$2:$C1016=$C945),
      0),
      MATCH($G945,'Fairway Log'!$E$1:$V$1,0)
    ),
  "")
)</f>
        <v>1</v>
      </c>
      <c r="Q945" t="str" cm="1">
        <f t="array" ref="Q945">IFERROR(
  INDEX('GIR Log'!$E$2:$V$73,
    MATCH(1,
      ('GIR Log'!$A$2:$A$73=$A945)*
      ('GIR Log'!$B$2:$B$73=$B945)*
      ('GIR Log'!$C$2:$C$73=$C945),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Log'!$E$2:$V$73,
    MATCH(1,
      ('Golf Log'!$A$2:$A$73=$A946)*
      ('Golf Log'!$B$2:$B$73=$B946)*
      ('Golf Log'!$C$2:$C$73=$C946),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Log'!$E$2:$V$73,
    MATCH(1,
      ('Putt Log'!$A$2:$A$73=$A946)*
      ('Putt Log'!$B$2:$B$73=$B946)*
      ('Putt Log'!$C$2:$C$73=$C946),
    0),
    MATCH($G946,'Putt Log'!$E$1:$V$1,0)
  ),
"")</f>
        <v>2</v>
      </c>
      <c r="P946" cm="1">
        <f t="array" ref="P946">IF(K946=3,"",
  IFERROR(
    INDEX('Fairway Log'!$E$2:$V$73,
      MATCH(1,
        ('Fairway Log'!$A$2:$A$73=$A946)*
        ('Fairway Log'!$B$2:$B$73=$B946)*
        ('Fairway Log'!$C$2:$C1017=$C946),
      0),
      MATCH($G946,'Fairway Log'!$E$1:$V$1,0)
    ),
  "")
)</f>
        <v>1</v>
      </c>
      <c r="Q946" t="str" cm="1">
        <f t="array" ref="Q946">IFERROR(
  INDEX('GIR Log'!$E$2:$V$73,
    MATCH(1,
      ('GIR Log'!$A$2:$A$73=$A946)*
      ('GIR Log'!$B$2:$B$73=$B946)*
      ('GIR Log'!$C$2:$C$73=$C946),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Log'!$E$2:$V$73,
    MATCH(1,
      ('Golf Log'!$A$2:$A$73=$A947)*
      ('Golf Log'!$B$2:$B$73=$B947)*
      ('Golf Log'!$C$2:$C$73=$C947),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Log'!$E$2:$V$73,
    MATCH(1,
      ('Putt Log'!$A$2:$A$73=$A947)*
      ('Putt Log'!$B$2:$B$73=$B947)*
      ('Putt Log'!$C$2:$C$73=$C947),
    0),
    MATCH($G947,'Putt Log'!$E$1:$V$1,0)
  ),
"")</f>
        <v>2</v>
      </c>
      <c r="P947" t="str" cm="1">
        <f t="array" ref="P947">IF(K947=3,"",
  IFERROR(
    INDEX('Fairway Log'!$E$2:$V$73,
      MATCH(1,
        ('Fairway Log'!$A$2:$A$73=$A947)*
        ('Fairway Log'!$B$2:$B$73=$B947)*
        ('Fairway Log'!$C$2:$C1018=$C947),
      0),
      MATCH($G947,'Fairway Log'!$E$1:$V$1,0)
    ),
  "")
)</f>
        <v>←</v>
      </c>
      <c r="Q947" t="str" cm="1">
        <f t="array" ref="Q947">IFERROR(
  INDEX('GIR Log'!$E$2:$V$73,
    MATCH(1,
      ('GIR Log'!$A$2:$A$73=$A947)*
      ('GIR Log'!$B$2:$B$73=$B947)*
      ('GIR Log'!$C$2:$C$73=$C947),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Log'!$E$2:$V$73,
    MATCH(1,
      ('Golf Log'!$A$2:$A$73=$A948)*
      ('Golf Log'!$B$2:$B$73=$B948)*
      ('Golf Log'!$C$2:$C$73=$C948),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Log'!$E$2:$V$73,
    MATCH(1,
      ('Putt Log'!$A$2:$A$73=$A948)*
      ('Putt Log'!$B$2:$B$73=$B948)*
      ('Putt Log'!$C$2:$C$73=$C948),
    0),
    MATCH($G948,'Putt Log'!$E$1:$V$1,0)
  ),
"")</f>
        <v>2</v>
      </c>
      <c r="P948" t="str" cm="1">
        <f t="array" ref="P948">IF(K948=3,"",
  IFERROR(
    INDEX('Fairway Log'!$E$2:$V$73,
      MATCH(1,
        ('Fairway Log'!$A$2:$A$73=$A948)*
        ('Fairway Log'!$B$2:$B$73=$B948)*
        ('Fairway Log'!$C$2:$C1019=$C948),
      0),
      MATCH($G948,'Fairway Log'!$E$1:$V$1,0)
    ),
  "")
)</f>
        <v>→</v>
      </c>
      <c r="Q948" t="str" cm="1">
        <f t="array" ref="Q948">IFERROR(
  INDEX('GIR Log'!$E$2:$V$73,
    MATCH(1,
      ('GIR Log'!$A$2:$A$73=$A948)*
      ('GIR Log'!$B$2:$B$73=$B948)*
      ('GIR Log'!$C$2:$C$73=$C948),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Log'!$E$2:$V$73,
    MATCH(1,
      ('Golf Log'!$A$2:$A$73=$A949)*
      ('Golf Log'!$B$2:$B$73=$B949)*
      ('Golf Log'!$C$2:$C$73=$C949),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Log'!$E$2:$V$73,
    MATCH(1,
      ('Putt Log'!$A$2:$A$73=$A949)*
      ('Putt Log'!$B$2:$B$73=$B949)*
      ('Putt Log'!$C$2:$C$73=$C949),
    0),
    MATCH($G949,'Putt Log'!$E$1:$V$1,0)
  ),
"")</f>
        <v>2</v>
      </c>
      <c r="P949" t="str" cm="1">
        <f t="array" ref="P949">IF(K949=3,"",
  IFERROR(
    INDEX('Fairway Log'!$E$2:$V$73,
      MATCH(1,
        ('Fairway Log'!$A$2:$A$73=$A949)*
        ('Fairway Log'!$B$2:$B$73=$B949)*
        ('Fairway Log'!$C$2:$C1020=$C949),
      0),
      MATCH($G949,'Fairway Log'!$E$1:$V$1,0)
    ),
  "")
)</f>
        <v>→</v>
      </c>
      <c r="Q949" t="str" cm="1">
        <f t="array" ref="Q949">IFERROR(
  INDEX('GIR Log'!$E$2:$V$73,
    MATCH(1,
      ('GIR Log'!$A$2:$A$73=$A949)*
      ('GIR Log'!$B$2:$B$73=$B949)*
      ('GIR Log'!$C$2:$C$73=$C949),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Log'!$E$2:$V$73,
    MATCH(1,
      ('Golf Log'!$A$2:$A$73=$A950)*
      ('Golf Log'!$B$2:$B$73=$B950)*
      ('Golf Log'!$C$2:$C$73=$C950),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Log'!$E$2:$V$73,
    MATCH(1,
      ('Putt Log'!$A$2:$A$73=$A950)*
      ('Putt Log'!$B$2:$B$73=$B950)*
      ('Putt Log'!$C$2:$C$73=$C950),
    0),
    MATCH($G950,'Putt Log'!$E$1:$V$1,0)
  ),
"")</f>
        <v>2</v>
      </c>
      <c r="P950" t="str" cm="1">
        <f t="array" ref="P950">IF(K950=3,"",
  IFERROR(
    INDEX('Fairway Log'!$E$2:$V$73,
      MATCH(1,
        ('Fairway Log'!$A$2:$A$73=$A950)*
        ('Fairway Log'!$B$2:$B$73=$B950)*
        ('Fairway Log'!$C$2:$C1021=$C950),
      0),
      MATCH($G950,'Fairway Log'!$E$1:$V$1,0)
    ),
  "")
)</f>
        <v/>
      </c>
      <c r="Q950" t="str" cm="1">
        <f t="array" ref="Q950">IFERROR(
  INDEX('GIR Log'!$E$2:$V$73,
    MATCH(1,
      ('GIR Log'!$A$2:$A$73=$A950)*
      ('GIR Log'!$B$2:$B$73=$B950)*
      ('GIR Log'!$C$2:$C$73=$C950),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Log'!$E$2:$V$73,
    MATCH(1,
      ('Golf Log'!$A$2:$A$73=$A951)*
      ('Golf Log'!$B$2:$B$73=$B951)*
      ('Golf Log'!$C$2:$C$73=$C951),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Log'!$E$2:$V$73,
    MATCH(1,
      ('Putt Log'!$A$2:$A$73=$A951)*
      ('Putt Log'!$B$2:$B$73=$B951)*
      ('Putt Log'!$C$2:$C$73=$C951),
    0),
    MATCH($G951,'Putt Log'!$E$1:$V$1,0)
  ),
"")</f>
        <v>1</v>
      </c>
      <c r="P951" t="str" cm="1">
        <f t="array" ref="P951">IF(K951=3,"",
  IFERROR(
    INDEX('Fairway Log'!$E$2:$V$73,
      MATCH(1,
        ('Fairway Log'!$A$2:$A$73=$A951)*
        ('Fairway Log'!$B$2:$B$73=$B951)*
        ('Fairway Log'!$C$2:$C1022=$C951),
      0),
      MATCH($G951,'Fairway Log'!$E$1:$V$1,0)
    ),
  "")
)</f>
        <v>←</v>
      </c>
      <c r="Q951" t="str" cm="1">
        <f t="array" ref="Q951">IFERROR(
  INDEX('GIR Log'!$E$2:$V$73,
    MATCH(1,
      ('GIR Log'!$A$2:$A$73=$A951)*
      ('GIR Log'!$B$2:$B$73=$B951)*
      ('GIR Log'!$C$2:$C$73=$C951),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Log'!$E$2:$V$73,
    MATCH(1,
      ('Golf Log'!$A$2:$A$73=$A952)*
      ('Golf Log'!$B$2:$B$73=$B952)*
      ('Golf Log'!$C$2:$C$73=$C952),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Log'!$E$2:$V$73,
    MATCH(1,
      ('Putt Log'!$A$2:$A$73=$A952)*
      ('Putt Log'!$B$2:$B$73=$B952)*
      ('Putt Log'!$C$2:$C$73=$C952),
    0),
    MATCH($G952,'Putt Log'!$E$1:$V$1,0)
  ),
"")</f>
        <v>2</v>
      </c>
      <c r="P952" t="str" cm="1">
        <f t="array" ref="P952">IF(K952=3,"",
  IFERROR(
    INDEX('Fairway Log'!$E$2:$V$73,
      MATCH(1,
        ('Fairway Log'!$A$2:$A$73=$A952)*
        ('Fairway Log'!$B$2:$B$73=$B952)*
        ('Fairway Log'!$C$2:$C1023=$C952),
      0),
      MATCH($G952,'Fairway Log'!$E$1:$V$1,0)
    ),
  "")
)</f>
        <v>↑</v>
      </c>
      <c r="Q952" t="str" cm="1">
        <f t="array" ref="Q952">IFERROR(
  INDEX('GIR Log'!$E$2:$V$73,
    MATCH(1,
      ('GIR Log'!$A$2:$A$73=$A952)*
      ('GIR Log'!$B$2:$B$73=$B952)*
      ('GIR Log'!$C$2:$C$73=$C952),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Log'!$E$2:$V$73,
    MATCH(1,
      ('Golf Log'!$A$2:$A$73=$A953)*
      ('Golf Log'!$B$2:$B$73=$B953)*
      ('Golf Log'!$C$2:$C$73=$C953),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Log'!$E$2:$V$73,
    MATCH(1,
      ('Putt Log'!$A$2:$A$73=$A953)*
      ('Putt Log'!$B$2:$B$73=$B953)*
      ('Putt Log'!$C$2:$C$73=$C953),
    0),
    MATCH($G953,'Putt Log'!$E$1:$V$1,0)
  ),
"")</f>
        <v>2</v>
      </c>
      <c r="P953" t="str" cm="1">
        <f t="array" ref="P953">IF(K953=3,"",
  IFERROR(
    INDEX('Fairway Log'!$E$2:$V$73,
      MATCH(1,
        ('Fairway Log'!$A$2:$A$73=$A953)*
        ('Fairway Log'!$B$2:$B$73=$B953)*
        ('Fairway Log'!$C$2:$C1024=$C953),
      0),
      MATCH($G953,'Fairway Log'!$E$1:$V$1,0)
    ),
  "")
)</f>
        <v/>
      </c>
      <c r="Q953" t="str" cm="1">
        <f t="array" ref="Q953">IFERROR(
  INDEX('GIR Log'!$E$2:$V$73,
    MATCH(1,
      ('GIR Log'!$A$2:$A$73=$A953)*
      ('GIR Log'!$B$2:$B$73=$B953)*
      ('GIR Log'!$C$2:$C$73=$C953),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Log'!$E$2:$V$73,
    MATCH(1,
      ('Golf Log'!$A$2:$A$73=$A954)*
      ('Golf Log'!$B$2:$B$73=$B954)*
      ('Golf Log'!$C$2:$C$73=$C954),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Log'!$E$2:$V$73,
    MATCH(1,
      ('Putt Log'!$A$2:$A$73=$A954)*
      ('Putt Log'!$B$2:$B$73=$B954)*
      ('Putt Log'!$C$2:$C$73=$C954),
    0),
    MATCH($G954,'Putt Log'!$E$1:$V$1,0)
  ),
"")</f>
        <v>2</v>
      </c>
      <c r="P954" cm="1">
        <f t="array" ref="P954">IF(K954=3,"",
  IFERROR(
    INDEX('Fairway Log'!$E$2:$V$73,
      MATCH(1,
        ('Fairway Log'!$A$2:$A$73=$A954)*
        ('Fairway Log'!$B$2:$B$73=$B954)*
        ('Fairway Log'!$C$2:$C1025=$C954),
      0),
      MATCH($G954,'Fairway Log'!$E$1:$V$1,0)
    ),
  "")
)</f>
        <v>1</v>
      </c>
      <c r="Q954" t="str" cm="1">
        <f t="array" ref="Q954">IFERROR(
  INDEX('GIR Log'!$E$2:$V$73,
    MATCH(1,
      ('GIR Log'!$A$2:$A$73=$A954)*
      ('GIR Log'!$B$2:$B$73=$B954)*
      ('GIR Log'!$C$2:$C$73=$C954),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Log'!$E$2:$V$73,
    MATCH(1,
      ('Golf Log'!$A$2:$A$73=$A955)*
      ('Golf Log'!$B$2:$B$73=$B955)*
      ('Golf Log'!$C$2:$C$73=$C955),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Log'!$E$2:$V$73,
    MATCH(1,
      ('Putt Log'!$A$2:$A$73=$A955)*
      ('Putt Log'!$B$2:$B$73=$B955)*
      ('Putt Log'!$C$2:$C$73=$C955),
    0),
    MATCH($G955,'Putt Log'!$E$1:$V$1,0)
  ),
"")</f>
        <v>2</v>
      </c>
      <c r="P955" cm="1">
        <f t="array" ref="P955">IF(K955=3,"",
  IFERROR(
    INDEX('Fairway Log'!$E$2:$V$73,
      MATCH(1,
        ('Fairway Log'!$A$2:$A$73=$A955)*
        ('Fairway Log'!$B$2:$B$73=$B955)*
        ('Fairway Log'!$C$2:$C1026=$C955),
      0),
      MATCH($G955,'Fairway Log'!$E$1:$V$1,0)
    ),
  "")
)</f>
        <v>1</v>
      </c>
      <c r="Q955" t="str" cm="1">
        <f t="array" ref="Q955">IFERROR(
  INDEX('GIR Log'!$E$2:$V$73,
    MATCH(1,
      ('GIR Log'!$A$2:$A$73=$A955)*
      ('GIR Log'!$B$2:$B$73=$B955)*
      ('GIR Log'!$C$2:$C$73=$C955),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Log'!$E$2:$V$73,
    MATCH(1,
      ('Golf Log'!$A$2:$A$73=$A956)*
      ('Golf Log'!$B$2:$B$73=$B956)*
      ('Golf Log'!$C$2:$C$73=$C956),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Log'!$E$2:$V$73,
    MATCH(1,
      ('Putt Log'!$A$2:$A$73=$A956)*
      ('Putt Log'!$B$2:$B$73=$B956)*
      ('Putt Log'!$C$2:$C$73=$C956),
    0),
    MATCH($G956,'Putt Log'!$E$1:$V$1,0)
  ),
"")</f>
        <v>2</v>
      </c>
      <c r="P956" t="str" cm="1">
        <f t="array" ref="P956">IF(K956=3,"",
  IFERROR(
    INDEX('Fairway Log'!$E$2:$V$73,
      MATCH(1,
        ('Fairway Log'!$A$2:$A$73=$A956)*
        ('Fairway Log'!$B$2:$B$73=$B956)*
        ('Fairway Log'!$C$2:$C1027=$C956),
      0),
      MATCH($G956,'Fairway Log'!$E$1:$V$1,0)
    ),
  "")
)</f>
        <v>↓</v>
      </c>
      <c r="Q956" t="str" cm="1">
        <f t="array" ref="Q956">IFERROR(
  INDEX('GIR Log'!$E$2:$V$73,
    MATCH(1,
      ('GIR Log'!$A$2:$A$73=$A956)*
      ('GIR Log'!$B$2:$B$73=$B956)*
      ('GIR Log'!$C$2:$C$73=$C956),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Log'!$E$2:$V$73,
    MATCH(1,
      ('Golf Log'!$A$2:$A$73=$A957)*
      ('Golf Log'!$B$2:$B$73=$B957)*
      ('Golf Log'!$C$2:$C$73=$C957),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Log'!$E$2:$V$73,
    MATCH(1,
      ('Putt Log'!$A$2:$A$73=$A957)*
      ('Putt Log'!$B$2:$B$73=$B957)*
      ('Putt Log'!$C$2:$C$73=$C957),
    0),
    MATCH($G957,'Putt Log'!$E$1:$V$1,0)
  ),
"")</f>
        <v>1</v>
      </c>
      <c r="P957" t="str" cm="1">
        <f t="array" ref="P957">IF(K957=3,"",
  IFERROR(
    INDEX('Fairway Log'!$E$2:$V$73,
      MATCH(1,
        ('Fairway Log'!$A$2:$A$73=$A957)*
        ('Fairway Log'!$B$2:$B$73=$B957)*
        ('Fairway Log'!$C$2:$C1028=$C957),
      0),
      MATCH($G957,'Fairway Log'!$E$1:$V$1,0)
    ),
  "")
)</f>
        <v>←</v>
      </c>
      <c r="Q957" t="str" cm="1">
        <f t="array" ref="Q957">IFERROR(
  INDEX('GIR Log'!$E$2:$V$73,
    MATCH(1,
      ('GIR Log'!$A$2:$A$73=$A957)*
      ('GIR Log'!$B$2:$B$73=$B957)*
      ('GIR Log'!$C$2:$C$73=$C957),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Log'!$E$2:$V$73,
    MATCH(1,
      ('Golf Log'!$A$2:$A$73=$A958)*
      ('Golf Log'!$B$2:$B$73=$B958)*
      ('Golf Log'!$C$2:$C$73=$C958),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Log'!$E$2:$V$73,
    MATCH(1,
      ('Putt Log'!$A$2:$A$73=$A958)*
      ('Putt Log'!$B$2:$B$73=$B958)*
      ('Putt Log'!$C$2:$C$73=$C958),
    0),
    MATCH($G958,'Putt Log'!$E$1:$V$1,0)
  ),
"")</f>
        <v>2</v>
      </c>
      <c r="P958" t="str" cm="1">
        <f t="array" ref="P958">IF(K958=3,"",
  IFERROR(
    INDEX('Fairway Log'!$E$2:$V$73,
      MATCH(1,
        ('Fairway Log'!$A$2:$A$73=$A958)*
        ('Fairway Log'!$B$2:$B$73=$B958)*
        ('Fairway Log'!$C$2:$C1029=$C958),
      0),
      MATCH($G958,'Fairway Log'!$E$1:$V$1,0)
    ),
  "")
)</f>
        <v/>
      </c>
      <c r="Q958" t="str" cm="1">
        <f t="array" ref="Q958">IFERROR(
  INDEX('GIR Log'!$E$2:$V$73,
    MATCH(1,
      ('GIR Log'!$A$2:$A$73=$A958)*
      ('GIR Log'!$B$2:$B$73=$B958)*
      ('GIR Log'!$C$2:$C$73=$C958),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Log'!$E$2:$V$73,
    MATCH(1,
      ('Golf Log'!$A$2:$A$73=$A959)*
      ('Golf Log'!$B$2:$B$73=$B959)*
      ('Golf Log'!$C$2:$C$73=$C959),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Log'!$E$2:$V$73,
    MATCH(1,
      ('Putt Log'!$A$2:$A$73=$A959)*
      ('Putt Log'!$B$2:$B$73=$B959)*
      ('Putt Log'!$C$2:$C$73=$C959),
    0),
    MATCH($G959,'Putt Log'!$E$1:$V$1,0)
  ),
"")</f>
        <v>2</v>
      </c>
      <c r="P959" t="str" cm="1">
        <f t="array" ref="P959">IF(K959=3,"",
  IFERROR(
    INDEX('Fairway Log'!$E$2:$V$73,
      MATCH(1,
        ('Fairway Log'!$A$2:$A$73=$A959)*
        ('Fairway Log'!$B$2:$B$73=$B959)*
        ('Fairway Log'!$C$2:$C1030=$C959),
      0),
      MATCH($G959,'Fairway Log'!$E$1:$V$1,0)
    ),
  "")
)</f>
        <v>←</v>
      </c>
      <c r="Q959" t="str" cm="1">
        <f t="array" ref="Q959">IFERROR(
  INDEX('GIR Log'!$E$2:$V$73,
    MATCH(1,
      ('GIR Log'!$A$2:$A$73=$A959)*
      ('GIR Log'!$B$2:$B$73=$B959)*
      ('GIR Log'!$C$2:$C$73=$C959),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Log'!$E$2:$V$73,
    MATCH(1,
      ('Golf Log'!$A$2:$A$73=$A960)*
      ('Golf Log'!$B$2:$B$73=$B960)*
      ('Golf Log'!$C$2:$C$73=$C960),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Log'!$E$2:$V$73,
    MATCH(1,
      ('Putt Log'!$A$2:$A$73=$A960)*
      ('Putt Log'!$B$2:$B$73=$B960)*
      ('Putt Log'!$C$2:$C$73=$C960),
    0),
    MATCH($G960,'Putt Log'!$E$1:$V$1,0)
  ),
"")</f>
        <v>2</v>
      </c>
      <c r="P960" t="str" cm="1">
        <f t="array" ref="P960">IF(K960=3,"",
  IFERROR(
    INDEX('Fairway Log'!$E$2:$V$73,
      MATCH(1,
        ('Fairway Log'!$A$2:$A$73=$A960)*
        ('Fairway Log'!$B$2:$B$73=$B960)*
        ('Fairway Log'!$C$2:$C1031=$C960),
      0),
      MATCH($G960,'Fairway Log'!$E$1:$V$1,0)
    ),
  "")
)</f>
        <v/>
      </c>
      <c r="Q960" t="str" cm="1">
        <f t="array" ref="Q960">IFERROR(
  INDEX('GIR Log'!$E$2:$V$73,
    MATCH(1,
      ('GIR Log'!$A$2:$A$73=$A960)*
      ('GIR Log'!$B$2:$B$73=$B960)*
      ('GIR Log'!$C$2:$C$73=$C960),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Log'!$E$2:$V$73,
    MATCH(1,
      ('Golf Log'!$A$2:$A$73=$A961)*
      ('Golf Log'!$B$2:$B$73=$B961)*
      ('Golf Log'!$C$2:$C$73=$C961),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Log'!$E$2:$V$73,
    MATCH(1,
      ('Putt Log'!$A$2:$A$73=$A961)*
      ('Putt Log'!$B$2:$B$73=$B961)*
      ('Putt Log'!$C$2:$C$73=$C961),
    0),
    MATCH($G961,'Putt Log'!$E$1:$V$1,0)
  ),
"")</f>
        <v>2</v>
      </c>
      <c r="P961" t="str" cm="1">
        <f t="array" ref="P961">IF(K961=3,"",
  IFERROR(
    INDEX('Fairway Log'!$E$2:$V$73,
      MATCH(1,
        ('Fairway Log'!$A$2:$A$73=$A961)*
        ('Fairway Log'!$B$2:$B$73=$B961)*
        ('Fairway Log'!$C$2:$C1032=$C961),
      0),
      MATCH($G961,'Fairway Log'!$E$1:$V$1,0)
    ),
  "")
)</f>
        <v>←</v>
      </c>
      <c r="Q961" t="str" cm="1">
        <f t="array" ref="Q961">IFERROR(
  INDEX('GIR Log'!$E$2:$V$73,
    MATCH(1,
      ('GIR Log'!$A$2:$A$73=$A961)*
      ('GIR Log'!$B$2:$B$73=$B961)*
      ('GIR Log'!$C$2:$C$73=$C961),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Log'!$E$2:$V$73,
    MATCH(1,
      ('Golf Log'!$A$2:$A$73=$A962)*
      ('Golf Log'!$B$2:$B$73=$B962)*
      ('Golf Log'!$C$2:$C$73=$C962),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Log'!$E$2:$V$73,
    MATCH(1,
      ('Putt Log'!$A$2:$A$73=$A962)*
      ('Putt Log'!$B$2:$B$73=$B962)*
      ('Putt Log'!$C$2:$C$73=$C962),
    0),
    MATCH($G962,'Putt Log'!$E$1:$V$1,0)
  ),
"")</f>
        <v>2</v>
      </c>
      <c r="P962" t="str" cm="1">
        <f t="array" ref="P962">IF(K962=3,"",
  IFERROR(
    INDEX('Fairway Log'!$E$2:$V$73,
      MATCH(1,
        ('Fairway Log'!$A$2:$A$73=$A962)*
        ('Fairway Log'!$B$2:$B$73=$B962)*
        ('Fairway Log'!$C$2:$C1033=$C962),
      0),
      MATCH($G962,'Fairway Log'!$E$1:$V$1,0)
    ),
  "")
)</f>
        <v>←</v>
      </c>
      <c r="Q962" t="str" cm="1">
        <f t="array" ref="Q962">IFERROR(
  INDEX('GIR Log'!$E$2:$V$73,
    MATCH(1,
      ('GIR Log'!$A$2:$A$73=$A962)*
      ('GIR Log'!$B$2:$B$73=$B962)*
      ('GIR Log'!$C$2:$C$73=$C962),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Log'!$E$2:$V$73,
    MATCH(1,
      ('Golf Log'!$A$2:$A$73=$A963)*
      ('Golf Log'!$B$2:$B$73=$B963)*
      ('Golf Log'!$C$2:$C$73=$C963),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Log'!$E$2:$V$73,
    MATCH(1,
      ('Putt Log'!$A$2:$A$73=$A963)*
      ('Putt Log'!$B$2:$B$73=$B963)*
      ('Putt Log'!$C$2:$C$73=$C963),
    0),
    MATCH($G963,'Putt Log'!$E$1:$V$1,0)
  ),
"")</f>
        <v>2</v>
      </c>
      <c r="P963" t="str" cm="1">
        <f t="array" ref="P963">IF(K963=3,"",
  IFERROR(
    INDEX('Fairway Log'!$E$2:$V$73,
      MATCH(1,
        ('Fairway Log'!$A$2:$A$73=$A963)*
        ('Fairway Log'!$B$2:$B$73=$B963)*
        ('Fairway Log'!$C$2:$C1034=$C963),
      0),
      MATCH($G963,'Fairway Log'!$E$1:$V$1,0)
    ),
  "")
)</f>
        <v>←</v>
      </c>
      <c r="Q963" t="str" cm="1">
        <f t="array" ref="Q963">IFERROR(
  INDEX('GIR Log'!$E$2:$V$73,
    MATCH(1,
      ('GIR Log'!$A$2:$A$73=$A963)*
      ('GIR Log'!$B$2:$B$73=$B963)*
      ('GIR Log'!$C$2:$C$73=$C963),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Log'!$E$2:$V$73,
    MATCH(1,
      ('Golf Log'!$A$2:$A$73=$A964)*
      ('Golf Log'!$B$2:$B$73=$B964)*
      ('Golf Log'!$C$2:$C$73=$C964),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Log'!$E$2:$V$73,
    MATCH(1,
      ('Putt Log'!$A$2:$A$73=$A964)*
      ('Putt Log'!$B$2:$B$73=$B964)*
      ('Putt Log'!$C$2:$C$73=$C964),
    0),
    MATCH($G964,'Putt Log'!$E$1:$V$1,0)
  ),
"")</f>
        <v>2</v>
      </c>
      <c r="P964" t="str" cm="1">
        <f t="array" ref="P964">IF(K964=3,"",
  IFERROR(
    INDEX('Fairway Log'!$E$2:$V$73,
      MATCH(1,
        ('Fairway Log'!$A$2:$A$73=$A964)*
        ('Fairway Log'!$B$2:$B$73=$B964)*
        ('Fairway Log'!$C$2:$C1035=$C964),
      0),
      MATCH($G964,'Fairway Log'!$E$1:$V$1,0)
    ),
  "")
)</f>
        <v>←</v>
      </c>
      <c r="Q964" cm="1">
        <f t="array" ref="Q964">IFERROR(
  INDEX('GIR Log'!$E$2:$V$73,
    MATCH(1,
      ('GIR Log'!$A$2:$A$73=$A964)*
      ('GIR Log'!$B$2:$B$73=$B964)*
      ('GIR Log'!$C$2:$C$73=$C964),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Log'!$E$2:$V$73,
    MATCH(1,
      ('Golf Log'!$A$2:$A$73=$A965)*
      ('Golf Log'!$B$2:$B$73=$B965)*
      ('Golf Log'!$C$2:$C$73=$C965),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Log'!$E$2:$V$73,
    MATCH(1,
      ('Putt Log'!$A$2:$A$73=$A965)*
      ('Putt Log'!$B$2:$B$73=$B965)*
      ('Putt Log'!$C$2:$C$73=$C965),
    0),
    MATCH($G965,'Putt Log'!$E$1:$V$1,0)
  ),
"")</f>
        <v>2</v>
      </c>
      <c r="P965" t="str" cm="1">
        <f t="array" ref="P965">IF(K965=3,"",
  IFERROR(
    INDEX('Fairway Log'!$E$2:$V$73,
      MATCH(1,
        ('Fairway Log'!$A$2:$A$73=$A965)*
        ('Fairway Log'!$B$2:$B$73=$B965)*
        ('Fairway Log'!$C$2:$C1036=$C965),
      0),
      MATCH($G965,'Fairway Log'!$E$1:$V$1,0)
    ),
  "")
)</f>
        <v>←</v>
      </c>
      <c r="Q965" t="str" cm="1">
        <f t="array" ref="Q965">IFERROR(
  INDEX('GIR Log'!$E$2:$V$73,
    MATCH(1,
      ('GIR Log'!$A$2:$A$73=$A965)*
      ('GIR Log'!$B$2:$B$73=$B965)*
      ('GIR Log'!$C$2:$C$73=$C965),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Log'!$E$2:$V$73,
    MATCH(1,
      ('Golf Log'!$A$2:$A$73=$A966)*
      ('Golf Log'!$B$2:$B$73=$B966)*
      ('Golf Log'!$C$2:$C$73=$C966),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Log'!$E$2:$V$73,
    MATCH(1,
      ('Putt Log'!$A$2:$A$73=$A966)*
      ('Putt Log'!$B$2:$B$73=$B966)*
      ('Putt Log'!$C$2:$C$73=$C966),
    0),
    MATCH($G966,'Putt Log'!$E$1:$V$1,0)
  ),
"")</f>
        <v>2</v>
      </c>
      <c r="P966" t="str" cm="1">
        <f t="array" ref="P966">IF(K966=3,"",
  IFERROR(
    INDEX('Fairway Log'!$E$2:$V$73,
      MATCH(1,
        ('Fairway Log'!$A$2:$A$73=$A966)*
        ('Fairway Log'!$B$2:$B$73=$B966)*
        ('Fairway Log'!$C$2:$C1037=$C966),
      0),
      MATCH($G966,'Fairway Log'!$E$1:$V$1,0)
    ),
  "")
)</f>
        <v>←</v>
      </c>
      <c r="Q966" t="str" cm="1">
        <f t="array" ref="Q966">IFERROR(
  INDEX('GIR Log'!$E$2:$V$73,
    MATCH(1,
      ('GIR Log'!$A$2:$A$73=$A966)*
      ('GIR Log'!$B$2:$B$73=$B966)*
      ('GIR Log'!$C$2:$C$73=$C966),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Log'!$E$2:$V$73,
    MATCH(1,
      ('Golf Log'!$A$2:$A$73=$A967)*
      ('Golf Log'!$B$2:$B$73=$B967)*
      ('Golf Log'!$C$2:$C$73=$C967),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Log'!$E$2:$V$73,
    MATCH(1,
      ('Putt Log'!$A$2:$A$73=$A967)*
      ('Putt Log'!$B$2:$B$73=$B967)*
      ('Putt Log'!$C$2:$C$73=$C967),
    0),
    MATCH($G967,'Putt Log'!$E$1:$V$1,0)
  ),
"")</f>
        <v>2</v>
      </c>
      <c r="P967" t="str" cm="1">
        <f t="array" ref="P967">IF(K967=3,"",
  IFERROR(
    INDEX('Fairway Log'!$E$2:$V$73,
      MATCH(1,
        ('Fairway Log'!$A$2:$A$73=$A967)*
        ('Fairway Log'!$B$2:$B$73=$B967)*
        ('Fairway Log'!$C$2:$C1038=$C967),
      0),
      MATCH($G967,'Fairway Log'!$E$1:$V$1,0)
    ),
  "")
)</f>
        <v>↑</v>
      </c>
      <c r="Q967" cm="1">
        <f t="array" ref="Q967">IFERROR(
  INDEX('GIR Log'!$E$2:$V$73,
    MATCH(1,
      ('GIR Log'!$A$2:$A$73=$A967)*
      ('GIR Log'!$B$2:$B$73=$B967)*
      ('GIR Log'!$C$2:$C$73=$C967),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Log'!$E$2:$V$73,
    MATCH(1,
      ('Golf Log'!$A$2:$A$73=$A968)*
      ('Golf Log'!$B$2:$B$73=$B968)*
      ('Golf Log'!$C$2:$C$73=$C968),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Log'!$E$2:$V$73,
    MATCH(1,
      ('Putt Log'!$A$2:$A$73=$A968)*
      ('Putt Log'!$B$2:$B$73=$B968)*
      ('Putt Log'!$C$2:$C$73=$C968),
    0),
    MATCH($G968,'Putt Log'!$E$1:$V$1,0)
  ),
"")</f>
        <v>2</v>
      </c>
      <c r="P968" t="str" cm="1">
        <f t="array" ref="P968">IF(K968=3,"",
  IFERROR(
    INDEX('Fairway Log'!$E$2:$V$73,
      MATCH(1,
        ('Fairway Log'!$A$2:$A$73=$A968)*
        ('Fairway Log'!$B$2:$B$73=$B968)*
        ('Fairway Log'!$C$2:$C1039=$C968),
      0),
      MATCH($G968,'Fairway Log'!$E$1:$V$1,0)
    ),
  "")
)</f>
        <v>↑</v>
      </c>
      <c r="Q968" cm="1">
        <f t="array" ref="Q968">IFERROR(
  INDEX('GIR Log'!$E$2:$V$73,
    MATCH(1,
      ('GIR Log'!$A$2:$A$73=$A968)*
      ('GIR Log'!$B$2:$B$73=$B968)*
      ('GIR Log'!$C$2:$C$73=$C968),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Log'!$E$2:$V$73,
    MATCH(1,
      ('Golf Log'!$A$2:$A$73=$A969)*
      ('Golf Log'!$B$2:$B$73=$B969)*
      ('Golf Log'!$C$2:$C$73=$C969),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Log'!$E$2:$V$73,
    MATCH(1,
      ('Putt Log'!$A$2:$A$73=$A969)*
      ('Putt Log'!$B$2:$B$73=$B969)*
      ('Putt Log'!$C$2:$C$73=$C969),
    0),
    MATCH($G969,'Putt Log'!$E$1:$V$1,0)
  ),
"")</f>
        <v>1</v>
      </c>
      <c r="P969" t="str" cm="1">
        <f t="array" ref="P969">IF(K969=3,"",
  IFERROR(
    INDEX('Fairway Log'!$E$2:$V$73,
      MATCH(1,
        ('Fairway Log'!$A$2:$A$73=$A969)*
        ('Fairway Log'!$B$2:$B$73=$B969)*
        ('Fairway Log'!$C$2:$C1040=$C969),
      0),
      MATCH($G969,'Fairway Log'!$E$1:$V$1,0)
    ),
  "")
)</f>
        <v/>
      </c>
      <c r="Q969" t="str" cm="1">
        <f t="array" ref="Q969">IFERROR(
  INDEX('GIR Log'!$E$2:$V$73,
    MATCH(1,
      ('GIR Log'!$A$2:$A$73=$A969)*
      ('GIR Log'!$B$2:$B$73=$B969)*
      ('GIR Log'!$C$2:$C$73=$C969),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Log'!$E$2:$V$73,
    MATCH(1,
      ('Golf Log'!$A$2:$A$73=$A970)*
      ('Golf Log'!$B$2:$B$73=$B970)*
      ('Golf Log'!$C$2:$C$73=$C970),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Log'!$E$2:$V$73,
    MATCH(1,
      ('Putt Log'!$A$2:$A$73=$A970)*
      ('Putt Log'!$B$2:$B$73=$B970)*
      ('Putt Log'!$C$2:$C$73=$C970),
    0),
    MATCH($G970,'Putt Log'!$E$1:$V$1,0)
  ),
"")</f>
        <v>2</v>
      </c>
      <c r="P970" t="str" cm="1">
        <f t="array" ref="P970">IF(K970=3,"",
  IFERROR(
    INDEX('Fairway Log'!$E$2:$V$73,
      MATCH(1,
        ('Fairway Log'!$A$2:$A$73=$A970)*
        ('Fairway Log'!$B$2:$B$73=$B970)*
        ('Fairway Log'!$C$2:$C1041=$C970),
      0),
      MATCH($G970,'Fairway Log'!$E$1:$V$1,0)
    ),
  "")
)</f>
        <v>←</v>
      </c>
      <c r="Q970" cm="1">
        <f t="array" ref="Q970">IFERROR(
  INDEX('GIR Log'!$E$2:$V$73,
    MATCH(1,
      ('GIR Log'!$A$2:$A$73=$A970)*
      ('GIR Log'!$B$2:$B$73=$B970)*
      ('GIR Log'!$C$2:$C$73=$C970),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Log'!$E$2:$V$73,
    MATCH(1,
      ('Golf Log'!$A$2:$A$73=$A971)*
      ('Golf Log'!$B$2:$B$73=$B971)*
      ('Golf Log'!$C$2:$C$73=$C971),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Log'!$E$2:$V$73,
    MATCH(1,
      ('Putt Log'!$A$2:$A$73=$A971)*
      ('Putt Log'!$B$2:$B$73=$B971)*
      ('Putt Log'!$C$2:$C$73=$C971),
    0),
    MATCH($G971,'Putt Log'!$E$1:$V$1,0)
  ),
"")</f>
        <v>2</v>
      </c>
      <c r="P971" cm="1">
        <f t="array" ref="P971">IF(K971=3,"",
  IFERROR(
    INDEX('Fairway Log'!$E$2:$V$73,
      MATCH(1,
        ('Fairway Log'!$A$2:$A$73=$A971)*
        ('Fairway Log'!$B$2:$B$73=$B971)*
        ('Fairway Log'!$C$2:$C1042=$C971),
      0),
      MATCH($G971,'Fairway Log'!$E$1:$V$1,0)
    ),
  "")
)</f>
        <v>1</v>
      </c>
      <c r="Q971" cm="1">
        <f t="array" ref="Q971">IFERROR(
  INDEX('GIR Log'!$E$2:$V$73,
    MATCH(1,
      ('GIR Log'!$A$2:$A$73=$A971)*
      ('GIR Log'!$B$2:$B$73=$B971)*
      ('GIR Log'!$C$2:$C$73=$C971),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Log'!$E$2:$V$73,
    MATCH(1,
      ('Golf Log'!$A$2:$A$73=$A972)*
      ('Golf Log'!$B$2:$B$73=$B972)*
      ('Golf Log'!$C$2:$C$73=$C972),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Log'!$E$2:$V$73,
    MATCH(1,
      ('Putt Log'!$A$2:$A$73=$A972)*
      ('Putt Log'!$B$2:$B$73=$B972)*
      ('Putt Log'!$C$2:$C$73=$C972),
    0),
    MATCH($G972,'Putt Log'!$E$1:$V$1,0)
  ),
"")</f>
        <v>2</v>
      </c>
      <c r="P972" t="str" cm="1">
        <f t="array" ref="P972">IF(K972=3,"",
  IFERROR(
    INDEX('Fairway Log'!$E$2:$V$73,
      MATCH(1,
        ('Fairway Log'!$A$2:$A$73=$A972)*
        ('Fairway Log'!$B$2:$B$73=$B972)*
        ('Fairway Log'!$C$2:$C1043=$C972),
      0),
      MATCH($G972,'Fairway Log'!$E$1:$V$1,0)
    ),
  "")
)</f>
        <v>←</v>
      </c>
      <c r="Q972" cm="1">
        <f t="array" ref="Q972">IFERROR(
  INDEX('GIR Log'!$E$2:$V$73,
    MATCH(1,
      ('GIR Log'!$A$2:$A$73=$A972)*
      ('GIR Log'!$B$2:$B$73=$B972)*
      ('GIR Log'!$C$2:$C$73=$C972),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Log'!$E$2:$V$73,
    MATCH(1,
      ('Golf Log'!$A$2:$A$73=$A973)*
      ('Golf Log'!$B$2:$B$73=$B973)*
      ('Golf Log'!$C$2:$C$73=$C973),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Log'!$E$2:$V$73,
    MATCH(1,
      ('Putt Log'!$A$2:$A$73=$A973)*
      ('Putt Log'!$B$2:$B$73=$B973)*
      ('Putt Log'!$C$2:$C$73=$C973),
    0),
    MATCH($G973,'Putt Log'!$E$1:$V$1,0)
  ),
"")</f>
        <v>2</v>
      </c>
      <c r="P973" t="str" cm="1">
        <f t="array" ref="P973">IF(K973=3,"",
  IFERROR(
    INDEX('Fairway Log'!$E$2:$V$73,
      MATCH(1,
        ('Fairway Log'!$A$2:$A$73=$A973)*
        ('Fairway Log'!$B$2:$B$73=$B973)*
        ('Fairway Log'!$C$2:$C1044=$C973),
      0),
      MATCH($G973,'Fairway Log'!$E$1:$V$1,0)
    ),
  "")
)</f>
        <v>←</v>
      </c>
      <c r="Q973" t="str" cm="1">
        <f t="array" ref="Q973">IFERROR(
  INDEX('GIR Log'!$E$2:$V$73,
    MATCH(1,
      ('GIR Log'!$A$2:$A$73=$A973)*
      ('GIR Log'!$B$2:$B$73=$B973)*
      ('GIR Log'!$C$2:$C$73=$C973),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Log'!$E$2:$V$73,
    MATCH(1,
      ('Golf Log'!$A$2:$A$73=$A974)*
      ('Golf Log'!$B$2:$B$73=$B974)*
      ('Golf Log'!$C$2:$C$73=$C974),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Log'!$E$2:$V$73,
    MATCH(1,
      ('Putt Log'!$A$2:$A$73=$A974)*
      ('Putt Log'!$B$2:$B$73=$B974)*
      ('Putt Log'!$C$2:$C$73=$C974),
    0),
    MATCH($G974,'Putt Log'!$E$1:$V$1,0)
  ),
"")</f>
        <v>2</v>
      </c>
      <c r="P974" cm="1">
        <f t="array" ref="P974">IF(K974=3,"",
  IFERROR(
    INDEX('Fairway Log'!$E$2:$V$73,
      MATCH(1,
        ('Fairway Log'!$A$2:$A$73=$A974)*
        ('Fairway Log'!$B$2:$B$73=$B974)*
        ('Fairway Log'!$C$2:$C1045=$C974),
      0),
      MATCH($G974,'Fairway Log'!$E$1:$V$1,0)
    ),
  "")
)</f>
        <v>1</v>
      </c>
      <c r="Q974" cm="1">
        <f t="array" ref="Q974">IFERROR(
  INDEX('GIR Log'!$E$2:$V$73,
    MATCH(1,
      ('GIR Log'!$A$2:$A$73=$A974)*
      ('GIR Log'!$B$2:$B$73=$B974)*
      ('GIR Log'!$C$2:$C$73=$C974),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Log'!$E$2:$V$73,
    MATCH(1,
      ('Golf Log'!$A$2:$A$73=$A975)*
      ('Golf Log'!$B$2:$B$73=$B975)*
      ('Golf Log'!$C$2:$C$73=$C975),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Log'!$E$2:$V$73,
    MATCH(1,
      ('Putt Log'!$A$2:$A$73=$A975)*
      ('Putt Log'!$B$2:$B$73=$B975)*
      ('Putt Log'!$C$2:$C$73=$C975),
    0),
    MATCH($G975,'Putt Log'!$E$1:$V$1,0)
  ),
"")</f>
        <v>2</v>
      </c>
      <c r="P975" t="str" cm="1">
        <f t="array" ref="P975">IF(K975=3,"",
  IFERROR(
    INDEX('Fairway Log'!$E$2:$V$73,
      MATCH(1,
        ('Fairway Log'!$A$2:$A$73=$A975)*
        ('Fairway Log'!$B$2:$B$73=$B975)*
        ('Fairway Log'!$C$2:$C1046=$C975),
      0),
      MATCH($G975,'Fairway Log'!$E$1:$V$1,0)
    ),
  "")
)</f>
        <v>↓</v>
      </c>
      <c r="Q975" t="str" cm="1">
        <f t="array" ref="Q975">IFERROR(
  INDEX('GIR Log'!$E$2:$V$73,
    MATCH(1,
      ('GIR Log'!$A$2:$A$73=$A975)*
      ('GIR Log'!$B$2:$B$73=$B975)*
      ('GIR Log'!$C$2:$C$73=$C975),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Log'!$E$2:$V$73,
    MATCH(1,
      ('Golf Log'!$A$2:$A$73=$A976)*
      ('Golf Log'!$B$2:$B$73=$B976)*
      ('Golf Log'!$C$2:$C$73=$C976),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Log'!$E$2:$V$73,
    MATCH(1,
      ('Putt Log'!$A$2:$A$73=$A976)*
      ('Putt Log'!$B$2:$B$73=$B976)*
      ('Putt Log'!$C$2:$C$73=$C976),
    0),
    MATCH($G976,'Putt Log'!$E$1:$V$1,0)
  ),
"")</f>
        <v>2</v>
      </c>
      <c r="P976" t="str" cm="1">
        <f t="array" ref="P976">IF(K976=3,"",
  IFERROR(
    INDEX('Fairway Log'!$E$2:$V$73,
      MATCH(1,
        ('Fairway Log'!$A$2:$A$73=$A976)*
        ('Fairway Log'!$B$2:$B$73=$B976)*
        ('Fairway Log'!$C$2:$C1047=$C976),
      0),
      MATCH($G976,'Fairway Log'!$E$1:$V$1,0)
    ),
  "")
)</f>
        <v/>
      </c>
      <c r="Q976" t="str" cm="1">
        <f t="array" ref="Q976">IFERROR(
  INDEX('GIR Log'!$E$2:$V$73,
    MATCH(1,
      ('GIR Log'!$A$2:$A$73=$A976)*
      ('GIR Log'!$B$2:$B$73=$B976)*
      ('GIR Log'!$C$2:$C$73=$C976),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Log'!$E$2:$V$73,
    MATCH(1,
      ('Golf Log'!$A$2:$A$73=$A977)*
      ('Golf Log'!$B$2:$B$73=$B977)*
      ('Golf Log'!$C$2:$C$73=$C977),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Log'!$E$2:$V$73,
    MATCH(1,
      ('Putt Log'!$A$2:$A$73=$A977)*
      ('Putt Log'!$B$2:$B$73=$B977)*
      ('Putt Log'!$C$2:$C$73=$C977),
    0),
    MATCH($G977,'Putt Log'!$E$1:$V$1,0)
  ),
"")</f>
        <v>2</v>
      </c>
      <c r="P977" cm="1">
        <f t="array" ref="P977">IF(K977=3,"",
  IFERROR(
    INDEX('Fairway Log'!$E$2:$V$73,
      MATCH(1,
        ('Fairway Log'!$A$2:$A$73=$A977)*
        ('Fairway Log'!$B$2:$B$73=$B977)*
        ('Fairway Log'!$C$2:$C1048=$C977),
      0),
      MATCH($G977,'Fairway Log'!$E$1:$V$1,0)
    ),
  "")
)</f>
        <v>1</v>
      </c>
      <c r="Q977" t="str" cm="1">
        <f t="array" ref="Q977">IFERROR(
  INDEX('GIR Log'!$E$2:$V$73,
    MATCH(1,
      ('GIR Log'!$A$2:$A$73=$A977)*
      ('GIR Log'!$B$2:$B$73=$B977)*
      ('GIR Log'!$C$2:$C$73=$C977),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Log'!$E$2:$V$73,
    MATCH(1,
      ('Golf Log'!$A$2:$A$73=$A978)*
      ('Golf Log'!$B$2:$B$73=$B978)*
      ('Golf Log'!$C$2:$C$73=$C978),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Log'!$E$2:$V$73,
    MATCH(1,
      ('Putt Log'!$A$2:$A$73=$A978)*
      ('Putt Log'!$B$2:$B$73=$B978)*
      ('Putt Log'!$C$2:$C$73=$C978),
    0),
    MATCH($G978,'Putt Log'!$E$1:$V$1,0)
  ),
"")</f>
        <v>2</v>
      </c>
      <c r="P978" t="str" cm="1">
        <f t="array" ref="P978">IF(K978=3,"",
  IFERROR(
    INDEX('Fairway Log'!$E$2:$V$73,
      MATCH(1,
        ('Fairway Log'!$A$2:$A$73=$A978)*
        ('Fairway Log'!$B$2:$B$73=$B978)*
        ('Fairway Log'!$C$2:$C1049=$C978),
      0),
      MATCH($G978,'Fairway Log'!$E$1:$V$1,0)
    ),
  "")
)</f>
        <v>↓</v>
      </c>
      <c r="Q978" t="str" cm="1">
        <f t="array" ref="Q978">IFERROR(
  INDEX('GIR Log'!$E$2:$V$73,
    MATCH(1,
      ('GIR Log'!$A$2:$A$73=$A978)*
      ('GIR Log'!$B$2:$B$73=$B978)*
      ('GIR Log'!$C$2:$C$73=$C978),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Log'!$E$2:$V$73,
    MATCH(1,
      ('Golf Log'!$A$2:$A$73=$A979)*
      ('Golf Log'!$B$2:$B$73=$B979)*
      ('Golf Log'!$C$2:$C$73=$C979),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Log'!$E$2:$V$73,
    MATCH(1,
      ('Putt Log'!$A$2:$A$73=$A979)*
      ('Putt Log'!$B$2:$B$73=$B979)*
      ('Putt Log'!$C$2:$C$73=$C979),
    0),
    MATCH($G979,'Putt Log'!$E$1:$V$1,0)
  ),
"")</f>
        <v>2</v>
      </c>
      <c r="P979" t="str" cm="1">
        <f t="array" ref="P979">IF(K979=3,"",
  IFERROR(
    INDEX('Fairway Log'!$E$2:$V$73,
      MATCH(1,
        ('Fairway Log'!$A$2:$A$73=$A979)*
        ('Fairway Log'!$B$2:$B$73=$B979)*
        ('Fairway Log'!$C$2:$C1050=$C979),
      0),
      MATCH($G979,'Fairway Log'!$E$1:$V$1,0)
    ),
  "")
)</f>
        <v/>
      </c>
      <c r="Q979" t="str" cm="1">
        <f t="array" ref="Q979">IFERROR(
  INDEX('GIR Log'!$E$2:$V$73,
    MATCH(1,
      ('GIR Log'!$A$2:$A$73=$A979)*
      ('GIR Log'!$B$2:$B$73=$B979)*
      ('GIR Log'!$C$2:$C$73=$C979),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Log'!$E$2:$V$73,
    MATCH(1,
      ('Golf Log'!$A$2:$A$73=$A980)*
      ('Golf Log'!$B$2:$B$73=$B980)*
      ('Golf Log'!$C$2:$C$73=$C980),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Log'!$E$2:$V$73,
    MATCH(1,
      ('Putt Log'!$A$2:$A$73=$A980)*
      ('Putt Log'!$B$2:$B$73=$B980)*
      ('Putt Log'!$C$2:$C$73=$C980),
    0),
    MATCH($G980,'Putt Log'!$E$1:$V$1,0)
  ),
"")</f>
        <v>2</v>
      </c>
      <c r="P980" t="str" cm="1">
        <f t="array" ref="P980">IF(K980=3,"",
  IFERROR(
    INDEX('Fairway Log'!$E$2:$V$73,
      MATCH(1,
        ('Fairway Log'!$A$2:$A$73=$A980)*
        ('Fairway Log'!$B$2:$B$73=$B980)*
        ('Fairway Log'!$C$2:$C1051=$C980),
      0),
      MATCH($G980,'Fairway Log'!$E$1:$V$1,0)
    ),
  "")
)</f>
        <v>→</v>
      </c>
      <c r="Q980" cm="1">
        <f t="array" ref="Q980">IFERROR(
  INDEX('GIR Log'!$E$2:$V$73,
    MATCH(1,
      ('GIR Log'!$A$2:$A$73=$A980)*
      ('GIR Log'!$B$2:$B$73=$B980)*
      ('GIR Log'!$C$2:$C$73=$C980),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Log'!$E$2:$V$73,
    MATCH(1,
      ('Golf Log'!$A$2:$A$73=$A981)*
      ('Golf Log'!$B$2:$B$73=$B981)*
      ('Golf Log'!$C$2:$C$73=$C981),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Log'!$E$2:$V$73,
    MATCH(1,
      ('Putt Log'!$A$2:$A$73=$A981)*
      ('Putt Log'!$B$2:$B$73=$B981)*
      ('Putt Log'!$C$2:$C$73=$C981),
    0),
    MATCH($G981,'Putt Log'!$E$1:$V$1,0)
  ),
"")</f>
        <v>1</v>
      </c>
      <c r="P981" t="str" cm="1">
        <f t="array" ref="P981">IF(K981=3,"",
  IFERROR(
    INDEX('Fairway Log'!$E$2:$V$73,
      MATCH(1,
        ('Fairway Log'!$A$2:$A$73=$A981)*
        ('Fairway Log'!$B$2:$B$73=$B981)*
        ('Fairway Log'!$C$2:$C1052=$C981),
      0),
      MATCH($G981,'Fairway Log'!$E$1:$V$1,0)
    ),
  "")
)</f>
        <v>←</v>
      </c>
      <c r="Q981" cm="1">
        <f t="array" ref="Q981">IFERROR(
  INDEX('GIR Log'!$E$2:$V$73,
    MATCH(1,
      ('GIR Log'!$A$2:$A$73=$A981)*
      ('GIR Log'!$B$2:$B$73=$B981)*
      ('GIR Log'!$C$2:$C$73=$C981),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Log'!$E$2:$V$73,
    MATCH(1,
      ('Golf Log'!$A$2:$A$73=$A982)*
      ('Golf Log'!$B$2:$B$73=$B982)*
      ('Golf Log'!$C$2:$C$73=$C982),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Log'!$E$2:$V$73,
    MATCH(1,
      ('Putt Log'!$A$2:$A$73=$A982)*
      ('Putt Log'!$B$2:$B$73=$B982)*
      ('Putt Log'!$C$2:$C$73=$C982),
    0),
    MATCH($G982,'Putt Log'!$E$1:$V$1,0)
  ),
"")</f>
        <v>2</v>
      </c>
      <c r="P982" t="str" cm="1">
        <f t="array" ref="P982">IF(K982=3,"",
  IFERROR(
    INDEX('Fairway Log'!$E$2:$V$73,
      MATCH(1,
        ('Fairway Log'!$A$2:$A$73=$A982)*
        ('Fairway Log'!$B$2:$B$73=$B982)*
        ('Fairway Log'!$C$2:$C1053=$C982),
      0),
      MATCH($G982,'Fairway Log'!$E$1:$V$1,0)
    ),
  "")
)</f>
        <v>←</v>
      </c>
      <c r="Q982" t="str" cm="1">
        <f t="array" ref="Q982">IFERROR(
  INDEX('GIR Log'!$E$2:$V$73,
    MATCH(1,
      ('GIR Log'!$A$2:$A$73=$A982)*
      ('GIR Log'!$B$2:$B$73=$B982)*
      ('GIR Log'!$C$2:$C$73=$C982),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Log'!$E$2:$V$73,
    MATCH(1,
      ('Golf Log'!$A$2:$A$73=$A983)*
      ('Golf Log'!$B$2:$B$73=$B983)*
      ('Golf Log'!$C$2:$C$73=$C983),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Log'!$E$2:$V$73,
    MATCH(1,
      ('Putt Log'!$A$2:$A$73=$A983)*
      ('Putt Log'!$B$2:$B$73=$B983)*
      ('Putt Log'!$C$2:$C$73=$C983),
    0),
    MATCH($G983,'Putt Log'!$E$1:$V$1,0)
  ),
"")</f>
        <v>2</v>
      </c>
      <c r="P983" t="str" cm="1">
        <f t="array" ref="P983">IF(K983=3,"",
  IFERROR(
    INDEX('Fairway Log'!$E$2:$V$73,
      MATCH(1,
        ('Fairway Log'!$A$2:$A$73=$A983)*
        ('Fairway Log'!$B$2:$B$73=$B983)*
        ('Fairway Log'!$C$2:$C1054=$C983),
      0),
      MATCH($G983,'Fairway Log'!$E$1:$V$1,0)
    ),
  "")
)</f>
        <v>←</v>
      </c>
      <c r="Q983" t="str" cm="1">
        <f t="array" ref="Q983">IFERROR(
  INDEX('GIR Log'!$E$2:$V$73,
    MATCH(1,
      ('GIR Log'!$A$2:$A$73=$A983)*
      ('GIR Log'!$B$2:$B$73=$B983)*
      ('GIR Log'!$C$2:$C$73=$C983),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Log'!$E$2:$V$73,
    MATCH(1,
      ('Golf Log'!$A$2:$A$73=$A984)*
      ('Golf Log'!$B$2:$B$73=$B984)*
      ('Golf Log'!$C$2:$C$73=$C984),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Log'!$E$2:$V$73,
    MATCH(1,
      ('Putt Log'!$A$2:$A$73=$A984)*
      ('Putt Log'!$B$2:$B$73=$B984)*
      ('Putt Log'!$C$2:$C$73=$C984),
    0),
    MATCH($G984,'Putt Log'!$E$1:$V$1,0)
  ),
"")</f>
        <v>2</v>
      </c>
      <c r="P984" t="str" cm="1">
        <f t="array" ref="P984">IF(K984=3,"",
  IFERROR(
    INDEX('Fairway Log'!$E$2:$V$73,
      MATCH(1,
        ('Fairway Log'!$A$2:$A$73=$A984)*
        ('Fairway Log'!$B$2:$B$73=$B984)*
        ('Fairway Log'!$C$2:$C1055=$C984),
      0),
      MATCH($G984,'Fairway Log'!$E$1:$V$1,0)
    ),
  "")
)</f>
        <v/>
      </c>
      <c r="Q984" cm="1">
        <f t="array" ref="Q984">IFERROR(
  INDEX('GIR Log'!$E$2:$V$73,
    MATCH(1,
      ('GIR Log'!$A$2:$A$73=$A984)*
      ('GIR Log'!$B$2:$B$73=$B984)*
      ('GIR Log'!$C$2:$C$73=$C984),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Log'!$E$2:$V$73,
    MATCH(1,
      ('Golf Log'!$A$2:$A$73=$A985)*
      ('Golf Log'!$B$2:$B$73=$B985)*
      ('Golf Log'!$C$2:$C$73=$C985),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Log'!$E$2:$V$73,
    MATCH(1,
      ('Putt Log'!$A$2:$A$73=$A985)*
      ('Putt Log'!$B$2:$B$73=$B985)*
      ('Putt Log'!$C$2:$C$73=$C985),
    0),
    MATCH($G985,'Putt Log'!$E$1:$V$1,0)
  ),
"")</f>
        <v>2</v>
      </c>
      <c r="P985" cm="1">
        <f t="array" ref="P985">IF(K985=3,"",
  IFERROR(
    INDEX('Fairway Log'!$E$2:$V$73,
      MATCH(1,
        ('Fairway Log'!$A$2:$A$73=$A985)*
        ('Fairway Log'!$B$2:$B$73=$B985)*
        ('Fairway Log'!$C$2:$C1056=$C985),
      0),
      MATCH($G985,'Fairway Log'!$E$1:$V$1,0)
    ),
  "")
)</f>
        <v>1</v>
      </c>
      <c r="Q985" cm="1">
        <f t="array" ref="Q985">IFERROR(
  INDEX('GIR Log'!$E$2:$V$73,
    MATCH(1,
      ('GIR Log'!$A$2:$A$73=$A985)*
      ('GIR Log'!$B$2:$B$73=$B985)*
      ('GIR Log'!$C$2:$C$73=$C985),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Log'!$E$2:$V$73,
    MATCH(1,
      ('Golf Log'!$A$2:$A$73=$A986)*
      ('Golf Log'!$B$2:$B$73=$B986)*
      ('Golf Log'!$C$2:$C$73=$C986),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Log'!$E$2:$V$73,
    MATCH(1,
      ('Putt Log'!$A$2:$A$73=$A986)*
      ('Putt Log'!$B$2:$B$73=$B986)*
      ('Putt Log'!$C$2:$C$73=$C986),
    0),
    MATCH($G986,'Putt Log'!$E$1:$V$1,0)
  ),
"")</f>
        <v>2</v>
      </c>
      <c r="P986" cm="1">
        <f t="array" ref="P986">IF(K986=3,"",
  IFERROR(
    INDEX('Fairway Log'!$E$2:$V$73,
      MATCH(1,
        ('Fairway Log'!$A$2:$A$73=$A986)*
        ('Fairway Log'!$B$2:$B$73=$B986)*
        ('Fairway Log'!$C$2:$C1057=$C986),
      0),
      MATCH($G986,'Fairway Log'!$E$1:$V$1,0)
    ),
  "")
)</f>
        <v>1</v>
      </c>
      <c r="Q986" cm="1">
        <f t="array" ref="Q986">IFERROR(
  INDEX('GIR Log'!$E$2:$V$73,
    MATCH(1,
      ('GIR Log'!$A$2:$A$73=$A986)*
      ('GIR Log'!$B$2:$B$73=$B986)*
      ('GIR Log'!$C$2:$C$73=$C986),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Log'!$E$2:$V$73,
    MATCH(1,
      ('Golf Log'!$A$2:$A$73=$A987)*
      ('Golf Log'!$B$2:$B$73=$B987)*
      ('Golf Log'!$C$2:$C$73=$C987),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Log'!$E$2:$V$73,
    MATCH(1,
      ('Putt Log'!$A$2:$A$73=$A987)*
      ('Putt Log'!$B$2:$B$73=$B987)*
      ('Putt Log'!$C$2:$C$73=$C987),
    0),
    MATCH($G987,'Putt Log'!$E$1:$V$1,0)
  ),
"")</f>
        <v>2</v>
      </c>
      <c r="P987" t="str" cm="1">
        <f t="array" ref="P987">IF(K987=3,"",
  IFERROR(
    INDEX('Fairway Log'!$E$2:$V$73,
      MATCH(1,
        ('Fairway Log'!$A$2:$A$73=$A987)*
        ('Fairway Log'!$B$2:$B$73=$B987)*
        ('Fairway Log'!$C$2:$C1058=$C987),
      0),
      MATCH($G987,'Fairway Log'!$E$1:$V$1,0)
    ),
  "")
)</f>
        <v>←</v>
      </c>
      <c r="Q987" cm="1">
        <f t="array" ref="Q987">IFERROR(
  INDEX('GIR Log'!$E$2:$V$73,
    MATCH(1,
      ('GIR Log'!$A$2:$A$73=$A987)*
      ('GIR Log'!$B$2:$B$73=$B987)*
      ('GIR Log'!$C$2:$C$73=$C987),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Log'!$E$2:$V$73,
    MATCH(1,
      ('Golf Log'!$A$2:$A$73=$A988)*
      ('Golf Log'!$B$2:$B$73=$B988)*
      ('Golf Log'!$C$2:$C$73=$C988),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Log'!$E$2:$V$73,
    MATCH(1,
      ('Putt Log'!$A$2:$A$73=$A988)*
      ('Putt Log'!$B$2:$B$73=$B988)*
      ('Putt Log'!$C$2:$C$73=$C988),
    0),
    MATCH($G988,'Putt Log'!$E$1:$V$1,0)
  ),
"")</f>
        <v>2</v>
      </c>
      <c r="P988" t="str" cm="1">
        <f t="array" ref="P988">IF(K988=3,"",
  IFERROR(
    INDEX('Fairway Log'!$E$2:$V$73,
      MATCH(1,
        ('Fairway Log'!$A$2:$A$73=$A988)*
        ('Fairway Log'!$B$2:$B$73=$B988)*
        ('Fairway Log'!$C$2:$C1059=$C988),
      0),
      MATCH($G988,'Fairway Log'!$E$1:$V$1,0)
    ),
  "")
)</f>
        <v/>
      </c>
      <c r="Q988" t="str" cm="1">
        <f t="array" ref="Q988">IFERROR(
  INDEX('GIR Log'!$E$2:$V$73,
    MATCH(1,
      ('GIR Log'!$A$2:$A$73=$A988)*
      ('GIR Log'!$B$2:$B$73=$B988)*
      ('GIR Log'!$C$2:$C$73=$C988),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Log'!$E$2:$V$73,
    MATCH(1,
      ('Golf Log'!$A$2:$A$73=$A989)*
      ('Golf Log'!$B$2:$B$73=$B989)*
      ('Golf Log'!$C$2:$C$73=$C989),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Log'!$E$2:$V$73,
    MATCH(1,
      ('Putt Log'!$A$2:$A$73=$A989)*
      ('Putt Log'!$B$2:$B$73=$B989)*
      ('Putt Log'!$C$2:$C$73=$C989),
    0),
    MATCH($G989,'Putt Log'!$E$1:$V$1,0)
  ),
"")</f>
        <v>1</v>
      </c>
      <c r="P989" cm="1">
        <f t="array" ref="P989">IF(K989=3,"",
  IFERROR(
    INDEX('Fairway Log'!$E$2:$V$73,
      MATCH(1,
        ('Fairway Log'!$A$2:$A$73=$A989)*
        ('Fairway Log'!$B$2:$B$73=$B989)*
        ('Fairway Log'!$C$2:$C1060=$C989),
      0),
      MATCH($G989,'Fairway Log'!$E$1:$V$1,0)
    ),
  "")
)</f>
        <v>1</v>
      </c>
      <c r="Q989" t="str" cm="1">
        <f t="array" ref="Q989">IFERROR(
  INDEX('GIR Log'!$E$2:$V$73,
    MATCH(1,
      ('GIR Log'!$A$2:$A$73=$A989)*
      ('GIR Log'!$B$2:$B$73=$B989)*
      ('GIR Log'!$C$2:$C$73=$C989),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Log'!$E$2:$V$73,
    MATCH(1,
      ('Golf Log'!$A$2:$A$73=$A990)*
      ('Golf Log'!$B$2:$B$73=$B990)*
      ('Golf Log'!$C$2:$C$73=$C990),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Log'!$E$2:$V$73,
    MATCH(1,
      ('Putt Log'!$A$2:$A$73=$A990)*
      ('Putt Log'!$B$2:$B$73=$B990)*
      ('Putt Log'!$C$2:$C$73=$C990),
    0),
    MATCH($G990,'Putt Log'!$E$1:$V$1,0)
  ),
"")</f>
        <v>3</v>
      </c>
      <c r="P990" t="str" cm="1">
        <f t="array" ref="P990">IF(K990=3,"",
  IFERROR(
    INDEX('Fairway Log'!$E$2:$V$73,
      MATCH(1,
        ('Fairway Log'!$A$2:$A$73=$A990)*
        ('Fairway Log'!$B$2:$B$73=$B990)*
        ('Fairway Log'!$C$2:$C1061=$C990),
      0),
      MATCH($G990,'Fairway Log'!$E$1:$V$1,0)
    ),
  "")
)</f>
        <v>↓</v>
      </c>
      <c r="Q990" t="str" cm="1">
        <f t="array" ref="Q990">IFERROR(
  INDEX('GIR Log'!$E$2:$V$73,
    MATCH(1,
      ('GIR Log'!$A$2:$A$73=$A990)*
      ('GIR Log'!$B$2:$B$73=$B990)*
      ('GIR Log'!$C$2:$C$73=$C990),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Log'!$E$2:$V$73,
    MATCH(1,
      ('Golf Log'!$A$2:$A$73=$A991)*
      ('Golf Log'!$B$2:$B$73=$B991)*
      ('Golf Log'!$C$2:$C$73=$C991),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Log'!$E$2:$V$73,
    MATCH(1,
      ('Putt Log'!$A$2:$A$73=$A991)*
      ('Putt Log'!$B$2:$B$73=$B991)*
      ('Putt Log'!$C$2:$C$73=$C991),
    0),
    MATCH($G991,'Putt Log'!$E$1:$V$1,0)
  ),
"")</f>
        <v>2</v>
      </c>
      <c r="P991" cm="1">
        <f t="array" ref="P991">IF(K991=3,"",
  IFERROR(
    INDEX('Fairway Log'!$E$2:$V$73,
      MATCH(1,
        ('Fairway Log'!$A$2:$A$73=$A991)*
        ('Fairway Log'!$B$2:$B$73=$B991)*
        ('Fairway Log'!$C$2:$C1062=$C991),
      0),
      MATCH($G991,'Fairway Log'!$E$1:$V$1,0)
    ),
  "")
)</f>
        <v>1</v>
      </c>
      <c r="Q991" cm="1">
        <f t="array" ref="Q991">IFERROR(
  INDEX('GIR Log'!$E$2:$V$73,
    MATCH(1,
      ('GIR Log'!$A$2:$A$73=$A991)*
      ('GIR Log'!$B$2:$B$73=$B991)*
      ('GIR Log'!$C$2:$C$73=$C991),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Log'!$E$2:$V$73,
    MATCH(1,
      ('Golf Log'!$A$2:$A$73=$A992)*
      ('Golf Log'!$B$2:$B$73=$B992)*
      ('Golf Log'!$C$2:$C$73=$C992),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Log'!$E$2:$V$73,
    MATCH(1,
      ('Putt Log'!$A$2:$A$73=$A992)*
      ('Putt Log'!$B$2:$B$73=$B992)*
      ('Putt Log'!$C$2:$C$73=$C992),
    0),
    MATCH($G992,'Putt Log'!$E$1:$V$1,0)
  ),
"")</f>
        <v>2</v>
      </c>
      <c r="P992" cm="1">
        <f t="array" ref="P992">IF(K992=3,"",
  IFERROR(
    INDEX('Fairway Log'!$E$2:$V$73,
      MATCH(1,
        ('Fairway Log'!$A$2:$A$73=$A992)*
        ('Fairway Log'!$B$2:$B$73=$B992)*
        ('Fairway Log'!$C$2:$C1063=$C992),
      0),
      MATCH($G992,'Fairway Log'!$E$1:$V$1,0)
    ),
  "")
)</f>
        <v>1</v>
      </c>
      <c r="Q992" cm="1">
        <f t="array" ref="Q992">IFERROR(
  INDEX('GIR Log'!$E$2:$V$73,
    MATCH(1,
      ('GIR Log'!$A$2:$A$73=$A992)*
      ('GIR Log'!$B$2:$B$73=$B992)*
      ('GIR Log'!$C$2:$C$73=$C992),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Log'!$E$2:$V$73,
    MATCH(1,
      ('Golf Log'!$A$2:$A$73=$A993)*
      ('Golf Log'!$B$2:$B$73=$B993)*
      ('Golf Log'!$C$2:$C$73=$C993),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Log'!$E$2:$V$73,
    MATCH(1,
      ('Putt Log'!$A$2:$A$73=$A993)*
      ('Putt Log'!$B$2:$B$73=$B993)*
      ('Putt Log'!$C$2:$C$73=$C993),
    0),
    MATCH($G993,'Putt Log'!$E$1:$V$1,0)
  ),
"")</f>
        <v>2</v>
      </c>
      <c r="P993" t="str" cm="1">
        <f t="array" ref="P993">IF(K993=3,"",
  IFERROR(
    INDEX('Fairway Log'!$E$2:$V$73,
      MATCH(1,
        ('Fairway Log'!$A$2:$A$73=$A993)*
        ('Fairway Log'!$B$2:$B$73=$B993)*
        ('Fairway Log'!$C$2:$C1064=$C993),
      0),
      MATCH($G993,'Fairway Log'!$E$1:$V$1,0)
    ),
  "")
)</f>
        <v>←</v>
      </c>
      <c r="Q993" t="str" cm="1">
        <f t="array" ref="Q993">IFERROR(
  INDEX('GIR Log'!$E$2:$V$73,
    MATCH(1,
      ('GIR Log'!$A$2:$A$73=$A993)*
      ('GIR Log'!$B$2:$B$73=$B993)*
      ('GIR Log'!$C$2:$C$73=$C993),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Log'!$E$2:$V$73,
    MATCH(1,
      ('Golf Log'!$A$2:$A$73=$A994)*
      ('Golf Log'!$B$2:$B$73=$B994)*
      ('Golf Log'!$C$2:$C$73=$C994),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Log'!$E$2:$V$73,
    MATCH(1,
      ('Putt Log'!$A$2:$A$73=$A994)*
      ('Putt Log'!$B$2:$B$73=$B994)*
      ('Putt Log'!$C$2:$C$73=$C994),
    0),
    MATCH($G994,'Putt Log'!$E$1:$V$1,0)
  ),
"")</f>
        <v>2</v>
      </c>
      <c r="P994" t="str" cm="1">
        <f t="array" ref="P994">IF(K994=3,"",
  IFERROR(
    INDEX('Fairway Log'!$E$2:$V$73,
      MATCH(1,
        ('Fairway Log'!$A$2:$A$73=$A994)*
        ('Fairway Log'!$B$2:$B$73=$B994)*
        ('Fairway Log'!$C$2:$C1065=$C994),
      0),
      MATCH($G994,'Fairway Log'!$E$1:$V$1,0)
    ),
  "")
)</f>
        <v/>
      </c>
      <c r="Q994" t="str" cm="1">
        <f t="array" ref="Q994">IFERROR(
  INDEX('GIR Log'!$E$2:$V$73,
    MATCH(1,
      ('GIR Log'!$A$2:$A$73=$A994)*
      ('GIR Log'!$B$2:$B$73=$B994)*
      ('GIR Log'!$C$2:$C$73=$C994),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Log'!$E$2:$V$73,
    MATCH(1,
      ('Golf Log'!$A$2:$A$73=$A995)*
      ('Golf Log'!$B$2:$B$73=$B995)*
      ('Golf Log'!$C$2:$C$73=$C995),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Log'!$E$2:$V$73,
    MATCH(1,
      ('Putt Log'!$A$2:$A$73=$A995)*
      ('Putt Log'!$B$2:$B$73=$B995)*
      ('Putt Log'!$C$2:$C$73=$C995),
    0),
    MATCH($G995,'Putt Log'!$E$1:$V$1,0)
  ),
"")</f>
        <v>2</v>
      </c>
      <c r="P995" t="str" cm="1">
        <f t="array" ref="P995">IF(K995=3,"",
  IFERROR(
    INDEX('Fairway Log'!$E$2:$V$73,
      MATCH(1,
        ('Fairway Log'!$A$2:$A$73=$A995)*
        ('Fairway Log'!$B$2:$B$73=$B995)*
        ('Fairway Log'!$C$2:$C1066=$C995),
      0),
      MATCH($G995,'Fairway Log'!$E$1:$V$1,0)
    ),
  "")
)</f>
        <v>←</v>
      </c>
      <c r="Q995" t="str" cm="1">
        <f t="array" ref="Q995">IFERROR(
  INDEX('GIR Log'!$E$2:$V$73,
    MATCH(1,
      ('GIR Log'!$A$2:$A$73=$A995)*
      ('GIR Log'!$B$2:$B$73=$B995)*
      ('GIR Log'!$C$2:$C$73=$C995),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Log'!$E$2:$V$73,
    MATCH(1,
      ('Golf Log'!$A$2:$A$73=$A996)*
      ('Golf Log'!$B$2:$B$73=$B996)*
      ('Golf Log'!$C$2:$C$73=$C996),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Log'!$E$2:$V$73,
    MATCH(1,
      ('Putt Log'!$A$2:$A$73=$A996)*
      ('Putt Log'!$B$2:$B$73=$B996)*
      ('Putt Log'!$C$2:$C$73=$C996),
    0),
    MATCH($G996,'Putt Log'!$E$1:$V$1,0)
  ),
"")</f>
        <v>2</v>
      </c>
      <c r="P996" cm="1">
        <f t="array" ref="P996">IF(K996=3,"",
  IFERROR(
    INDEX('Fairway Log'!$E$2:$V$73,
      MATCH(1,
        ('Fairway Log'!$A$2:$A$73=$A996)*
        ('Fairway Log'!$B$2:$B$73=$B996)*
        ('Fairway Log'!$C$2:$C1067=$C996),
      0),
      MATCH($G996,'Fairway Log'!$E$1:$V$1,0)
    ),
  "")
)</f>
        <v>1</v>
      </c>
      <c r="Q996" cm="1">
        <f t="array" ref="Q996">IFERROR(
  INDEX('GIR Log'!$E$2:$V$73,
    MATCH(1,
      ('GIR Log'!$A$2:$A$73=$A996)*
      ('GIR Log'!$B$2:$B$73=$B996)*
      ('GIR Log'!$C$2:$C$73=$C996),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Log'!$E$2:$V$73,
    MATCH(1,
      ('Golf Log'!$A$2:$A$73=$A997)*
      ('Golf Log'!$B$2:$B$73=$B997)*
      ('Golf Log'!$C$2:$C$73=$C997),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Log'!$E$2:$V$73,
    MATCH(1,
      ('Putt Log'!$A$2:$A$73=$A997)*
      ('Putt Log'!$B$2:$B$73=$B997)*
      ('Putt Log'!$C$2:$C$73=$C997),
    0),
    MATCH($G997,'Putt Log'!$E$1:$V$1,0)
  ),
"")</f>
        <v>1</v>
      </c>
      <c r="P997" t="str" cm="1">
        <f t="array" ref="P997">IF(K997=3,"",
  IFERROR(
    INDEX('Fairway Log'!$E$2:$V$73,
      MATCH(1,
        ('Fairway Log'!$A$2:$A$73=$A997)*
        ('Fairway Log'!$B$2:$B$73=$B997)*
        ('Fairway Log'!$C$2:$C1068=$C997),
      0),
      MATCH($G997,'Fairway Log'!$E$1:$V$1,0)
    ),
  "")
)</f>
        <v/>
      </c>
      <c r="Q997" t="str" cm="1">
        <f t="array" ref="Q997">IFERROR(
  INDEX('GIR Log'!$E$2:$V$73,
    MATCH(1,
      ('GIR Log'!$A$2:$A$73=$A997)*
      ('GIR Log'!$B$2:$B$73=$B997)*
      ('GIR Log'!$C$2:$C$73=$C997),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Log'!$E$2:$V$73,
    MATCH(1,
      ('Golf Log'!$A$2:$A$73=$A998)*
      ('Golf Log'!$B$2:$B$73=$B998)*
      ('Golf Log'!$C$2:$C$73=$C998),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Log'!$E$2:$V$73,
    MATCH(1,
      ('Putt Log'!$A$2:$A$73=$A998)*
      ('Putt Log'!$B$2:$B$73=$B998)*
      ('Putt Log'!$C$2:$C$73=$C998),
    0),
    MATCH($G998,'Putt Log'!$E$1:$V$1,0)
  ),
"")</f>
        <v>1</v>
      </c>
      <c r="P998" cm="1">
        <f t="array" ref="P998">IF(K998=3,"",
  IFERROR(
    INDEX('Fairway Log'!$E$2:$V$73,
      MATCH(1,
        ('Fairway Log'!$A$2:$A$73=$A998)*
        ('Fairway Log'!$B$2:$B$73=$B998)*
        ('Fairway Log'!$C$2:$C1069=$C998),
      0),
      MATCH($G998,'Fairway Log'!$E$1:$V$1,0)
    ),
  "")
)</f>
        <v>1</v>
      </c>
      <c r="Q998" t="str" cm="1">
        <f t="array" ref="Q998">IFERROR(
  INDEX('GIR Log'!$E$2:$V$73,
    MATCH(1,
      ('GIR Log'!$A$2:$A$73=$A998)*
      ('GIR Log'!$B$2:$B$73=$B998)*
      ('GIR Log'!$C$2:$C$73=$C998),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Log'!$E$2:$V$73,
    MATCH(1,
      ('Golf Log'!$A$2:$A$73=$A999)*
      ('Golf Log'!$B$2:$B$73=$B999)*
      ('Golf Log'!$C$2:$C$73=$C999),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Log'!$E$2:$V$73,
    MATCH(1,
      ('Putt Log'!$A$2:$A$73=$A999)*
      ('Putt Log'!$B$2:$B$73=$B999)*
      ('Putt Log'!$C$2:$C$73=$C999),
    0),
    MATCH($G999,'Putt Log'!$E$1:$V$1,0)
  ),
"")</f>
        <v>1</v>
      </c>
      <c r="P999" cm="1">
        <f t="array" ref="P999">IF(K999=3,"",
  IFERROR(
    INDEX('Fairway Log'!$E$2:$V$73,
      MATCH(1,
        ('Fairway Log'!$A$2:$A$73=$A999)*
        ('Fairway Log'!$B$2:$B$73=$B999)*
        ('Fairway Log'!$C$2:$C1070=$C999),
      0),
      MATCH($G999,'Fairway Log'!$E$1:$V$1,0)
    ),
  "")
)</f>
        <v>1</v>
      </c>
      <c r="Q999" t="str" cm="1">
        <f t="array" ref="Q999">IFERROR(
  INDEX('GIR Log'!$E$2:$V$73,
    MATCH(1,
      ('GIR Log'!$A$2:$A$73=$A999)*
      ('GIR Log'!$B$2:$B$73=$B999)*
      ('GIR Log'!$C$2:$C$73=$C999),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Log'!$E$2:$V$73,
    MATCH(1,
      ('Golf Log'!$A$2:$A$73=$A1000)*
      ('Golf Log'!$B$2:$B$73=$B1000)*
      ('Golf Log'!$C$2:$C$73=$C1000),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Log'!$E$2:$V$73,
    MATCH(1,
      ('Putt Log'!$A$2:$A$73=$A1000)*
      ('Putt Log'!$B$2:$B$73=$B1000)*
      ('Putt Log'!$C$2:$C$73=$C1000),
    0),
    MATCH($G1000,'Putt Log'!$E$1:$V$1,0)
  ),
"")</f>
        <v>2</v>
      </c>
      <c r="P1000" t="str" cm="1">
        <f t="array" ref="P1000">IF(K1000=3,"",
  IFERROR(
    INDEX('Fairway Log'!$E$2:$V$73,
      MATCH(1,
        ('Fairway Log'!$A$2:$A$73=$A1000)*
        ('Fairway Log'!$B$2:$B$73=$B1000)*
        ('Fairway Log'!$C$2:$C1071=$C1000),
      0),
      MATCH($G1000,'Fairway Log'!$E$1:$V$1,0)
    ),
  "")
)</f>
        <v>←</v>
      </c>
      <c r="Q1000" t="str" cm="1">
        <f t="array" ref="Q1000">IFERROR(
  INDEX('GIR Log'!$E$2:$V$73,
    MATCH(1,
      ('GIR Log'!$A$2:$A$73=$A1000)*
      ('GIR Log'!$B$2:$B$73=$B1000)*
      ('GIR Log'!$C$2:$C$73=$C1000),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Log'!$E$2:$V$73,
    MATCH(1,
      ('Golf Log'!$A$2:$A$73=$A1001)*
      ('Golf Log'!$B$2:$B$73=$B1001)*
      ('Golf Log'!$C$2:$C$73=$C1001),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Log'!$E$2:$V$73,
    MATCH(1,
      ('Putt Log'!$A$2:$A$73=$A1001)*
      ('Putt Log'!$B$2:$B$73=$B1001)*
      ('Putt Log'!$C$2:$C$73=$C1001),
    0),
    MATCH($G1001,'Putt Log'!$E$1:$V$1,0)
  ),
"")</f>
        <v>1</v>
      </c>
      <c r="P1001" t="str" cm="1">
        <f t="array" ref="P1001">IF(K1001=3,"",
  IFERROR(
    INDEX('Fairway Log'!$E$2:$V$73,
      MATCH(1,
        ('Fairway Log'!$A$2:$A$73=$A1001)*
        ('Fairway Log'!$B$2:$B$73=$B1001)*
        ('Fairway Log'!$C$2:$C1072=$C1001),
      0),
      MATCH($G1001,'Fairway Log'!$E$1:$V$1,0)
    ),
  "")
)</f>
        <v>→</v>
      </c>
      <c r="Q1001" t="str" cm="1">
        <f t="array" ref="Q1001">IFERROR(
  INDEX('GIR Log'!$E$2:$V$73,
    MATCH(1,
      ('GIR Log'!$A$2:$A$73=$A1001)*
      ('GIR Log'!$B$2:$B$73=$B1001)*
      ('GIR Log'!$C$2:$C$73=$C1001),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Log'!$E$2:$V$73,
    MATCH(1,
      ('Golf Log'!$A$2:$A$73=$A1002)*
      ('Golf Log'!$B$2:$B$73=$B1002)*
      ('Golf Log'!$C$2:$C$73=$C1002),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Log'!$E$2:$V$73,
    MATCH(1,
      ('Putt Log'!$A$2:$A$73=$A1002)*
      ('Putt Log'!$B$2:$B$73=$B1002)*
      ('Putt Log'!$C$2:$C$73=$C1002),
    0),
    MATCH($G1002,'Putt Log'!$E$1:$V$1,0)
  ),
"")</f>
        <v>2</v>
      </c>
      <c r="P1002" t="str" cm="1">
        <f t="array" ref="P1002">IF(K1002=3,"",
  IFERROR(
    INDEX('Fairway Log'!$E$2:$V$73,
      MATCH(1,
        ('Fairway Log'!$A$2:$A$73=$A1002)*
        ('Fairway Log'!$B$2:$B$73=$B1002)*
        ('Fairway Log'!$C$2:$C1073=$C1002),
      0),
      MATCH($G1002,'Fairway Log'!$E$1:$V$1,0)
    ),
  "")
)</f>
        <v/>
      </c>
      <c r="Q1002" t="str" cm="1">
        <f t="array" ref="Q1002">IFERROR(
  INDEX('GIR Log'!$E$2:$V$73,
    MATCH(1,
      ('GIR Log'!$A$2:$A$73=$A1002)*
      ('GIR Log'!$B$2:$B$73=$B1002)*
      ('GIR Log'!$C$2:$C$73=$C1002),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Log'!$E$2:$V$73,
    MATCH(1,
      ('Golf Log'!$A$2:$A$73=$A1003)*
      ('Golf Log'!$B$2:$B$73=$B1003)*
      ('Golf Log'!$C$2:$C$73=$C1003),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Log'!$E$2:$V$73,
    MATCH(1,
      ('Putt Log'!$A$2:$A$73=$A1003)*
      ('Putt Log'!$B$2:$B$73=$B1003)*
      ('Putt Log'!$C$2:$C$73=$C1003),
    0),
    MATCH($G1003,'Putt Log'!$E$1:$V$1,0)
  ),
"")</f>
        <v>2</v>
      </c>
      <c r="P1003" cm="1">
        <f t="array" ref="P1003">IF(K1003=3,"",
  IFERROR(
    INDEX('Fairway Log'!$E$2:$V$73,
      MATCH(1,
        ('Fairway Log'!$A$2:$A$73=$A1003)*
        ('Fairway Log'!$B$2:$B$73=$B1003)*
        ('Fairway Log'!$C$2:$C1074=$C1003),
      0),
      MATCH($G1003,'Fairway Log'!$E$1:$V$1,0)
    ),
  "")
)</f>
        <v>1</v>
      </c>
      <c r="Q1003" t="str" cm="1">
        <f t="array" ref="Q1003">IFERROR(
  INDEX('GIR Log'!$E$2:$V$73,
    MATCH(1,
      ('GIR Log'!$A$2:$A$73=$A1003)*
      ('GIR Log'!$B$2:$B$73=$B1003)*
      ('GIR Log'!$C$2:$C$73=$C1003),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Log'!$E$2:$V$73,
    MATCH(1,
      ('Golf Log'!$A$2:$A$73=$A1004)*
      ('Golf Log'!$B$2:$B$73=$B1004)*
      ('Golf Log'!$C$2:$C$73=$C1004),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Log'!$E$2:$V$73,
    MATCH(1,
      ('Putt Log'!$A$2:$A$73=$A1004)*
      ('Putt Log'!$B$2:$B$73=$B1004)*
      ('Putt Log'!$C$2:$C$73=$C1004),
    0),
    MATCH($G1004,'Putt Log'!$E$1:$V$1,0)
  ),
"")</f>
        <v>2</v>
      </c>
      <c r="P1004" t="str" cm="1">
        <f t="array" ref="P1004">IF(K1004=3,"",
  IFERROR(
    INDEX('Fairway Log'!$E$2:$V$73,
      MATCH(1,
        ('Fairway Log'!$A$2:$A$73=$A1004)*
        ('Fairway Log'!$B$2:$B$73=$B1004)*
        ('Fairway Log'!$C$2:$C1075=$C1004),
      0),
      MATCH($G1004,'Fairway Log'!$E$1:$V$1,0)
    ),
  "")
)</f>
        <v>←</v>
      </c>
      <c r="Q1004" t="str" cm="1">
        <f t="array" ref="Q1004">IFERROR(
  INDEX('GIR Log'!$E$2:$V$73,
    MATCH(1,
      ('GIR Log'!$A$2:$A$73=$A1004)*
      ('GIR Log'!$B$2:$B$73=$B1004)*
      ('GIR Log'!$C$2:$C$73=$C1004),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Log'!$E$2:$V$73,
    MATCH(1,
      ('Golf Log'!$A$2:$A$73=$A1005)*
      ('Golf Log'!$B$2:$B$73=$B1005)*
      ('Golf Log'!$C$2:$C$73=$C1005),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Log'!$E$2:$V$73,
    MATCH(1,
      ('Putt Log'!$A$2:$A$73=$A1005)*
      ('Putt Log'!$B$2:$B$73=$B1005)*
      ('Putt Log'!$C$2:$C$73=$C1005),
    0),
    MATCH($G1005,'Putt Log'!$E$1:$V$1,0)
  ),
"")</f>
        <v>2</v>
      </c>
      <c r="P1005" t="str" cm="1">
        <f t="array" ref="P1005">IF(K1005=3,"",
  IFERROR(
    INDEX('Fairway Log'!$E$2:$V$73,
      MATCH(1,
        ('Fairway Log'!$A$2:$A$73=$A1005)*
        ('Fairway Log'!$B$2:$B$73=$B1005)*
        ('Fairway Log'!$C$2:$C1076=$C1005),
      0),
      MATCH($G1005,'Fairway Log'!$E$1:$V$1,0)
    ),
  "")
)</f>
        <v>←</v>
      </c>
      <c r="Q1005" t="str" cm="1">
        <f t="array" ref="Q1005">IFERROR(
  INDEX('GIR Log'!$E$2:$V$73,
    MATCH(1,
      ('GIR Log'!$A$2:$A$73=$A1005)*
      ('GIR Log'!$B$2:$B$73=$B1005)*
      ('GIR Log'!$C$2:$C$73=$C1005),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Log'!$E$2:$V$73,
    MATCH(1,
      ('Golf Log'!$A$2:$A$73=$A1006)*
      ('Golf Log'!$B$2:$B$73=$B1006)*
      ('Golf Log'!$C$2:$C$73=$C1006),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Log'!$E$2:$V$73,
    MATCH(1,
      ('Putt Log'!$A$2:$A$73=$A1006)*
      ('Putt Log'!$B$2:$B$73=$B1006)*
      ('Putt Log'!$C$2:$C$73=$C1006),
    0),
    MATCH($G1006,'Putt Log'!$E$1:$V$1,0)
  ),
"")</f>
        <v>1</v>
      </c>
      <c r="P1006" t="str" cm="1">
        <f t="array" ref="P1006">IF(K1006=3,"",
  IFERROR(
    INDEX('Fairway Log'!$E$2:$V$73,
      MATCH(1,
        ('Fairway Log'!$A$2:$A$73=$A1006)*
        ('Fairway Log'!$B$2:$B$73=$B1006)*
        ('Fairway Log'!$C$2:$C1077=$C1006),
      0),
      MATCH($G1006,'Fairway Log'!$E$1:$V$1,0)
    ),
  "")
)</f>
        <v/>
      </c>
      <c r="Q1006" t="str" cm="1">
        <f t="array" ref="Q1006">IFERROR(
  INDEX('GIR Log'!$E$2:$V$73,
    MATCH(1,
      ('GIR Log'!$A$2:$A$73=$A1006)*
      ('GIR Log'!$B$2:$B$73=$B1006)*
      ('GIR Log'!$C$2:$C$73=$C1006),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Log'!$E$2:$V$73,
    MATCH(1,
      ('Golf Log'!$A$2:$A$73=$A1007)*
      ('Golf Log'!$B$2:$B$73=$B1007)*
      ('Golf Log'!$C$2:$C$73=$C1007),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Log'!$E$2:$V$73,
    MATCH(1,
      ('Putt Log'!$A$2:$A$73=$A1007)*
      ('Putt Log'!$B$2:$B$73=$B1007)*
      ('Putt Log'!$C$2:$C$73=$C1007),
    0),
    MATCH($G1007,'Putt Log'!$E$1:$V$1,0)
  ),
"")</f>
        <v>2</v>
      </c>
      <c r="P1007" t="str" cm="1">
        <f t="array" ref="P1007">IF(K1007=3,"",
  IFERROR(
    INDEX('Fairway Log'!$E$2:$V$73,
      MATCH(1,
        ('Fairway Log'!$A$2:$A$73=$A1007)*
        ('Fairway Log'!$B$2:$B$73=$B1007)*
        ('Fairway Log'!$C$2:$C1078=$C1007),
      0),
      MATCH($G1007,'Fairway Log'!$E$1:$V$1,0)
    ),
  "")
)</f>
        <v>←</v>
      </c>
      <c r="Q1007" t="str" cm="1">
        <f t="array" ref="Q1007">IFERROR(
  INDEX('GIR Log'!$E$2:$V$73,
    MATCH(1,
      ('GIR Log'!$A$2:$A$73=$A1007)*
      ('GIR Log'!$B$2:$B$73=$B1007)*
      ('GIR Log'!$C$2:$C$73=$C1007),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Log'!$E$2:$V$73,
    MATCH(1,
      ('Golf Log'!$A$2:$A$73=$A1008)*
      ('Golf Log'!$B$2:$B$73=$B1008)*
      ('Golf Log'!$C$2:$C$73=$C1008),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Log'!$E$2:$V$73,
    MATCH(1,
      ('Putt Log'!$A$2:$A$73=$A1008)*
      ('Putt Log'!$B$2:$B$73=$B1008)*
      ('Putt Log'!$C$2:$C$73=$C1008),
    0),
    MATCH($G1008,'Putt Log'!$E$1:$V$1,0)
  ),
"")</f>
        <v>2</v>
      </c>
      <c r="P1008" t="str" cm="1">
        <f t="array" ref="P1008">IF(K1008=3,"",
  IFERROR(
    INDEX('Fairway Log'!$E$2:$V$73,
      MATCH(1,
        ('Fairway Log'!$A$2:$A$73=$A1008)*
        ('Fairway Log'!$B$2:$B$73=$B1008)*
        ('Fairway Log'!$C$2:$C1079=$C1008),
      0),
      MATCH($G1008,'Fairway Log'!$E$1:$V$1,0)
    ),
  "")
)</f>
        <v>→</v>
      </c>
      <c r="Q1008" t="str" cm="1">
        <f t="array" ref="Q1008">IFERROR(
  INDEX('GIR Log'!$E$2:$V$73,
    MATCH(1,
      ('GIR Log'!$A$2:$A$73=$A1008)*
      ('GIR Log'!$B$2:$B$73=$B1008)*
      ('GIR Log'!$C$2:$C$73=$C1008),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Log'!$E$2:$V$73,
    MATCH(1,
      ('Golf Log'!$A$2:$A$73=$A1009)*
      ('Golf Log'!$B$2:$B$73=$B1009)*
      ('Golf Log'!$C$2:$C$73=$C1009),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Log'!$E$2:$V$73,
    MATCH(1,
      ('Putt Log'!$A$2:$A$73=$A1009)*
      ('Putt Log'!$B$2:$B$73=$B1009)*
      ('Putt Log'!$C$2:$C$73=$C1009),
    0),
    MATCH($G1009,'Putt Log'!$E$1:$V$1,0)
  ),
"")</f>
        <v>2</v>
      </c>
      <c r="P1009" cm="1">
        <f t="array" ref="P1009">IF(K1009=3,"",
  IFERROR(
    INDEX('Fairway Log'!$E$2:$V$73,
      MATCH(1,
        ('Fairway Log'!$A$2:$A$73=$A1009)*
        ('Fairway Log'!$B$2:$B$73=$B1009)*
        ('Fairway Log'!$C$2:$C1080=$C1009),
      0),
      MATCH($G1009,'Fairway Log'!$E$1:$V$1,0)
    ),
  "")
)</f>
        <v>1</v>
      </c>
      <c r="Q1009" cm="1">
        <f t="array" ref="Q1009">IFERROR(
  INDEX('GIR Log'!$E$2:$V$73,
    MATCH(1,
      ('GIR Log'!$A$2:$A$73=$A1009)*
      ('GIR Log'!$B$2:$B$73=$B1009)*
      ('GIR Log'!$C$2:$C$73=$C1009),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Log'!$E$2:$V$73,
    MATCH(1,
      ('Golf Log'!$A$2:$A$73=$A1010)*
      ('Golf Log'!$B$2:$B$73=$B1010)*
      ('Golf Log'!$C$2:$C$73=$C1010),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Log'!$E$2:$V$73,
    MATCH(1,
      ('Putt Log'!$A$2:$A$73=$A1010)*
      ('Putt Log'!$B$2:$B$73=$B1010)*
      ('Putt Log'!$C$2:$C$73=$C1010),
    0),
    MATCH($G1010,'Putt Log'!$E$1:$V$1,0)
  ),
"")</f>
        <v>2</v>
      </c>
      <c r="P1010" t="str" cm="1">
        <f t="array" ref="P1010">IF(K1010=3,"",
  IFERROR(
    INDEX('Fairway Log'!$E$2:$V$73,
      MATCH(1,
        ('Fairway Log'!$A$2:$A$73=$A1010)*
        ('Fairway Log'!$B$2:$B$73=$B1010)*
        ('Fairway Log'!$C$2:$C1081=$C1010),
      0),
      MATCH($G1010,'Fairway Log'!$E$1:$V$1,0)
    ),
  "")
)</f>
        <v>←</v>
      </c>
      <c r="Q1010" t="str" cm="1">
        <f t="array" ref="Q1010">IFERROR(
  INDEX('GIR Log'!$E$2:$V$73,
    MATCH(1,
      ('GIR Log'!$A$2:$A$73=$A1010)*
      ('GIR Log'!$B$2:$B$73=$B1010)*
      ('GIR Log'!$C$2:$C$73=$C1010),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Log'!$E$2:$V$73,
    MATCH(1,
      ('Golf Log'!$A$2:$A$73=$A1011)*
      ('Golf Log'!$B$2:$B$73=$B1011)*
      ('Golf Log'!$C$2:$C$73=$C1011),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Log'!$E$2:$V$73,
    MATCH(1,
      ('Putt Log'!$A$2:$A$73=$A1011)*
      ('Putt Log'!$B$2:$B$73=$B1011)*
      ('Putt Log'!$C$2:$C$73=$C1011),
    0),
    MATCH($G1011,'Putt Log'!$E$1:$V$1,0)
  ),
"")</f>
        <v>2</v>
      </c>
      <c r="P1011" t="str" cm="1">
        <f t="array" ref="P1011">IF(K1011=3,"",
  IFERROR(
    INDEX('Fairway Log'!$E$2:$V$73,
      MATCH(1,
        ('Fairway Log'!$A$2:$A$73=$A1011)*
        ('Fairway Log'!$B$2:$B$73=$B1011)*
        ('Fairway Log'!$C$2:$C1082=$C1011),
      0),
      MATCH($G1011,'Fairway Log'!$E$1:$V$1,0)
    ),
  "")
)</f>
        <v>←</v>
      </c>
      <c r="Q1011" t="str" cm="1">
        <f t="array" ref="Q1011">IFERROR(
  INDEX('GIR Log'!$E$2:$V$73,
    MATCH(1,
      ('GIR Log'!$A$2:$A$73=$A1011)*
      ('GIR Log'!$B$2:$B$73=$B1011)*
      ('GIR Log'!$C$2:$C$73=$C1011),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Log'!$E$2:$V$73,
    MATCH(1,
      ('Golf Log'!$A$2:$A$73=$A1012)*
      ('Golf Log'!$B$2:$B$73=$B1012)*
      ('Golf Log'!$C$2:$C$73=$C1012),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Log'!$E$2:$V$73,
    MATCH(1,
      ('Putt Log'!$A$2:$A$73=$A1012)*
      ('Putt Log'!$B$2:$B$73=$B1012)*
      ('Putt Log'!$C$2:$C$73=$C1012),
    0),
    MATCH($G1012,'Putt Log'!$E$1:$V$1,0)
  ),
"")</f>
        <v>2</v>
      </c>
      <c r="P1012" t="str" cm="1">
        <f t="array" ref="P1012">IF(K1012=3,"",
  IFERROR(
    INDEX('Fairway Log'!$E$2:$V$73,
      MATCH(1,
        ('Fairway Log'!$A$2:$A$73=$A1012)*
        ('Fairway Log'!$B$2:$B$73=$B1012)*
        ('Fairway Log'!$C$2:$C1083=$C1012),
      0),
      MATCH($G1012,'Fairway Log'!$E$1:$V$1,0)
    ),
  "")
)</f>
        <v/>
      </c>
      <c r="Q1012" t="str" cm="1">
        <f t="array" ref="Q1012">IFERROR(
  INDEX('GIR Log'!$E$2:$V$73,
    MATCH(1,
      ('GIR Log'!$A$2:$A$73=$A1012)*
      ('GIR Log'!$B$2:$B$73=$B1012)*
      ('GIR Log'!$C$2:$C$73=$C1012),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Log'!$E$2:$V$73,
    MATCH(1,
      ('Golf Log'!$A$2:$A$73=$A1013)*
      ('Golf Log'!$B$2:$B$73=$B1013)*
      ('Golf Log'!$C$2:$C$73=$C1013),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Log'!$E$2:$V$73,
    MATCH(1,
      ('Putt Log'!$A$2:$A$73=$A1013)*
      ('Putt Log'!$B$2:$B$73=$B1013)*
      ('Putt Log'!$C$2:$C$73=$C1013),
    0),
    MATCH($G1013,'Putt Log'!$E$1:$V$1,0)
  ),
"")</f>
        <v>2</v>
      </c>
      <c r="P1013" cm="1">
        <f t="array" ref="P1013">IF(K1013=3,"",
  IFERROR(
    INDEX('Fairway Log'!$E$2:$V$73,
      MATCH(1,
        ('Fairway Log'!$A$2:$A$73=$A1013)*
        ('Fairway Log'!$B$2:$B$73=$B1013)*
        ('Fairway Log'!$C$2:$C1084=$C1013),
      0),
      MATCH($G1013,'Fairway Log'!$E$1:$V$1,0)
    ),
  "")
)</f>
        <v>1</v>
      </c>
      <c r="Q1013" t="str" cm="1">
        <f t="array" ref="Q1013">IFERROR(
  INDEX('GIR Log'!$E$2:$V$73,
    MATCH(1,
      ('GIR Log'!$A$2:$A$73=$A1013)*
      ('GIR Log'!$B$2:$B$73=$B1013)*
      ('GIR Log'!$C$2:$C$73=$C1013),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Log'!$E$2:$V$73,
    MATCH(1,
      ('Golf Log'!$A$2:$A$73=$A1014)*
      ('Golf Log'!$B$2:$B$73=$B1014)*
      ('Golf Log'!$C$2:$C$73=$C1014),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Log'!$E$2:$V$73,
    MATCH(1,
      ('Putt Log'!$A$2:$A$73=$A1014)*
      ('Putt Log'!$B$2:$B$73=$B1014)*
      ('Putt Log'!$C$2:$C$73=$C1014),
    0),
    MATCH($G1014,'Putt Log'!$E$1:$V$1,0)
  ),
"")</f>
        <v>2</v>
      </c>
      <c r="P1014" t="str" cm="1">
        <f t="array" ref="P1014">IF(K1014=3,"",
  IFERROR(
    INDEX('Fairway Log'!$E$2:$V$73,
      MATCH(1,
        ('Fairway Log'!$A$2:$A$73=$A1014)*
        ('Fairway Log'!$B$2:$B$73=$B1014)*
        ('Fairway Log'!$C$2:$C1085=$C1014),
      0),
      MATCH($G1014,'Fairway Log'!$E$1:$V$1,0)
    ),
  "")
)</f>
        <v>←</v>
      </c>
      <c r="Q1014" t="str" cm="1">
        <f t="array" ref="Q1014">IFERROR(
  INDEX('GIR Log'!$E$2:$V$73,
    MATCH(1,
      ('GIR Log'!$A$2:$A$73=$A1014)*
      ('GIR Log'!$B$2:$B$73=$B1014)*
      ('GIR Log'!$C$2:$C$73=$C1014),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Log'!$E$2:$V$73,
    MATCH(1,
      ('Golf Log'!$A$2:$A$73=$A1015)*
      ('Golf Log'!$B$2:$B$73=$B1015)*
      ('Golf Log'!$C$2:$C$73=$C1015),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Log'!$E$2:$V$73,
    MATCH(1,
      ('Putt Log'!$A$2:$A$73=$A1015)*
      ('Putt Log'!$B$2:$B$73=$B1015)*
      ('Putt Log'!$C$2:$C$73=$C1015),
    0),
    MATCH($G1015,'Putt Log'!$E$1:$V$1,0)
  ),
"")</f>
        <v>2</v>
      </c>
      <c r="P1015" t="str" cm="1">
        <f t="array" ref="P1015">IF(K1015=3,"",
  IFERROR(
    INDEX('Fairway Log'!$E$2:$V$73,
      MATCH(1,
        ('Fairway Log'!$A$2:$A$73=$A1015)*
        ('Fairway Log'!$B$2:$B$73=$B1015)*
        ('Fairway Log'!$C$2:$C1086=$C1015),
      0),
      MATCH($G1015,'Fairway Log'!$E$1:$V$1,0)
    ),
  "")
)</f>
        <v>←</v>
      </c>
      <c r="Q1015" cm="1">
        <f t="array" ref="Q1015">IFERROR(
  INDEX('GIR Log'!$E$2:$V$73,
    MATCH(1,
      ('GIR Log'!$A$2:$A$73=$A1015)*
      ('GIR Log'!$B$2:$B$73=$B1015)*
      ('GIR Log'!$C$2:$C$73=$C1015),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Log'!$E$2:$V$73,
    MATCH(1,
      ('Golf Log'!$A$2:$A$73=$A1016)*
      ('Golf Log'!$B$2:$B$73=$B1016)*
      ('Golf Log'!$C$2:$C$73=$C1016),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Log'!$E$2:$V$73,
    MATCH(1,
      ('Putt Log'!$A$2:$A$73=$A1016)*
      ('Putt Log'!$B$2:$B$73=$B1016)*
      ('Putt Log'!$C$2:$C$73=$C1016),
    0),
    MATCH($G1016,'Putt Log'!$E$1:$V$1,0)
  ),
"")</f>
        <v>2</v>
      </c>
      <c r="P1016" t="str" cm="1">
        <f t="array" ref="P1016">IF(K1016=3,"",
  IFERROR(
    INDEX('Fairway Log'!$E$2:$V$73,
      MATCH(1,
        ('Fairway Log'!$A$2:$A$73=$A1016)*
        ('Fairway Log'!$B$2:$B$73=$B1016)*
        ('Fairway Log'!$C$2:$C1087=$C1016),
      0),
      MATCH($G1016,'Fairway Log'!$E$1:$V$1,0)
    ),
  "")
)</f>
        <v>↓</v>
      </c>
      <c r="Q1016" t="str" cm="1">
        <f t="array" ref="Q1016">IFERROR(
  INDEX('GIR Log'!$E$2:$V$73,
    MATCH(1,
      ('GIR Log'!$A$2:$A$73=$A1016)*
      ('GIR Log'!$B$2:$B$73=$B1016)*
      ('GIR Log'!$C$2:$C$73=$C1016),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Log'!$E$2:$V$73,
    MATCH(1,
      ('Golf Log'!$A$2:$A$73=$A1017)*
      ('Golf Log'!$B$2:$B$73=$B1017)*
      ('Golf Log'!$C$2:$C$73=$C1017),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Log'!$E$2:$V$73,
    MATCH(1,
      ('Putt Log'!$A$2:$A$73=$A1017)*
      ('Putt Log'!$B$2:$B$73=$B1017)*
      ('Putt Log'!$C$2:$C$73=$C1017),
    0),
    MATCH($G1017,'Putt Log'!$E$1:$V$1,0)
  ),
"")</f>
        <v>2</v>
      </c>
      <c r="P1017" t="str" cm="1">
        <f t="array" ref="P1017">IF(K1017=3,"",
  IFERROR(
    INDEX('Fairway Log'!$E$2:$V$73,
      MATCH(1,
        ('Fairway Log'!$A$2:$A$73=$A1017)*
        ('Fairway Log'!$B$2:$B$73=$B1017)*
        ('Fairway Log'!$C$2:$C1088=$C1017),
      0),
      MATCH($G1017,'Fairway Log'!$E$1:$V$1,0)
    ),
  "")
)</f>
        <v/>
      </c>
      <c r="Q1017" t="str" cm="1">
        <f t="array" ref="Q1017">IFERROR(
  INDEX('GIR Log'!$E$2:$V$73,
    MATCH(1,
      ('GIR Log'!$A$2:$A$73=$A1017)*
      ('GIR Log'!$B$2:$B$73=$B1017)*
      ('GIR Log'!$C$2:$C$73=$C1017),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Log'!$E$2:$V$73,
    MATCH(1,
      ('Golf Log'!$A$2:$A$73=$A1018)*
      ('Golf Log'!$B$2:$B$73=$B1018)*
      ('Golf Log'!$C$2:$C$73=$C1018),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Log'!$E$2:$V$73,
    MATCH(1,
      ('Putt Log'!$A$2:$A$73=$A1018)*
      ('Putt Log'!$B$2:$B$73=$B1018)*
      ('Putt Log'!$C$2:$C$73=$C1018),
    0),
    MATCH($G1018,'Putt Log'!$E$1:$V$1,0)
  ),
"")</f>
        <v>2</v>
      </c>
      <c r="P1018" cm="1">
        <f t="array" ref="P1018">IF(K1018=3,"",
  IFERROR(
    INDEX('Fairway Log'!$E$2:$V$73,
      MATCH(1,
        ('Fairway Log'!$A$2:$A$73=$A1018)*
        ('Fairway Log'!$B$2:$B$73=$B1018)*
        ('Fairway Log'!$C$2:$C1089=$C1018),
      0),
      MATCH($G1018,'Fairway Log'!$E$1:$V$1,0)
    ),
  "")
)</f>
        <v>1</v>
      </c>
      <c r="Q1018" t="str" cm="1">
        <f t="array" ref="Q1018">IFERROR(
  INDEX('GIR Log'!$E$2:$V$73,
    MATCH(1,
      ('GIR Log'!$A$2:$A$73=$A1018)*
      ('GIR Log'!$B$2:$B$73=$B1018)*
      ('GIR Log'!$C$2:$C$73=$C1018),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Log'!$E$2:$V$73,
    MATCH(1,
      ('Golf Log'!$A$2:$A$73=$A1019)*
      ('Golf Log'!$B$2:$B$73=$B1019)*
      ('Golf Log'!$C$2:$C$73=$C1019),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Log'!$E$2:$V$73,
    MATCH(1,
      ('Putt Log'!$A$2:$A$73=$A1019)*
      ('Putt Log'!$B$2:$B$73=$B1019)*
      ('Putt Log'!$C$2:$C$73=$C1019),
    0),
    MATCH($G1019,'Putt Log'!$E$1:$V$1,0)
  ),
"")</f>
        <v>2</v>
      </c>
      <c r="P1019" cm="1">
        <f t="array" ref="P1019">IF(K1019=3,"",
  IFERROR(
    INDEX('Fairway Log'!$E$2:$V$73,
      MATCH(1,
        ('Fairway Log'!$A$2:$A$73=$A1019)*
        ('Fairway Log'!$B$2:$B$73=$B1019)*
        ('Fairway Log'!$C$2:$C1090=$C1019),
      0),
      MATCH($G1019,'Fairway Log'!$E$1:$V$1,0)
    ),
  "")
)</f>
        <v>1</v>
      </c>
      <c r="Q1019" t="str" cm="1">
        <f t="array" ref="Q1019">IFERROR(
  INDEX('GIR Log'!$E$2:$V$73,
    MATCH(1,
      ('GIR Log'!$A$2:$A$73=$A1019)*
      ('GIR Log'!$B$2:$B$73=$B1019)*
      ('GIR Log'!$C$2:$C$73=$C1019),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Log'!$E$2:$V$73,
    MATCH(1,
      ('Golf Log'!$A$2:$A$73=$A1020)*
      ('Golf Log'!$B$2:$B$73=$B1020)*
      ('Golf Log'!$C$2:$C$73=$C1020),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Log'!$E$2:$V$73,
    MATCH(1,
      ('Putt Log'!$A$2:$A$73=$A1020)*
      ('Putt Log'!$B$2:$B$73=$B1020)*
      ('Putt Log'!$C$2:$C$73=$C1020),
    0),
    MATCH($G1020,'Putt Log'!$E$1:$V$1,0)
  ),
"")</f>
        <v>2</v>
      </c>
      <c r="P1020" t="str" cm="1">
        <f t="array" ref="P1020">IF(K1020=3,"",
  IFERROR(
    INDEX('Fairway Log'!$E$2:$V$73,
      MATCH(1,
        ('Fairway Log'!$A$2:$A$73=$A1020)*
        ('Fairway Log'!$B$2:$B$73=$B1020)*
        ('Fairway Log'!$C$2:$C1091=$C1020),
      0),
      MATCH($G1020,'Fairway Log'!$E$1:$V$1,0)
    ),
  "")
)</f>
        <v/>
      </c>
      <c r="Q1020" t="str" cm="1">
        <f t="array" ref="Q1020">IFERROR(
  INDEX('GIR Log'!$E$2:$V$73,
    MATCH(1,
      ('GIR Log'!$A$2:$A$73=$A1020)*
      ('GIR Log'!$B$2:$B$73=$B1020)*
      ('GIR Log'!$C$2:$C$73=$C1020),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Log'!$E$2:$V$73,
    MATCH(1,
      ('Golf Log'!$A$2:$A$73=$A1021)*
      ('Golf Log'!$B$2:$B$73=$B1021)*
      ('Golf Log'!$C$2:$C$73=$C1021),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Log'!$E$2:$V$73,
    MATCH(1,
      ('Putt Log'!$A$2:$A$73=$A1021)*
      ('Putt Log'!$B$2:$B$73=$B1021)*
      ('Putt Log'!$C$2:$C$73=$C1021),
    0),
    MATCH($G1021,'Putt Log'!$E$1:$V$1,0)
  ),
"")</f>
        <v>2</v>
      </c>
      <c r="P1021" t="str" cm="1">
        <f t="array" ref="P1021">IF(K1021=3,"",
  IFERROR(
    INDEX('Fairway Log'!$E$2:$V$73,
      MATCH(1,
        ('Fairway Log'!$A$2:$A$73=$A1021)*
        ('Fairway Log'!$B$2:$B$73=$B1021)*
        ('Fairway Log'!$C$2:$C1092=$C1021),
      0),
      MATCH($G1021,'Fairway Log'!$E$1:$V$1,0)
    ),
  "")
)</f>
        <v>←</v>
      </c>
      <c r="Q1021" cm="1">
        <f t="array" ref="Q1021">IFERROR(
  INDEX('GIR Log'!$E$2:$V$73,
    MATCH(1,
      ('GIR Log'!$A$2:$A$73=$A1021)*
      ('GIR Log'!$B$2:$B$73=$B1021)*
      ('GIR Log'!$C$2:$C$73=$C1021),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Log'!$E$2:$V$73,
    MATCH(1,
      ('Golf Log'!$A$2:$A$73=$A1022)*
      ('Golf Log'!$B$2:$B$73=$B1022)*
      ('Golf Log'!$C$2:$C$73=$C1022),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Log'!$E$2:$V$73,
    MATCH(1,
      ('Putt Log'!$A$2:$A$73=$A1022)*
      ('Putt Log'!$B$2:$B$73=$B1022)*
      ('Putt Log'!$C$2:$C$73=$C1022),
    0),
    MATCH($G1022,'Putt Log'!$E$1:$V$1,0)
  ),
"")</f>
        <v>2</v>
      </c>
      <c r="P1022" t="str" cm="1">
        <f t="array" ref="P1022">IF(K1022=3,"",
  IFERROR(
    INDEX('Fairway Log'!$E$2:$V$73,
      MATCH(1,
        ('Fairway Log'!$A$2:$A$73=$A1022)*
        ('Fairway Log'!$B$2:$B$73=$B1022)*
        ('Fairway Log'!$C$2:$C1093=$C1022),
      0),
      MATCH($G1022,'Fairway Log'!$E$1:$V$1,0)
    ),
  "")
)</f>
        <v>←</v>
      </c>
      <c r="Q1022" t="str" cm="1">
        <f t="array" ref="Q1022">IFERROR(
  INDEX('GIR Log'!$E$2:$V$73,
    MATCH(1,
      ('GIR Log'!$A$2:$A$73=$A1022)*
      ('GIR Log'!$B$2:$B$73=$B1022)*
      ('GIR Log'!$C$2:$C$73=$C1022),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Log'!$E$2:$V$73,
    MATCH(1,
      ('Golf Log'!$A$2:$A$73=$A1023)*
      ('Golf Log'!$B$2:$B$73=$B1023)*
      ('Golf Log'!$C$2:$C$73=$C1023),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Log'!$E$2:$V$73,
    MATCH(1,
      ('Putt Log'!$A$2:$A$73=$A1023)*
      ('Putt Log'!$B$2:$B$73=$B1023)*
      ('Putt Log'!$C$2:$C$73=$C1023),
    0),
    MATCH($G1023,'Putt Log'!$E$1:$V$1,0)
  ),
"")</f>
        <v>2</v>
      </c>
      <c r="P1023" t="str" cm="1">
        <f t="array" ref="P1023">IF(K1023=3,"",
  IFERROR(
    INDEX('Fairway Log'!$E$2:$V$73,
      MATCH(1,
        ('Fairway Log'!$A$2:$A$73=$A1023)*
        ('Fairway Log'!$B$2:$B$73=$B1023)*
        ('Fairway Log'!$C$2:$C1094=$C1023),
      0),
      MATCH($G1023,'Fairway Log'!$E$1:$V$1,0)
    ),
  "")
)</f>
        <v>←</v>
      </c>
      <c r="Q1023" t="str" cm="1">
        <f t="array" ref="Q1023">IFERROR(
  INDEX('GIR Log'!$E$2:$V$73,
    MATCH(1,
      ('GIR Log'!$A$2:$A$73=$A1023)*
      ('GIR Log'!$B$2:$B$73=$B1023)*
      ('GIR Log'!$C$2:$C$73=$C1023),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Log'!$E$2:$V$73,
    MATCH(1,
      ('Golf Log'!$A$2:$A$73=$A1024)*
      ('Golf Log'!$B$2:$B$73=$B1024)*
      ('Golf Log'!$C$2:$C$73=$C1024),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Log'!$E$2:$V$73,
    MATCH(1,
      ('Putt Log'!$A$2:$A$73=$A1024)*
      ('Putt Log'!$B$2:$B$73=$B1024)*
      ('Putt Log'!$C$2:$C$73=$C1024),
    0),
    MATCH($G1024,'Putt Log'!$E$1:$V$1,0)
  ),
"")</f>
        <v>2</v>
      </c>
      <c r="P1024" t="str" cm="1">
        <f t="array" ref="P1024">IF(K1024=3,"",
  IFERROR(
    INDEX('Fairway Log'!$E$2:$V$73,
      MATCH(1,
        ('Fairway Log'!$A$2:$A$73=$A1024)*
        ('Fairway Log'!$B$2:$B$73=$B1024)*
        ('Fairway Log'!$C$2:$C1095=$C1024),
      0),
      MATCH($G1024,'Fairway Log'!$E$1:$V$1,0)
    ),
  "")
)</f>
        <v>→</v>
      </c>
      <c r="Q1024" t="str" cm="1">
        <f t="array" ref="Q1024">IFERROR(
  INDEX('GIR Log'!$E$2:$V$73,
    MATCH(1,
      ('GIR Log'!$A$2:$A$73=$A1024)*
      ('GIR Log'!$B$2:$B$73=$B1024)*
      ('GIR Log'!$C$2:$C$73=$C1024),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Log'!$E$2:$V$73,
    MATCH(1,
      ('Golf Log'!$A$2:$A$73=$A1025)*
      ('Golf Log'!$B$2:$B$73=$B1025)*
      ('Golf Log'!$C$2:$C$73=$C1025),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Log'!$E$2:$V$73,
    MATCH(1,
      ('Putt Log'!$A$2:$A$73=$A1025)*
      ('Putt Log'!$B$2:$B$73=$B1025)*
      ('Putt Log'!$C$2:$C$73=$C1025),
    0),
    MATCH($G1025,'Putt Log'!$E$1:$V$1,0)
  ),
"")</f>
        <v>2</v>
      </c>
      <c r="P1025" t="str" cm="1">
        <f t="array" ref="P1025">IF(K1025=3,"",
  IFERROR(
    INDEX('Fairway Log'!$E$2:$V$73,
      MATCH(1,
        ('Fairway Log'!$A$2:$A$73=$A1025)*
        ('Fairway Log'!$B$2:$B$73=$B1025)*
        ('Fairway Log'!$C$2:$C1096=$C1025),
      0),
      MATCH($G1025,'Fairway Log'!$E$1:$V$1,0)
    ),
  "")
)</f>
        <v/>
      </c>
      <c r="Q1025" t="str" cm="1">
        <f t="array" ref="Q1025">IFERROR(
  INDEX('GIR Log'!$E$2:$V$73,
    MATCH(1,
      ('GIR Log'!$A$2:$A$73=$A1025)*
      ('GIR Log'!$B$2:$B$73=$B1025)*
      ('GIR Log'!$C$2:$C$73=$C1025),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Log'!$E$2:$V$73,
    MATCH(1,
      ('Golf Log'!$A$2:$A$73=$A1026)*
      ('Golf Log'!$B$2:$B$73=$B1026)*
      ('Golf Log'!$C$2:$C$73=$C1026),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Log'!$E$2:$V$73,
    MATCH(1,
      ('Putt Log'!$A$2:$A$73=$A1026)*
      ('Putt Log'!$B$2:$B$73=$B1026)*
      ('Putt Log'!$C$2:$C$73=$C1026),
    0),
    MATCH($G1026,'Putt Log'!$E$1:$V$1,0)
  ),
"")</f>
        <v>2</v>
      </c>
      <c r="P1026" t="str" cm="1">
        <f t="array" ref="P1026">IF(K1026=3,"",
  IFERROR(
    INDEX('Fairway Log'!$E$2:$V$73,
      MATCH(1,
        ('Fairway Log'!$A$2:$A$73=$A1026)*
        ('Fairway Log'!$B$2:$B$73=$B1026)*
        ('Fairway Log'!$C$2:$C1097=$C1026),
      0),
      MATCH($G1026,'Fairway Log'!$E$1:$V$1,0)
    ),
  "")
)</f>
        <v>←</v>
      </c>
      <c r="Q1026" t="str" cm="1">
        <f t="array" ref="Q1026">IFERROR(
  INDEX('GIR Log'!$E$2:$V$73,
    MATCH(1,
      ('GIR Log'!$A$2:$A$73=$A1026)*
      ('GIR Log'!$B$2:$B$73=$B1026)*
      ('GIR Log'!$C$2:$C$73=$C1026),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Log'!$E$2:$V$73,
    MATCH(1,
      ('Golf Log'!$A$2:$A$73=$A1027)*
      ('Golf Log'!$B$2:$B$73=$B1027)*
      ('Golf Log'!$C$2:$C$73=$C1027),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Log'!$E$2:$V$73,
    MATCH(1,
      ('Putt Log'!$A$2:$A$73=$A1027)*
      ('Putt Log'!$B$2:$B$73=$B1027)*
      ('Putt Log'!$C$2:$C$73=$C1027),
    0),
    MATCH($G1027,'Putt Log'!$E$1:$V$1,0)
  ),
"")</f>
        <v>2</v>
      </c>
      <c r="P1027" t="str" cm="1">
        <f t="array" ref="P1027">IF(K1027=3,"",
  IFERROR(
    INDEX('Fairway Log'!$E$2:$V$73,
      MATCH(1,
        ('Fairway Log'!$A$2:$A$73=$A1027)*
        ('Fairway Log'!$B$2:$B$73=$B1027)*
        ('Fairway Log'!$C$2:$C1098=$C1027),
      0),
      MATCH($G1027,'Fairway Log'!$E$1:$V$1,0)
    ),
  "")
)</f>
        <v>→</v>
      </c>
      <c r="Q1027" t="str" cm="1">
        <f t="array" ref="Q1027">IFERROR(
  INDEX('GIR Log'!$E$2:$V$73,
    MATCH(1,
      ('GIR Log'!$A$2:$A$73=$A1027)*
      ('GIR Log'!$B$2:$B$73=$B1027)*
      ('GIR Log'!$C$2:$C$73=$C1027),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Log'!$E$2:$V$73,
    MATCH(1,
      ('Golf Log'!$A$2:$A$73=$A1028)*
      ('Golf Log'!$B$2:$B$73=$B1028)*
      ('Golf Log'!$C$2:$C$73=$C1028),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Log'!$E$2:$V$73,
    MATCH(1,
      ('Putt Log'!$A$2:$A$73=$A1028)*
      ('Putt Log'!$B$2:$B$73=$B1028)*
      ('Putt Log'!$C$2:$C$73=$C1028),
    0),
    MATCH($G1028,'Putt Log'!$E$1:$V$1,0)
  ),
"")</f>
        <v>2</v>
      </c>
      <c r="P1028" cm="1">
        <f t="array" ref="P1028">IF(K1028=3,"",
  IFERROR(
    INDEX('Fairway Log'!$E$2:$V$73,
      MATCH(1,
        ('Fairway Log'!$A$2:$A$73=$A1028)*
        ('Fairway Log'!$B$2:$B$73=$B1028)*
        ('Fairway Log'!$C$2:$C1099=$C1028),
      0),
      MATCH($G1028,'Fairway Log'!$E$1:$V$1,0)
    ),
  "")
)</f>
        <v>1</v>
      </c>
      <c r="Q1028" cm="1">
        <f t="array" ref="Q1028">IFERROR(
  INDEX('GIR Log'!$E$2:$V$73,
    MATCH(1,
      ('GIR Log'!$A$2:$A$73=$A1028)*
      ('GIR Log'!$B$2:$B$73=$B1028)*
      ('GIR Log'!$C$2:$C$73=$C1028),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Log'!$E$2:$V$73,
    MATCH(1,
      ('Golf Log'!$A$2:$A$73=$A1029)*
      ('Golf Log'!$B$2:$B$73=$B1029)*
      ('Golf Log'!$C$2:$C$73=$C1029),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Log'!$E$2:$V$73,
    MATCH(1,
      ('Putt Log'!$A$2:$A$73=$A1029)*
      ('Putt Log'!$B$2:$B$73=$B1029)*
      ('Putt Log'!$C$2:$C$73=$C1029),
    0),
    MATCH($G1029,'Putt Log'!$E$1:$V$1,0)
  ),
"")</f>
        <v>3</v>
      </c>
      <c r="P1029" t="str" cm="1">
        <f t="array" ref="P1029">IF(K1029=3,"",
  IFERROR(
    INDEX('Fairway Log'!$E$2:$V$73,
      MATCH(1,
        ('Fairway Log'!$A$2:$A$73=$A1029)*
        ('Fairway Log'!$B$2:$B$73=$B1029)*
        ('Fairway Log'!$C$2:$C1100=$C1029),
      0),
      MATCH($G1029,'Fairway Log'!$E$1:$V$1,0)
    ),
  "")
)</f>
        <v>←</v>
      </c>
      <c r="Q1029" cm="1">
        <f t="array" ref="Q1029">IFERROR(
  INDEX('GIR Log'!$E$2:$V$73,
    MATCH(1,
      ('GIR Log'!$A$2:$A$73=$A1029)*
      ('GIR Log'!$B$2:$B$73=$B1029)*
      ('GIR Log'!$C$2:$C$73=$C1029),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Log'!$E$2:$V$73,
    MATCH(1,
      ('Golf Log'!$A$2:$A$73=$A1030)*
      ('Golf Log'!$B$2:$B$73=$B1030)*
      ('Golf Log'!$C$2:$C$73=$C1030),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Log'!$E$2:$V$73,
    MATCH(1,
      ('Putt Log'!$A$2:$A$73=$A1030)*
      ('Putt Log'!$B$2:$B$73=$B1030)*
      ('Putt Log'!$C$2:$C$73=$C1030),
    0),
    MATCH($G1030,'Putt Log'!$E$1:$V$1,0)
  ),
"")</f>
        <v>1</v>
      </c>
      <c r="P1030" t="str" cm="1">
        <f t="array" ref="P1030">IF(K1030=3,"",
  IFERROR(
    INDEX('Fairway Log'!$E$2:$V$73,
      MATCH(1,
        ('Fairway Log'!$A$2:$A$73=$A1030)*
        ('Fairway Log'!$B$2:$B$73=$B1030)*
        ('Fairway Log'!$C$2:$C1101=$C1030),
      0),
      MATCH($G1030,'Fairway Log'!$E$1:$V$1,0)
    ),
  "")
)</f>
        <v/>
      </c>
      <c r="Q1030" t="str" cm="1">
        <f t="array" ref="Q1030">IFERROR(
  INDEX('GIR Log'!$E$2:$V$73,
    MATCH(1,
      ('GIR Log'!$A$2:$A$73=$A1030)*
      ('GIR Log'!$B$2:$B$73=$B1030)*
      ('GIR Log'!$C$2:$C$73=$C1030),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Log'!$E$2:$V$73,
    MATCH(1,
      ('Golf Log'!$A$2:$A$73=$A1031)*
      ('Golf Log'!$B$2:$B$73=$B1031)*
      ('Golf Log'!$C$2:$C$73=$C1031),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Log'!$E$2:$V$73,
    MATCH(1,
      ('Putt Log'!$A$2:$A$73=$A1031)*
      ('Putt Log'!$B$2:$B$73=$B1031)*
      ('Putt Log'!$C$2:$C$73=$C1031),
    0),
    MATCH($G1031,'Putt Log'!$E$1:$V$1,0)
  ),
"")</f>
        <v>1</v>
      </c>
      <c r="P1031" t="str" cm="1">
        <f t="array" ref="P1031">IF(K1031=3,"",
  IFERROR(
    INDEX('Fairway Log'!$E$2:$V$73,
      MATCH(1,
        ('Fairway Log'!$A$2:$A$73=$A1031)*
        ('Fairway Log'!$B$2:$B$73=$B1031)*
        ('Fairway Log'!$C$2:$C1102=$C1031),
      0),
      MATCH($G1031,'Fairway Log'!$E$1:$V$1,0)
    ),
  "")
)</f>
        <v>←</v>
      </c>
      <c r="Q1031" cm="1">
        <f t="array" ref="Q1031">IFERROR(
  INDEX('GIR Log'!$E$2:$V$73,
    MATCH(1,
      ('GIR Log'!$A$2:$A$73=$A1031)*
      ('GIR Log'!$B$2:$B$73=$B1031)*
      ('GIR Log'!$C$2:$C$73=$C1031),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Log'!$E$2:$V$73,
    MATCH(1,
      ('Golf Log'!$A$2:$A$73=$A1032)*
      ('Golf Log'!$B$2:$B$73=$B1032)*
      ('Golf Log'!$C$2:$C$73=$C1032),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Log'!$E$2:$V$73,
    MATCH(1,
      ('Putt Log'!$A$2:$A$73=$A1032)*
      ('Putt Log'!$B$2:$B$73=$B1032)*
      ('Putt Log'!$C$2:$C$73=$C1032),
    0),
    MATCH($G1032,'Putt Log'!$E$1:$V$1,0)
  ),
"")</f>
        <v>2</v>
      </c>
      <c r="P1032" cm="1">
        <f t="array" ref="P1032">IF(K1032=3,"",
  IFERROR(
    INDEX('Fairway Log'!$E$2:$V$73,
      MATCH(1,
        ('Fairway Log'!$A$2:$A$73=$A1032)*
        ('Fairway Log'!$B$2:$B$73=$B1032)*
        ('Fairway Log'!$C$2:$C1103=$C1032),
      0),
      MATCH($G1032,'Fairway Log'!$E$1:$V$1,0)
    ),
  "")
)</f>
        <v>0</v>
      </c>
      <c r="Q1032" t="str" cm="1">
        <f t="array" ref="Q1032">IFERROR(
  INDEX('GIR Log'!$E$2:$V$73,
    MATCH(1,
      ('GIR Log'!$A$2:$A$73=$A1032)*
      ('GIR Log'!$B$2:$B$73=$B1032)*
      ('GIR Log'!$C$2:$C$73=$C1032),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Log'!$E$2:$V$73,
    MATCH(1,
      ('Golf Log'!$A$2:$A$73=$A1033)*
      ('Golf Log'!$B$2:$B$73=$B1033)*
      ('Golf Log'!$C$2:$C$73=$C1033),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Log'!$E$2:$V$73,
    MATCH(1,
      ('Putt Log'!$A$2:$A$73=$A1033)*
      ('Putt Log'!$B$2:$B$73=$B1033)*
      ('Putt Log'!$C$2:$C$73=$C1033),
    0),
    MATCH($G1033,'Putt Log'!$E$1:$V$1,0)
  ),
"")</f>
        <v>2</v>
      </c>
      <c r="P1033" t="str" cm="1">
        <f t="array" ref="P1033">IF(K1033=3,"",
  IFERROR(
    INDEX('Fairway Log'!$E$2:$V$73,
      MATCH(1,
        ('Fairway Log'!$A$2:$A$73=$A1033)*
        ('Fairway Log'!$B$2:$B$73=$B1033)*
        ('Fairway Log'!$C$2:$C1104=$C1033),
      0),
      MATCH($G1033,'Fairway Log'!$E$1:$V$1,0)
    ),
  "")
)</f>
        <v>→</v>
      </c>
      <c r="Q1033" cm="1">
        <f t="array" ref="Q1033">IFERROR(
  INDEX('GIR Log'!$E$2:$V$73,
    MATCH(1,
      ('GIR Log'!$A$2:$A$73=$A1033)*
      ('GIR Log'!$B$2:$B$73=$B1033)*
      ('GIR Log'!$C$2:$C$73=$C1033),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Log'!$E$2:$V$73,
    MATCH(1,
      ('Golf Log'!$A$2:$A$73=$A1034)*
      ('Golf Log'!$B$2:$B$73=$B1034)*
      ('Golf Log'!$C$2:$C$73=$C1034),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Log'!$E$2:$V$73,
    MATCH(1,
      ('Putt Log'!$A$2:$A$73=$A1034)*
      ('Putt Log'!$B$2:$B$73=$B1034)*
      ('Putt Log'!$C$2:$C$73=$C1034),
    0),
    MATCH($G1034,'Putt Log'!$E$1:$V$1,0)
  ),
"")</f>
        <v>2</v>
      </c>
      <c r="P1034" t="str" cm="1">
        <f t="array" ref="P1034">IF(K1034=3,"",
  IFERROR(
    INDEX('Fairway Log'!$E$2:$V$73,
      MATCH(1,
        ('Fairway Log'!$A$2:$A$73=$A1034)*
        ('Fairway Log'!$B$2:$B$73=$B1034)*
        ('Fairway Log'!$C$2:$C1105=$C1034),
      0),
      MATCH($G1034,'Fairway Log'!$E$1:$V$1,0)
    ),
  "")
)</f>
        <v>↓</v>
      </c>
      <c r="Q1034" t="str" cm="1">
        <f t="array" ref="Q1034">IFERROR(
  INDEX('GIR Log'!$E$2:$V$73,
    MATCH(1,
      ('GIR Log'!$A$2:$A$73=$A1034)*
      ('GIR Log'!$B$2:$B$73=$B1034)*
      ('GIR Log'!$C$2:$C$73=$C1034),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Log'!$E$2:$V$73,
    MATCH(1,
      ('Golf Log'!$A$2:$A$73=$A1035)*
      ('Golf Log'!$B$2:$B$73=$B1035)*
      ('Golf Log'!$C$2:$C$73=$C1035),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Log'!$E$2:$V$73,
    MATCH(1,
      ('Putt Log'!$A$2:$A$73=$A1035)*
      ('Putt Log'!$B$2:$B$73=$B1035)*
      ('Putt Log'!$C$2:$C$73=$C1035),
    0),
    MATCH($G1035,'Putt Log'!$E$1:$V$1,0)
  ),
"")</f>
        <v>2</v>
      </c>
      <c r="P1035" t="str" cm="1">
        <f t="array" ref="P1035">IF(K1035=3,"",
  IFERROR(
    INDEX('Fairway Log'!$E$2:$V$73,
      MATCH(1,
        ('Fairway Log'!$A$2:$A$73=$A1035)*
        ('Fairway Log'!$B$2:$B$73=$B1035)*
        ('Fairway Log'!$C$2:$C1106=$C1035),
      0),
      MATCH($G1035,'Fairway Log'!$E$1:$V$1,0)
    ),
  "")
)</f>
        <v/>
      </c>
      <c r="Q1035" t="str" cm="1">
        <f t="array" ref="Q1035">IFERROR(
  INDEX('GIR Log'!$E$2:$V$73,
    MATCH(1,
      ('GIR Log'!$A$2:$A$73=$A1035)*
      ('GIR Log'!$B$2:$B$73=$B1035)*
      ('GIR Log'!$C$2:$C$73=$C1035),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Log'!$E$2:$V$73,
    MATCH(1,
      ('Golf Log'!$A$2:$A$73=$A1036)*
      ('Golf Log'!$B$2:$B$73=$B1036)*
      ('Golf Log'!$C$2:$C$73=$C1036),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Log'!$E$2:$V$73,
    MATCH(1,
      ('Putt Log'!$A$2:$A$73=$A1036)*
      ('Putt Log'!$B$2:$B$73=$B1036)*
      ('Putt Log'!$C$2:$C$73=$C1036),
    0),
    MATCH($G1036,'Putt Log'!$E$1:$V$1,0)
  ),
"")</f>
        <v>1</v>
      </c>
      <c r="P1036" t="str" cm="1">
        <f t="array" ref="P1036">IF(K1036=3,"",
  IFERROR(
    INDEX('Fairway Log'!$E$2:$V$73,
      MATCH(1,
        ('Fairway Log'!$A$2:$A$73=$A1036)*
        ('Fairway Log'!$B$2:$B$73=$B1036)*
        ('Fairway Log'!$C$2:$C1107=$C1036),
      0),
      MATCH($G1036,'Fairway Log'!$E$1:$V$1,0)
    ),
  "")
)</f>
        <v>↓</v>
      </c>
      <c r="Q1036" t="str" cm="1">
        <f t="array" ref="Q1036">IFERROR(
  INDEX('GIR Log'!$E$2:$V$73,
    MATCH(1,
      ('GIR Log'!$A$2:$A$73=$A1036)*
      ('GIR Log'!$B$2:$B$73=$B1036)*
      ('GIR Log'!$C$2:$C$73=$C1036),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Log'!$E$2:$V$73,
    MATCH(1,
      ('Golf Log'!$A$2:$A$73=$A1037)*
      ('Golf Log'!$B$2:$B$73=$B1037)*
      ('Golf Log'!$C$2:$C$73=$C1037),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Log'!$E$2:$V$73,
    MATCH(1,
      ('Putt Log'!$A$2:$A$73=$A1037)*
      ('Putt Log'!$B$2:$B$73=$B1037)*
      ('Putt Log'!$C$2:$C$73=$C1037),
    0),
    MATCH($G1037,'Putt Log'!$E$1:$V$1,0)
  ),
"")</f>
        <v>3</v>
      </c>
      <c r="P1037" cm="1">
        <f t="array" ref="P1037">IF(K1037=3,"",
  IFERROR(
    INDEX('Fairway Log'!$E$2:$V$73,
      MATCH(1,
        ('Fairway Log'!$A$2:$A$73=$A1037)*
        ('Fairway Log'!$B$2:$B$73=$B1037)*
        ('Fairway Log'!$C$2:$C1108=$C1037),
      0),
      MATCH($G1037,'Fairway Log'!$E$1:$V$1,0)
    ),
  "")
)</f>
        <v>1</v>
      </c>
      <c r="Q1037" t="str" cm="1">
        <f t="array" ref="Q1037">IFERROR(
  INDEX('GIR Log'!$E$2:$V$73,
    MATCH(1,
      ('GIR Log'!$A$2:$A$73=$A1037)*
      ('GIR Log'!$B$2:$B$73=$B1037)*
      ('GIR Log'!$C$2:$C$73=$C1037),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Log'!$E$2:$V$73,
    MATCH(1,
      ('Golf Log'!$A$2:$A$73=$A1038)*
      ('Golf Log'!$B$2:$B$73=$B1038)*
      ('Golf Log'!$C$2:$C$73=$C1038),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Log'!$E$2:$V$73,
    MATCH(1,
      ('Putt Log'!$A$2:$A$73=$A1038)*
      ('Putt Log'!$B$2:$B$73=$B1038)*
      ('Putt Log'!$C$2:$C$73=$C1038),
    0),
    MATCH($G1038,'Putt Log'!$E$1:$V$1,0)
  ),
"")</f>
        <v>3</v>
      </c>
      <c r="P1038" t="str" cm="1">
        <f t="array" ref="P1038">IF(K1038=3,"",
  IFERROR(
    INDEX('Fairway Log'!$E$2:$V$73,
      MATCH(1,
        ('Fairway Log'!$A$2:$A$73=$A1038)*
        ('Fairway Log'!$B$2:$B$73=$B1038)*
        ('Fairway Log'!$C$2:$C1109=$C1038),
      0),
      MATCH($G1038,'Fairway Log'!$E$1:$V$1,0)
    ),
  "")
)</f>
        <v>→</v>
      </c>
      <c r="Q1038" t="str" cm="1">
        <f t="array" ref="Q1038">IFERROR(
  INDEX('GIR Log'!$E$2:$V$73,
    MATCH(1,
      ('GIR Log'!$A$2:$A$73=$A1038)*
      ('GIR Log'!$B$2:$B$73=$B1038)*
      ('GIR Log'!$C$2:$C$73=$C1038),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Log'!$E$2:$V$73,
    MATCH(1,
      ('Golf Log'!$A$2:$A$73=$A1039)*
      ('Golf Log'!$B$2:$B$73=$B1039)*
      ('Golf Log'!$C$2:$C$73=$C1039),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Log'!$E$2:$V$73,
    MATCH(1,
      ('Putt Log'!$A$2:$A$73=$A1039)*
      ('Putt Log'!$B$2:$B$73=$B1039)*
      ('Putt Log'!$C$2:$C$73=$C1039),
    0),
    MATCH($G1039,'Putt Log'!$E$1:$V$1,0)
  ),
"")</f>
        <v>2</v>
      </c>
      <c r="P1039" t="str" cm="1">
        <f t="array" ref="P1039">IF(K1039=3,"",
  IFERROR(
    INDEX('Fairway Log'!$E$2:$V$73,
      MATCH(1,
        ('Fairway Log'!$A$2:$A$73=$A1039)*
        ('Fairway Log'!$B$2:$B$73=$B1039)*
        ('Fairway Log'!$C$2:$C1110=$C1039),
      0),
      MATCH($G1039,'Fairway Log'!$E$1:$V$1,0)
    ),
  "")
)</f>
        <v>←</v>
      </c>
      <c r="Q1039" t="str" cm="1">
        <f t="array" ref="Q1039">IFERROR(
  INDEX('GIR Log'!$E$2:$V$73,
    MATCH(1,
      ('GIR Log'!$A$2:$A$73=$A1039)*
      ('GIR Log'!$B$2:$B$73=$B1039)*
      ('GIR Log'!$C$2:$C$73=$C1039),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Log'!$E$2:$V$73,
    MATCH(1,
      ('Golf Log'!$A$2:$A$73=$A1040)*
      ('Golf Log'!$B$2:$B$73=$B1040)*
      ('Golf Log'!$C$2:$C$73=$C1040),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Log'!$E$2:$V$73,
    MATCH(1,
      ('Putt Log'!$A$2:$A$73=$A1040)*
      ('Putt Log'!$B$2:$B$73=$B1040)*
      ('Putt Log'!$C$2:$C$73=$C1040),
    0),
    MATCH($G1040,'Putt Log'!$E$1:$V$1,0)
  ),
"")</f>
        <v>2</v>
      </c>
      <c r="P1040" t="str" cm="1">
        <f t="array" ref="P1040">IF(K1040=3,"",
  IFERROR(
    INDEX('Fairway Log'!$E$2:$V$73,
      MATCH(1,
        ('Fairway Log'!$A$2:$A$73=$A1040)*
        ('Fairway Log'!$B$2:$B$73=$B1040)*
        ('Fairway Log'!$C$2:$C1111=$C1040),
      0),
      MATCH($G1040,'Fairway Log'!$E$1:$V$1,0)
    ),
  "")
)</f>
        <v/>
      </c>
      <c r="Q1040" t="str" cm="1">
        <f t="array" ref="Q1040">IFERROR(
  INDEX('GIR Log'!$E$2:$V$73,
    MATCH(1,
      ('GIR Log'!$A$2:$A$73=$A1040)*
      ('GIR Log'!$B$2:$B$73=$B1040)*
      ('GIR Log'!$C$2:$C$73=$C1040),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Log'!$E$2:$V$73,
    MATCH(1,
      ('Golf Log'!$A$2:$A$73=$A1041)*
      ('Golf Log'!$B$2:$B$73=$B1041)*
      ('Golf Log'!$C$2:$C$73=$C1041),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Log'!$E$2:$V$73,
    MATCH(1,
      ('Putt Log'!$A$2:$A$73=$A1041)*
      ('Putt Log'!$B$2:$B$73=$B1041)*
      ('Putt Log'!$C$2:$C$73=$C1041),
    0),
    MATCH($G1041,'Putt Log'!$E$1:$V$1,0)
  ),
"")</f>
        <v>2</v>
      </c>
      <c r="P1041" t="str" cm="1">
        <f t="array" ref="P1041">IF(K1041=3,"",
  IFERROR(
    INDEX('Fairway Log'!$E$2:$V$73,
      MATCH(1,
        ('Fairway Log'!$A$2:$A$73=$A1041)*
        ('Fairway Log'!$B$2:$B$73=$B1041)*
        ('Fairway Log'!$C$2:$C1112=$C1041),
      0),
      MATCH($G1041,'Fairway Log'!$E$1:$V$1,0)
    ),
  "")
)</f>
        <v>←</v>
      </c>
      <c r="Q1041" t="str" cm="1">
        <f t="array" ref="Q1041">IFERROR(
  INDEX('GIR Log'!$E$2:$V$73,
    MATCH(1,
      ('GIR Log'!$A$2:$A$73=$A1041)*
      ('GIR Log'!$B$2:$B$73=$B1041)*
      ('GIR Log'!$C$2:$C$73=$C1041),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Log'!$E$2:$V$73,
    MATCH(1,
      ('Golf Log'!$A$2:$A$73=$A1042)*
      ('Golf Log'!$B$2:$B$73=$B1042)*
      ('Golf Log'!$C$2:$C$73=$C1042),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Log'!$E$2:$V$73,
    MATCH(1,
      ('Putt Log'!$A$2:$A$73=$A1042)*
      ('Putt Log'!$B$2:$B$73=$B1042)*
      ('Putt Log'!$C$2:$C$73=$C1042),
    0),
    MATCH($G1042,'Putt Log'!$E$1:$V$1,0)
  ),
"")</f>
        <v>2</v>
      </c>
      <c r="P1042" cm="1">
        <f t="array" ref="P1042">IF(K1042=3,"",
  IFERROR(
    INDEX('Fairway Log'!$E$2:$V$73,
      MATCH(1,
        ('Fairway Log'!$A$2:$A$73=$A1042)*
        ('Fairway Log'!$B$2:$B$73=$B1042)*
        ('Fairway Log'!$C$2:$C1113=$C1042),
      0),
      MATCH($G1042,'Fairway Log'!$E$1:$V$1,0)
    ),
  "")
)</f>
        <v>1</v>
      </c>
      <c r="Q1042" t="str" cm="1">
        <f t="array" ref="Q1042">IFERROR(
  INDEX('GIR Log'!$E$2:$V$73,
    MATCH(1,
      ('GIR Log'!$A$2:$A$73=$A1042)*
      ('GIR Log'!$B$2:$B$73=$B1042)*
      ('GIR Log'!$C$2:$C$73=$C1042),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Log'!$E$2:$V$73,
    MATCH(1,
      ('Golf Log'!$A$2:$A$73=$A1043)*
      ('Golf Log'!$B$2:$B$73=$B1043)*
      ('Golf Log'!$C$2:$C$73=$C1043),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Log'!$E$2:$V$73,
    MATCH(1,
      ('Putt Log'!$A$2:$A$73=$A1043)*
      ('Putt Log'!$B$2:$B$73=$B1043)*
      ('Putt Log'!$C$2:$C$73=$C1043),
    0),
    MATCH($G1043,'Putt Log'!$E$1:$V$1,0)
  ),
"")</f>
        <v>2</v>
      </c>
      <c r="P1043" t="str" cm="1">
        <f t="array" ref="P1043">IF(K1043=3,"",
  IFERROR(
    INDEX('Fairway Log'!$E$2:$V$73,
      MATCH(1,
        ('Fairway Log'!$A$2:$A$73=$A1043)*
        ('Fairway Log'!$B$2:$B$73=$B1043)*
        ('Fairway Log'!$C$2:$C1114=$C1043),
      0),
      MATCH($G1043,'Fairway Log'!$E$1:$V$1,0)
    ),
  "")
)</f>
        <v/>
      </c>
      <c r="Q1043" t="str" cm="1">
        <f t="array" ref="Q1043">IFERROR(
  INDEX('GIR Log'!$E$2:$V$73,
    MATCH(1,
      ('GIR Log'!$A$2:$A$73=$A1043)*
      ('GIR Log'!$B$2:$B$73=$B1043)*
      ('GIR Log'!$C$2:$C$73=$C1043),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Log'!$E$2:$V$73,
    MATCH(1,
      ('Golf Log'!$A$2:$A$73=$A1044)*
      ('Golf Log'!$B$2:$B$73=$B1044)*
      ('Golf Log'!$C$2:$C$73=$C1044),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Log'!$E$2:$V$73,
    MATCH(1,
      ('Putt Log'!$A$2:$A$73=$A1044)*
      ('Putt Log'!$B$2:$B$73=$B1044)*
      ('Putt Log'!$C$2:$C$73=$C1044),
    0),
    MATCH($G1044,'Putt Log'!$E$1:$V$1,0)
  ),
"")</f>
        <v>2</v>
      </c>
      <c r="P1044" t="str" cm="1">
        <f t="array" ref="P1044">IF(K1044=3,"",
  IFERROR(
    INDEX('Fairway Log'!$E$2:$V$73,
      MATCH(1,
        ('Fairway Log'!$A$2:$A$73=$A1044)*
        ('Fairway Log'!$B$2:$B$73=$B1044)*
        ('Fairway Log'!$C$2:$C1115=$C1044),
      0),
      MATCH($G1044,'Fairway Log'!$E$1:$V$1,0)
    ),
  "")
)</f>
        <v>←</v>
      </c>
      <c r="Q1044" t="str" cm="1">
        <f t="array" ref="Q1044">IFERROR(
  INDEX('GIR Log'!$E$2:$V$73,
    MATCH(1,
      ('GIR Log'!$A$2:$A$73=$A1044)*
      ('GIR Log'!$B$2:$B$73=$B1044)*
      ('GIR Log'!$C$2:$C$73=$C1044),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Log'!$E$2:$V$73,
    MATCH(1,
      ('Golf Log'!$A$2:$A$73=$A1045)*
      ('Golf Log'!$B$2:$B$73=$B1045)*
      ('Golf Log'!$C$2:$C$73=$C1045),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Log'!$E$2:$V$73,
    MATCH(1,
      ('Putt Log'!$A$2:$A$73=$A1045)*
      ('Putt Log'!$B$2:$B$73=$B1045)*
      ('Putt Log'!$C$2:$C$73=$C1045),
    0),
    MATCH($G1045,'Putt Log'!$E$1:$V$1,0)
  ),
"")</f>
        <v>2</v>
      </c>
      <c r="P1045" cm="1">
        <f t="array" ref="P1045">IF(K1045=3,"",
  IFERROR(
    INDEX('Fairway Log'!$E$2:$V$73,
      MATCH(1,
        ('Fairway Log'!$A$2:$A$73=$A1045)*
        ('Fairway Log'!$B$2:$B$73=$B1045)*
        ('Fairway Log'!$C$2:$C1116=$C1045),
      0),
      MATCH($G1045,'Fairway Log'!$E$1:$V$1,0)
    ),
  "")
)</f>
        <v>0</v>
      </c>
      <c r="Q1045" cm="1">
        <f t="array" ref="Q1045">IFERROR(
  INDEX('GIR Log'!$E$2:$V$73,
    MATCH(1,
      ('GIR Log'!$A$2:$A$73=$A1045)*
      ('GIR Log'!$B$2:$B$73=$B1045)*
      ('GIR Log'!$C$2:$C$73=$C1045),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Log'!$E$2:$V$73,
    MATCH(1,
      ('Golf Log'!$A$2:$A$73=$A1046)*
      ('Golf Log'!$B$2:$B$73=$B1046)*
      ('Golf Log'!$C$2:$C$73=$C1046),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Log'!$E$2:$V$73,
    MATCH(1,
      ('Putt Log'!$A$2:$A$73=$A1046)*
      ('Putt Log'!$B$2:$B$73=$B1046)*
      ('Putt Log'!$C$2:$C$73=$C1046),
    0),
    MATCH($G1046,'Putt Log'!$E$1:$V$1,0)
  ),
"")</f>
        <v>2</v>
      </c>
      <c r="P1046" t="str" cm="1">
        <f t="array" ref="P1046">IF(K1046=3,"",
  IFERROR(
    INDEX('Fairway Log'!$E$2:$V$73,
      MATCH(1,
        ('Fairway Log'!$A$2:$A$73=$A1046)*
        ('Fairway Log'!$B$2:$B$73=$B1046)*
        ('Fairway Log'!$C$2:$C1117=$C1046),
      0),
      MATCH($G1046,'Fairway Log'!$E$1:$V$1,0)
    ),
  "")
)</f>
        <v>↑</v>
      </c>
      <c r="Q1046" cm="1">
        <f t="array" ref="Q1046">IFERROR(
  INDEX('GIR Log'!$E$2:$V$73,
    MATCH(1,
      ('GIR Log'!$A$2:$A$73=$A1046)*
      ('GIR Log'!$B$2:$B$73=$B1046)*
      ('GIR Log'!$C$2:$C$73=$C1046),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Log'!$E$2:$V$73,
    MATCH(1,
      ('Golf Log'!$A$2:$A$73=$A1047)*
      ('Golf Log'!$B$2:$B$73=$B1047)*
      ('Golf Log'!$C$2:$C$73=$C1047),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Log'!$E$2:$V$73,
    MATCH(1,
      ('Putt Log'!$A$2:$A$73=$A1047)*
      ('Putt Log'!$B$2:$B$73=$B1047)*
      ('Putt Log'!$C$2:$C$73=$C1047),
    0),
    MATCH($G1047,'Putt Log'!$E$1:$V$1,0)
  ),
"")</f>
        <v>2</v>
      </c>
      <c r="P1047" t="str" cm="1">
        <f t="array" ref="P1047">IF(K1047=3,"",
  IFERROR(
    INDEX('Fairway Log'!$E$2:$V$73,
      MATCH(1,
        ('Fairway Log'!$A$2:$A$73=$A1047)*
        ('Fairway Log'!$B$2:$B$73=$B1047)*
        ('Fairway Log'!$C$2:$C1118=$C1047),
      0),
      MATCH($G1047,'Fairway Log'!$E$1:$V$1,0)
    ),
  "")
)</f>
        <v/>
      </c>
      <c r="Q1047" t="str" cm="1">
        <f t="array" ref="Q1047">IFERROR(
  INDEX('GIR Log'!$E$2:$V$73,
    MATCH(1,
      ('GIR Log'!$A$2:$A$73=$A1047)*
      ('GIR Log'!$B$2:$B$73=$B1047)*
      ('GIR Log'!$C$2:$C$73=$C1047),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Log'!$E$2:$V$73,
    MATCH(1,
      ('Golf Log'!$A$2:$A$73=$A1048)*
      ('Golf Log'!$B$2:$B$73=$B1048)*
      ('Golf Log'!$C$2:$C$73=$C1048),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Log'!$E$2:$V$73,
    MATCH(1,
      ('Putt Log'!$A$2:$A$73=$A1048)*
      ('Putt Log'!$B$2:$B$73=$B1048)*
      ('Putt Log'!$C$2:$C$73=$C1048),
    0),
    MATCH($G1048,'Putt Log'!$E$1:$V$1,0)
  ),
"")</f>
        <v>1</v>
      </c>
      <c r="P1048" cm="1">
        <f t="array" ref="P1048">IF(K1048=3,"",
  IFERROR(
    INDEX('Fairway Log'!$E$2:$V$73,
      MATCH(1,
        ('Fairway Log'!$A$2:$A$73=$A1048)*
        ('Fairway Log'!$B$2:$B$73=$B1048)*
        ('Fairway Log'!$C$2:$C1119=$C1048),
      0),
      MATCH($G1048,'Fairway Log'!$E$1:$V$1,0)
    ),
  "")
)</f>
        <v>1</v>
      </c>
      <c r="Q1048" t="str" cm="1">
        <f t="array" ref="Q1048">IFERROR(
  INDEX('GIR Log'!$E$2:$V$73,
    MATCH(1,
      ('GIR Log'!$A$2:$A$73=$A1048)*
      ('GIR Log'!$B$2:$B$73=$B1048)*
      ('GIR Log'!$C$2:$C$73=$C1048),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Log'!$E$2:$V$73,
    MATCH(1,
      ('Golf Log'!$A$2:$A$73=$A1049)*
      ('Golf Log'!$B$2:$B$73=$B1049)*
      ('Golf Log'!$C$2:$C$73=$C1049),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Log'!$E$2:$V$73,
    MATCH(1,
      ('Putt Log'!$A$2:$A$73=$A1049)*
      ('Putt Log'!$B$2:$B$73=$B1049)*
      ('Putt Log'!$C$2:$C$73=$C1049),
    0),
    MATCH($G1049,'Putt Log'!$E$1:$V$1,0)
  ),
"")</f>
        <v>2</v>
      </c>
      <c r="P1049" cm="1">
        <f t="array" ref="P1049">IF(K1049=3,"",
  IFERROR(
    INDEX('Fairway Log'!$E$2:$V$73,
      MATCH(1,
        ('Fairway Log'!$A$2:$A$73=$A1049)*
        ('Fairway Log'!$B$2:$B$73=$B1049)*
        ('Fairway Log'!$C$2:$C1120=$C1049),
      0),
      MATCH($G1049,'Fairway Log'!$E$1:$V$1,0)
    ),
  "")
)</f>
        <v>0</v>
      </c>
      <c r="Q1049" cm="1">
        <f t="array" ref="Q1049">IFERROR(
  INDEX('GIR Log'!$E$2:$V$73,
    MATCH(1,
      ('GIR Log'!$A$2:$A$73=$A1049)*
      ('GIR Log'!$B$2:$B$73=$B1049)*
      ('GIR Log'!$C$2:$C$73=$C1049),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Log'!$E$2:$V$73,
    MATCH(1,
      ('Golf Log'!$A$2:$A$73=$A1050)*
      ('Golf Log'!$B$2:$B$73=$B1050)*
      ('Golf Log'!$C$2:$C$73=$C1050),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Log'!$E$2:$V$73,
    MATCH(1,
      ('Putt Log'!$A$2:$A$73=$A1050)*
      ('Putt Log'!$B$2:$B$73=$B1050)*
      ('Putt Log'!$C$2:$C$73=$C1050),
    0),
    MATCH($G1050,'Putt Log'!$E$1:$V$1,0)
  ),
"")</f>
        <v>2</v>
      </c>
      <c r="P1050" cm="1">
        <f t="array" ref="P1050">IF(K1050=3,"",
  IFERROR(
    INDEX('Fairway Log'!$E$2:$V$73,
      MATCH(1,
        ('Fairway Log'!$A$2:$A$73=$A1050)*
        ('Fairway Log'!$B$2:$B$73=$B1050)*
        ('Fairway Log'!$C$2:$C1121=$C1050),
      0),
      MATCH($G1050,'Fairway Log'!$E$1:$V$1,0)
    ),
  "")
)</f>
        <v>0</v>
      </c>
      <c r="Q1050" cm="1">
        <f t="array" ref="Q1050">IFERROR(
  INDEX('GIR Log'!$E$2:$V$73,
    MATCH(1,
      ('GIR Log'!$A$2:$A$73=$A1050)*
      ('GIR Log'!$B$2:$B$73=$B1050)*
      ('GIR Log'!$C$2:$C$73=$C1050),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Log'!$E$2:$V$73,
    MATCH(1,
      ('Golf Log'!$A$2:$A$73=$A1051)*
      ('Golf Log'!$B$2:$B$73=$B1051)*
      ('Golf Log'!$C$2:$C$73=$C1051),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Log'!$E$2:$V$73,
    MATCH(1,
      ('Putt Log'!$A$2:$A$73=$A1051)*
      ('Putt Log'!$B$2:$B$73=$B1051)*
      ('Putt Log'!$C$2:$C$73=$C1051),
    0),
    MATCH($G1051,'Putt Log'!$E$1:$V$1,0)
  ),
"")</f>
        <v>2</v>
      </c>
      <c r="P1051" cm="1">
        <f t="array" ref="P1051">IF(K1051=3,"",
  IFERROR(
    INDEX('Fairway Log'!$E$2:$V$73,
      MATCH(1,
        ('Fairway Log'!$A$2:$A$73=$A1051)*
        ('Fairway Log'!$B$2:$B$73=$B1051)*
        ('Fairway Log'!$C$2:$C1122=$C1051),
      0),
      MATCH($G1051,'Fairway Log'!$E$1:$V$1,0)
    ),
  "")
)</f>
        <v>0</v>
      </c>
      <c r="Q1051" cm="1">
        <f t="array" ref="Q1051">IFERROR(
  INDEX('GIR Log'!$E$2:$V$73,
    MATCH(1,
      ('GIR Log'!$A$2:$A$73=$A1051)*
      ('GIR Log'!$B$2:$B$73=$B1051)*
      ('GIR Log'!$C$2:$C$73=$C1051),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Log'!$E$2:$V$73,
    MATCH(1,
      ('Golf Log'!$A$2:$A$73=$A1052)*
      ('Golf Log'!$B$2:$B$73=$B1052)*
      ('Golf Log'!$C$2:$C$73=$C1052),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Log'!$E$2:$V$73,
    MATCH(1,
      ('Putt Log'!$A$2:$A$73=$A1052)*
      ('Putt Log'!$B$2:$B$73=$B1052)*
      ('Putt Log'!$C$2:$C$73=$C1052),
    0),
    MATCH($G1052,'Putt Log'!$E$1:$V$1,0)
  ),
"")</f>
        <v>2</v>
      </c>
      <c r="P1052" t="str" cm="1">
        <f t="array" ref="P1052">IF(K1052=3,"",
  IFERROR(
    INDEX('Fairway Log'!$E$2:$V$73,
      MATCH(1,
        ('Fairway Log'!$A$2:$A$73=$A1052)*
        ('Fairway Log'!$B$2:$B$73=$B1052)*
        ('Fairway Log'!$C$2:$C1123=$C1052),
      0),
      MATCH($G1052,'Fairway Log'!$E$1:$V$1,0)
    ),
  "")
)</f>
        <v>←</v>
      </c>
      <c r="Q1052" t="str" cm="1">
        <f t="array" ref="Q1052">IFERROR(
  INDEX('GIR Log'!$E$2:$V$73,
    MATCH(1,
      ('GIR Log'!$A$2:$A$73=$A1052)*
      ('GIR Log'!$B$2:$B$73=$B1052)*
      ('GIR Log'!$C$2:$C$73=$C1052),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Log'!$E$2:$V$73,
    MATCH(1,
      ('Golf Log'!$A$2:$A$73=$A1053)*
      ('Golf Log'!$B$2:$B$73=$B1053)*
      ('Golf Log'!$C$2:$C$73=$C1053),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Log'!$E$2:$V$73,
    MATCH(1,
      ('Putt Log'!$A$2:$A$73=$A1053)*
      ('Putt Log'!$B$2:$B$73=$B1053)*
      ('Putt Log'!$C$2:$C$73=$C1053),
    0),
    MATCH($G1053,'Putt Log'!$E$1:$V$1,0)
  ),
"")</f>
        <v>2</v>
      </c>
      <c r="P1053" t="str" cm="1">
        <f t="array" ref="P1053">IF(K1053=3,"",
  IFERROR(
    INDEX('Fairway Log'!$E$2:$V$73,
      MATCH(1,
        ('Fairway Log'!$A$2:$A$73=$A1053)*
        ('Fairway Log'!$B$2:$B$73=$B1053)*
        ('Fairway Log'!$C$2:$C1124=$C1053),
      0),
      MATCH($G1053,'Fairway Log'!$E$1:$V$1,0)
    ),
  "")
)</f>
        <v/>
      </c>
      <c r="Q1053" t="str" cm="1">
        <f t="array" ref="Q1053">IFERROR(
  INDEX('GIR Log'!$E$2:$V$73,
    MATCH(1,
      ('GIR Log'!$A$2:$A$73=$A1053)*
      ('GIR Log'!$B$2:$B$73=$B1053)*
      ('GIR Log'!$C$2:$C$73=$C1053),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Log'!$E$2:$V$73,
    MATCH(1,
      ('Golf Log'!$A$2:$A$73=$A1054)*
      ('Golf Log'!$B$2:$B$73=$B1054)*
      ('Golf Log'!$C$2:$C$73=$C1054),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Log'!$E$2:$V$73,
    MATCH(1,
      ('Putt Log'!$A$2:$A$73=$A1054)*
      ('Putt Log'!$B$2:$B$73=$B1054)*
      ('Putt Log'!$C$2:$C$73=$C1054),
    0),
    MATCH($G1054,'Putt Log'!$E$1:$V$1,0)
  ),
"")</f>
        <v>2</v>
      </c>
      <c r="P1054" t="str" cm="1">
        <f t="array" ref="P1054">IF(K1054=3,"",
  IFERROR(
    INDEX('Fairway Log'!$E$2:$V$73,
      MATCH(1,
        ('Fairway Log'!$A$2:$A$73=$A1054)*
        ('Fairway Log'!$B$2:$B$73=$B1054)*
        ('Fairway Log'!$C$2:$C1125=$C1054),
      0),
      MATCH($G1054,'Fairway Log'!$E$1:$V$1,0)
    ),
  "")
)</f>
        <v>←</v>
      </c>
      <c r="Q1054" t="str" cm="1">
        <f t="array" ref="Q1054">IFERROR(
  INDEX('GIR Log'!$E$2:$V$73,
    MATCH(1,
      ('GIR Log'!$A$2:$A$73=$A1054)*
      ('GIR Log'!$B$2:$B$73=$B1054)*
      ('GIR Log'!$C$2:$C$73=$C1054),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Log'!$E$2:$V$73,
    MATCH(1,
      ('Golf Log'!$A$2:$A$73=$A1055)*
      ('Golf Log'!$B$2:$B$73=$B1055)*
      ('Golf Log'!$C$2:$C$73=$C1055),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Log'!$E$2:$V$73,
    MATCH(1,
      ('Putt Log'!$A$2:$A$73=$A1055)*
      ('Putt Log'!$B$2:$B$73=$B1055)*
      ('Putt Log'!$C$2:$C$73=$C1055),
    0),
    MATCH($G1055,'Putt Log'!$E$1:$V$1,0)
  ),
"")</f>
        <v>2</v>
      </c>
      <c r="P1055" t="str" cm="1">
        <f t="array" ref="P1055">IF(K1055=3,"",
  IFERROR(
    INDEX('Fairway Log'!$E$2:$V$73,
      MATCH(1,
        ('Fairway Log'!$A$2:$A$73=$A1055)*
        ('Fairway Log'!$B$2:$B$73=$B1055)*
        ('Fairway Log'!$C$2:$C1126=$C1055),
      0),
      MATCH($G1055,'Fairway Log'!$E$1:$V$1,0)
    ),
  "")
)</f>
        <v>←</v>
      </c>
      <c r="Q1055" t="str" cm="1">
        <f t="array" ref="Q1055">IFERROR(
  INDEX('GIR Log'!$E$2:$V$73,
    MATCH(1,
      ('GIR Log'!$A$2:$A$73=$A1055)*
      ('GIR Log'!$B$2:$B$73=$B1055)*
      ('GIR Log'!$C$2:$C$73=$C1055),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Log'!$E$2:$V$73,
    MATCH(1,
      ('Golf Log'!$A$2:$A$73=$A1056)*
      ('Golf Log'!$B$2:$B$73=$B1056)*
      ('Golf Log'!$C$2:$C$73=$C1056),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Log'!$E$2:$V$73,
    MATCH(1,
      ('Putt Log'!$A$2:$A$73=$A1056)*
      ('Putt Log'!$B$2:$B$73=$B1056)*
      ('Putt Log'!$C$2:$C$73=$C1056),
    0),
    MATCH($G1056,'Putt Log'!$E$1:$V$1,0)
  ),
"")</f>
        <v>2</v>
      </c>
      <c r="P1056" t="str" cm="1">
        <f t="array" ref="P1056">IF(K1056=3,"",
  IFERROR(
    INDEX('Fairway Log'!$E$2:$V$73,
      MATCH(1,
        ('Fairway Log'!$A$2:$A$73=$A1056)*
        ('Fairway Log'!$B$2:$B$73=$B1056)*
        ('Fairway Log'!$C$2:$C1127=$C1056),
      0),
      MATCH($G1056,'Fairway Log'!$E$1:$V$1,0)
    ),
  "")
)</f>
        <v>←</v>
      </c>
      <c r="Q1056" cm="1">
        <f t="array" ref="Q1056">IFERROR(
  INDEX('GIR Log'!$E$2:$V$73,
    MATCH(1,
      ('GIR Log'!$A$2:$A$73=$A1056)*
      ('GIR Log'!$B$2:$B$73=$B1056)*
      ('GIR Log'!$C$2:$C$73=$C1056),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Log'!$E$2:$V$73,
    MATCH(1,
      ('Golf Log'!$A$2:$A$73=$A1057)*
      ('Golf Log'!$B$2:$B$73=$B1057)*
      ('Golf Log'!$C$2:$C$73=$C1057),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Log'!$E$2:$V$73,
    MATCH(1,
      ('Putt Log'!$A$2:$A$73=$A1057)*
      ('Putt Log'!$B$2:$B$73=$B1057)*
      ('Putt Log'!$C$2:$C$73=$C1057),
    0),
    MATCH($G1057,'Putt Log'!$E$1:$V$1,0)
  ),
"")</f>
        <v>2</v>
      </c>
      <c r="P1057" t="str" cm="1">
        <f t="array" ref="P1057">IF(K1057=3,"",
  IFERROR(
    INDEX('Fairway Log'!$E$2:$V$73,
      MATCH(1,
        ('Fairway Log'!$A$2:$A$73=$A1057)*
        ('Fairway Log'!$B$2:$B$73=$B1057)*
        ('Fairway Log'!$C$2:$C1128=$C1057),
      0),
      MATCH($G1057,'Fairway Log'!$E$1:$V$1,0)
    ),
  "")
)</f>
        <v>←</v>
      </c>
      <c r="Q1057" t="str" cm="1">
        <f t="array" ref="Q1057">IFERROR(
  INDEX('GIR Log'!$E$2:$V$73,
    MATCH(1,
      ('GIR Log'!$A$2:$A$73=$A1057)*
      ('GIR Log'!$B$2:$B$73=$B1057)*
      ('GIR Log'!$C$2:$C$73=$C1057),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Log'!$E$2:$V$73,
    MATCH(1,
      ('Golf Log'!$A$2:$A$73=$A1058)*
      ('Golf Log'!$B$2:$B$73=$B1058)*
      ('Golf Log'!$C$2:$C$73=$C1058),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Log'!$E$2:$V$73,
    MATCH(1,
      ('Putt Log'!$A$2:$A$73=$A1058)*
      ('Putt Log'!$B$2:$B$73=$B1058)*
      ('Putt Log'!$C$2:$C$73=$C1058),
    0),
    MATCH($G1058,'Putt Log'!$E$1:$V$1,0)
  ),
"")</f>
        <v>3</v>
      </c>
      <c r="P1058" cm="1">
        <f t="array" ref="P1058">IF(K1058=3,"",
  IFERROR(
    INDEX('Fairway Log'!$E$2:$V$73,
      MATCH(1,
        ('Fairway Log'!$A$2:$A$73=$A1058)*
        ('Fairway Log'!$B$2:$B$73=$B1058)*
        ('Fairway Log'!$C$2:$C1129=$C1058),
      0),
      MATCH($G1058,'Fairway Log'!$E$1:$V$1,0)
    ),
  "")
)</f>
        <v>1</v>
      </c>
      <c r="Q1058" cm="1">
        <f t="array" ref="Q1058">IFERROR(
  INDEX('GIR Log'!$E$2:$V$73,
    MATCH(1,
      ('GIR Log'!$A$2:$A$73=$A1058)*
      ('GIR Log'!$B$2:$B$73=$B1058)*
      ('GIR Log'!$C$2:$C$73=$C1058),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Log'!$E$2:$V$73,
    MATCH(1,
      ('Golf Log'!$A$2:$A$73=$A1059)*
      ('Golf Log'!$B$2:$B$73=$B1059)*
      ('Golf Log'!$C$2:$C$73=$C1059),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Log'!$E$2:$V$73,
    MATCH(1,
      ('Putt Log'!$A$2:$A$73=$A1059)*
      ('Putt Log'!$B$2:$B$73=$B1059)*
      ('Putt Log'!$C$2:$C$73=$C1059),
    0),
    MATCH($G1059,'Putt Log'!$E$1:$V$1,0)
  ),
"")</f>
        <v>3</v>
      </c>
      <c r="P1059" cm="1">
        <f t="array" ref="P1059">IF(K1059=3,"",
  IFERROR(
    INDEX('Fairway Log'!$E$2:$V$73,
      MATCH(1,
        ('Fairway Log'!$A$2:$A$73=$A1059)*
        ('Fairway Log'!$B$2:$B$73=$B1059)*
        ('Fairway Log'!$C$2:$C1130=$C1059),
      0),
      MATCH($G1059,'Fairway Log'!$E$1:$V$1,0)
    ),
  "")
)</f>
        <v>1</v>
      </c>
      <c r="Q1059" t="str" cm="1">
        <f t="array" ref="Q1059">IFERROR(
  INDEX('GIR Log'!$E$2:$V$73,
    MATCH(1,
      ('GIR Log'!$A$2:$A$73=$A1059)*
      ('GIR Log'!$B$2:$B$73=$B1059)*
      ('GIR Log'!$C$2:$C$73=$C1059),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Log'!$E$2:$V$73,
    MATCH(1,
      ('Golf Log'!$A$2:$A$73=$A1060)*
      ('Golf Log'!$B$2:$B$73=$B1060)*
      ('Golf Log'!$C$2:$C$73=$C1060),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Log'!$E$2:$V$73,
    MATCH(1,
      ('Putt Log'!$A$2:$A$73=$A1060)*
      ('Putt Log'!$B$2:$B$73=$B1060)*
      ('Putt Log'!$C$2:$C$73=$C1060),
    0),
    MATCH($G1060,'Putt Log'!$E$1:$V$1,0)
  ),
"")</f>
        <v>2</v>
      </c>
      <c r="P1060" t="str" cm="1">
        <f t="array" ref="P1060">IF(K1060=3,"",
  IFERROR(
    INDEX('Fairway Log'!$E$2:$V$73,
      MATCH(1,
        ('Fairway Log'!$A$2:$A$73=$A1060)*
        ('Fairway Log'!$B$2:$B$73=$B1060)*
        ('Fairway Log'!$C$2:$C1131=$C1060),
      0),
      MATCH($G1060,'Fairway Log'!$E$1:$V$1,0)
    ),
  "")
)</f>
        <v/>
      </c>
      <c r="Q1060" t="str" cm="1">
        <f t="array" ref="Q1060">IFERROR(
  INDEX('GIR Log'!$E$2:$V$73,
    MATCH(1,
      ('GIR Log'!$A$2:$A$73=$A1060)*
      ('GIR Log'!$B$2:$B$73=$B1060)*
      ('GIR Log'!$C$2:$C$73=$C1060),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Log'!$E$2:$V$73,
    MATCH(1,
      ('Golf Log'!$A$2:$A$73=$A1061)*
      ('Golf Log'!$B$2:$B$73=$B1061)*
      ('Golf Log'!$C$2:$C$73=$C1061),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Log'!$E$2:$V$73,
    MATCH(1,
      ('Putt Log'!$A$2:$A$73=$A1061)*
      ('Putt Log'!$B$2:$B$73=$B1061)*
      ('Putt Log'!$C$2:$C$73=$C1061),
    0),
    MATCH($G1061,'Putt Log'!$E$1:$V$1,0)
  ),
"")</f>
        <v>2</v>
      </c>
      <c r="P1061" t="str" cm="1">
        <f t="array" ref="P1061">IF(K1061=3,"",
  IFERROR(
    INDEX('Fairway Log'!$E$2:$V$73,
      MATCH(1,
        ('Fairway Log'!$A$2:$A$73=$A1061)*
        ('Fairway Log'!$B$2:$B$73=$B1061)*
        ('Fairway Log'!$C$2:$C1132=$C1061),
      0),
      MATCH($G1061,'Fairway Log'!$E$1:$V$1,0)
    ),
  "")
)</f>
        <v>→</v>
      </c>
      <c r="Q1061" t="str" cm="1">
        <f t="array" ref="Q1061">IFERROR(
  INDEX('GIR Log'!$E$2:$V$73,
    MATCH(1,
      ('GIR Log'!$A$2:$A$73=$A1061)*
      ('GIR Log'!$B$2:$B$73=$B1061)*
      ('GIR Log'!$C$2:$C$73=$C1061),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Log'!$E$2:$V$73,
    MATCH(1,
      ('Golf Log'!$A$2:$A$73=$A1062)*
      ('Golf Log'!$B$2:$B$73=$B1062)*
      ('Golf Log'!$C$2:$C$73=$C1062),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Log'!$E$2:$V$73,
    MATCH(1,
      ('Putt Log'!$A$2:$A$73=$A1062)*
      ('Putt Log'!$B$2:$B$73=$B1062)*
      ('Putt Log'!$C$2:$C$73=$C1062),
    0),
    MATCH($G1062,'Putt Log'!$E$1:$V$1,0)
  ),
"")</f>
        <v>2</v>
      </c>
      <c r="P1062" t="str" cm="1">
        <f t="array" ref="P1062">IF(K1062=3,"",
  IFERROR(
    INDEX('Fairway Log'!$E$2:$V$73,
      MATCH(1,
        ('Fairway Log'!$A$2:$A$73=$A1062)*
        ('Fairway Log'!$B$2:$B$73=$B1062)*
        ('Fairway Log'!$C$2:$C1133=$C1062),
      0),
      MATCH($G1062,'Fairway Log'!$E$1:$V$1,0)
    ),
  "")
)</f>
        <v/>
      </c>
      <c r="Q1062" cm="1">
        <f t="array" ref="Q1062">IFERROR(
  INDEX('GIR Log'!$E$2:$V$73,
    MATCH(1,
      ('GIR Log'!$A$2:$A$73=$A1062)*
      ('GIR Log'!$B$2:$B$73=$B1062)*
      ('GIR Log'!$C$2:$C$73=$C1062),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Log'!$E$2:$V$73,
    MATCH(1,
      ('Golf Log'!$A$2:$A$73=$A1063)*
      ('Golf Log'!$B$2:$B$73=$B1063)*
      ('Golf Log'!$C$2:$C$73=$C1063),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Log'!$E$2:$V$73,
    MATCH(1,
      ('Putt Log'!$A$2:$A$73=$A1063)*
      ('Putt Log'!$B$2:$B$73=$B1063)*
      ('Putt Log'!$C$2:$C$73=$C1063),
    0),
    MATCH($G1063,'Putt Log'!$E$1:$V$1,0)
  ),
"")</f>
        <v>2</v>
      </c>
      <c r="P1063" t="str" cm="1">
        <f t="array" ref="P1063">IF(K1063=3,"",
  IFERROR(
    INDEX('Fairway Log'!$E$2:$V$73,
      MATCH(1,
        ('Fairway Log'!$A$2:$A$73=$A1063)*
        ('Fairway Log'!$B$2:$B$73=$B1063)*
        ('Fairway Log'!$C$2:$C1134=$C1063),
      0),
      MATCH($G1063,'Fairway Log'!$E$1:$V$1,0)
    ),
  "")
)</f>
        <v>←</v>
      </c>
      <c r="Q1063" t="str" cm="1">
        <f t="array" ref="Q1063">IFERROR(
  INDEX('GIR Log'!$E$2:$V$73,
    MATCH(1,
      ('GIR Log'!$A$2:$A$73=$A1063)*
      ('GIR Log'!$B$2:$B$73=$B1063)*
      ('GIR Log'!$C$2:$C$73=$C1063),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Log'!$E$2:$V$73,
    MATCH(1,
      ('Golf Log'!$A$2:$A$73=$A1064)*
      ('Golf Log'!$B$2:$B$73=$B1064)*
      ('Golf Log'!$C$2:$C$73=$C1064),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Log'!$E$2:$V$73,
    MATCH(1,
      ('Putt Log'!$A$2:$A$73=$A1064)*
      ('Putt Log'!$B$2:$B$73=$B1064)*
      ('Putt Log'!$C$2:$C$73=$C1064),
    0),
    MATCH($G1064,'Putt Log'!$E$1:$V$1,0)
  ),
"")</f>
        <v>2</v>
      </c>
      <c r="P1064" t="str" cm="1">
        <f t="array" ref="P1064">IF(K1064=3,"",
  IFERROR(
    INDEX('Fairway Log'!$E$2:$V$73,
      MATCH(1,
        ('Fairway Log'!$A$2:$A$73=$A1064)*
        ('Fairway Log'!$B$2:$B$73=$B1064)*
        ('Fairway Log'!$C$2:$C1135=$C1064),
      0),
      MATCH($G1064,'Fairway Log'!$E$1:$V$1,0)
    ),
  "")
)</f>
        <v>←</v>
      </c>
      <c r="Q1064" t="str" cm="1">
        <f t="array" ref="Q1064">IFERROR(
  INDEX('GIR Log'!$E$2:$V$73,
    MATCH(1,
      ('GIR Log'!$A$2:$A$73=$A1064)*
      ('GIR Log'!$B$2:$B$73=$B1064)*
      ('GIR Log'!$C$2:$C$73=$C1064),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Log'!$E$2:$V$73,
    MATCH(1,
      ('Golf Log'!$A$2:$A$73=$A1065)*
      ('Golf Log'!$B$2:$B$73=$B1065)*
      ('Golf Log'!$C$2:$C$73=$C1065),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Log'!$E$2:$V$73,
    MATCH(1,
      ('Putt Log'!$A$2:$A$73=$A1065)*
      ('Putt Log'!$B$2:$B$73=$B1065)*
      ('Putt Log'!$C$2:$C$73=$C1065),
    0),
    MATCH($G1065,'Putt Log'!$E$1:$V$1,0)
  ),
"")</f>
        <v>2</v>
      </c>
      <c r="P1065" cm="1">
        <f t="array" ref="P1065">IF(K1065=3,"",
  IFERROR(
    INDEX('Fairway Log'!$E$2:$V$73,
      MATCH(1,
        ('Fairway Log'!$A$2:$A$73=$A1065)*
        ('Fairway Log'!$B$2:$B$73=$B1065)*
        ('Fairway Log'!$C$2:$C1136=$C1065),
      0),
      MATCH($G1065,'Fairway Log'!$E$1:$V$1,0)
    ),
  "")
)</f>
        <v>1</v>
      </c>
      <c r="Q1065" cm="1">
        <f t="array" ref="Q1065">IFERROR(
  INDEX('GIR Log'!$E$2:$V$73,
    MATCH(1,
      ('GIR Log'!$A$2:$A$73=$A1065)*
      ('GIR Log'!$B$2:$B$73=$B1065)*
      ('GIR Log'!$C$2:$C$73=$C1065),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Log'!$E$2:$V$73,
    MATCH(1,
      ('Golf Log'!$A$2:$A$73=$A1066)*
      ('Golf Log'!$B$2:$B$73=$B1066)*
      ('Golf Log'!$C$2:$C$73=$C1066),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Log'!$E$2:$V$73,
    MATCH(1,
      ('Putt Log'!$A$2:$A$73=$A1066)*
      ('Putt Log'!$B$2:$B$73=$B1066)*
      ('Putt Log'!$C$2:$C$73=$C1066),
    0),
    MATCH($G1066,'Putt Log'!$E$1:$V$1,0)
  ),
"")</f>
        <v>3</v>
      </c>
      <c r="P1066" t="str" cm="1">
        <f t="array" ref="P1066">IF(K1066=3,"",
  IFERROR(
    INDEX('Fairway Log'!$E$2:$V$73,
      MATCH(1,
        ('Fairway Log'!$A$2:$A$73=$A1066)*
        ('Fairway Log'!$B$2:$B$73=$B1066)*
        ('Fairway Log'!$C$2:$C1137=$C1066),
      0),
      MATCH($G1066,'Fairway Log'!$E$1:$V$1,0)
    ),
  "")
)</f>
        <v/>
      </c>
      <c r="Q1066" cm="1">
        <f t="array" ref="Q1066">IFERROR(
  INDEX('GIR Log'!$E$2:$V$73,
    MATCH(1,
      ('GIR Log'!$A$2:$A$73=$A1066)*
      ('GIR Log'!$B$2:$B$73=$B1066)*
      ('GIR Log'!$C$2:$C$73=$C1066),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Log'!$E$2:$V$73,
    MATCH(1,
      ('Golf Log'!$A$2:$A$73=$A1067)*
      ('Golf Log'!$B$2:$B$73=$B1067)*
      ('Golf Log'!$C$2:$C$73=$C1067),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Log'!$E$2:$V$73,
    MATCH(1,
      ('Putt Log'!$A$2:$A$73=$A1067)*
      ('Putt Log'!$B$2:$B$73=$B1067)*
      ('Putt Log'!$C$2:$C$73=$C1067),
    0),
    MATCH($G1067,'Putt Log'!$E$1:$V$1,0)
  ),
"")</f>
        <v>2</v>
      </c>
      <c r="P1067" cm="1">
        <f t="array" ref="P1067">IF(K1067=3,"",
  IFERROR(
    INDEX('Fairway Log'!$E$2:$V$73,
      MATCH(1,
        ('Fairway Log'!$A$2:$A$73=$A1067)*
        ('Fairway Log'!$B$2:$B$73=$B1067)*
        ('Fairway Log'!$C$2:$C1138=$C1067),
      0),
      MATCH($G1067,'Fairway Log'!$E$1:$V$1,0)
    ),
  "")
)</f>
        <v>1</v>
      </c>
      <c r="Q1067" cm="1">
        <f t="array" ref="Q1067">IFERROR(
  INDEX('GIR Log'!$E$2:$V$73,
    MATCH(1,
      ('GIR Log'!$A$2:$A$73=$A1067)*
      ('GIR Log'!$B$2:$B$73=$B1067)*
      ('GIR Log'!$C$2:$C$73=$C1067),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Log'!$E$2:$V$73,
    MATCH(1,
      ('Golf Log'!$A$2:$A$73=$A1068)*
      ('Golf Log'!$B$2:$B$73=$B1068)*
      ('Golf Log'!$C$2:$C$73=$C1068),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Log'!$E$2:$V$73,
    MATCH(1,
      ('Putt Log'!$A$2:$A$73=$A1068)*
      ('Putt Log'!$B$2:$B$73=$B1068)*
      ('Putt Log'!$C$2:$C$73=$C1068),
    0),
    MATCH($G1068,'Putt Log'!$E$1:$V$1,0)
  ),
"")</f>
        <v>2</v>
      </c>
      <c r="P1068" t="str" cm="1">
        <f t="array" ref="P1068">IF(K1068=3,"",
  IFERROR(
    INDEX('Fairway Log'!$E$2:$V$73,
      MATCH(1,
        ('Fairway Log'!$A$2:$A$73=$A1068)*
        ('Fairway Log'!$B$2:$B$73=$B1068)*
        ('Fairway Log'!$C$2:$C1139=$C1068),
      0),
      MATCH($G1068,'Fairway Log'!$E$1:$V$1,0)
    ),
  "")
)</f>
        <v>→</v>
      </c>
      <c r="Q1068" t="str" cm="1">
        <f t="array" ref="Q1068">IFERROR(
  INDEX('GIR Log'!$E$2:$V$73,
    MATCH(1,
      ('GIR Log'!$A$2:$A$73=$A1068)*
      ('GIR Log'!$B$2:$B$73=$B1068)*
      ('GIR Log'!$C$2:$C$73=$C1068),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Log'!$E$2:$V$73,
    MATCH(1,
      ('Golf Log'!$A$2:$A$73=$A1069)*
      ('Golf Log'!$B$2:$B$73=$B1069)*
      ('Golf Log'!$C$2:$C$73=$C1069),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Log'!$E$2:$V$73,
    MATCH(1,
      ('Putt Log'!$A$2:$A$73=$A1069)*
      ('Putt Log'!$B$2:$B$73=$B1069)*
      ('Putt Log'!$C$2:$C$73=$C1069),
    0),
    MATCH($G1069,'Putt Log'!$E$1:$V$1,0)
  ),
"")</f>
        <v>2</v>
      </c>
      <c r="P1069" t="str" cm="1">
        <f t="array" ref="P1069">IF(K1069=3,"",
  IFERROR(
    INDEX('Fairway Log'!$E$2:$V$73,
      MATCH(1,
        ('Fairway Log'!$A$2:$A$73=$A1069)*
        ('Fairway Log'!$B$2:$B$73=$B1069)*
        ('Fairway Log'!$C$2:$C1140=$C1069),
      0),
      MATCH($G1069,'Fairway Log'!$E$1:$V$1,0)
    ),
  "")
)</f>
        <v/>
      </c>
      <c r="Q1069" t="str" cm="1">
        <f t="array" ref="Q1069">IFERROR(
  INDEX('GIR Log'!$E$2:$V$73,
    MATCH(1,
      ('GIR Log'!$A$2:$A$73=$A1069)*
      ('GIR Log'!$B$2:$B$73=$B1069)*
      ('GIR Log'!$C$2:$C$73=$C1069),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Log'!$E$2:$V$73,
    MATCH(1,
      ('Golf Log'!$A$2:$A$73=$A1070)*
      ('Golf Log'!$B$2:$B$73=$B1070)*
      ('Golf Log'!$C$2:$C$73=$C1070),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Log'!$E$2:$V$73,
    MATCH(1,
      ('Putt Log'!$A$2:$A$73=$A1070)*
      ('Putt Log'!$B$2:$B$73=$B1070)*
      ('Putt Log'!$C$2:$C$73=$C1070),
    0),
    MATCH($G1070,'Putt Log'!$E$1:$V$1,0)
  ),
"")</f>
        <v>3</v>
      </c>
      <c r="P1070" t="str" cm="1">
        <f t="array" ref="P1070">IF(K1070=3,"",
  IFERROR(
    INDEX('Fairway Log'!$E$2:$V$73,
      MATCH(1,
        ('Fairway Log'!$A$2:$A$73=$A1070)*
        ('Fairway Log'!$B$2:$B$73=$B1070)*
        ('Fairway Log'!$C$2:$C1141=$C1070),
      0),
      MATCH($G1070,'Fairway Log'!$E$1:$V$1,0)
    ),
  "")
)</f>
        <v>←</v>
      </c>
      <c r="Q1070" t="str" cm="1">
        <f t="array" ref="Q1070">IFERROR(
  INDEX('GIR Log'!$E$2:$V$73,
    MATCH(1,
      ('GIR Log'!$A$2:$A$73=$A1070)*
      ('GIR Log'!$B$2:$B$73=$B1070)*
      ('GIR Log'!$C$2:$C$73=$C1070),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Log'!$E$2:$V$73,
    MATCH(1,
      ('Golf Log'!$A$2:$A$73=$A1071)*
      ('Golf Log'!$B$2:$B$73=$B1071)*
      ('Golf Log'!$C$2:$C$73=$C1071),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Log'!$E$2:$V$73,
    MATCH(1,
      ('Putt Log'!$A$2:$A$73=$A1071)*
      ('Putt Log'!$B$2:$B$73=$B1071)*
      ('Putt Log'!$C$2:$C$73=$C1071),
    0),
    MATCH($G1071,'Putt Log'!$E$1:$V$1,0)
  ),
"")</f>
        <v>2</v>
      </c>
      <c r="P1071" t="str" cm="1">
        <f t="array" ref="P1071">IF(K1071=3,"",
  IFERROR(
    INDEX('Fairway Log'!$E$2:$V$73,
      MATCH(1,
        ('Fairway Log'!$A$2:$A$73=$A1071)*
        ('Fairway Log'!$B$2:$B$73=$B1071)*
        ('Fairway Log'!$C$2:$C1142=$C1071),
      0),
      MATCH($G1071,'Fairway Log'!$E$1:$V$1,0)
    ),
  "")
)</f>
        <v>↓</v>
      </c>
      <c r="Q1071" t="str" cm="1">
        <f t="array" ref="Q1071">IFERROR(
  INDEX('GIR Log'!$E$2:$V$73,
    MATCH(1,
      ('GIR Log'!$A$2:$A$73=$A1071)*
      ('GIR Log'!$B$2:$B$73=$B1071)*
      ('GIR Log'!$C$2:$C$73=$C1071),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Log'!$E$2:$V$73,
    MATCH(1,
      ('Golf Log'!$A$2:$A$73=$A1072)*
      ('Golf Log'!$B$2:$B$73=$B1072)*
      ('Golf Log'!$C$2:$C$73=$C1072),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Log'!$E$2:$V$73,
    MATCH(1,
      ('Putt Log'!$A$2:$A$73=$A1072)*
      ('Putt Log'!$B$2:$B$73=$B1072)*
      ('Putt Log'!$C$2:$C$73=$C1072),
    0),
    MATCH($G1072,'Putt Log'!$E$1:$V$1,0)
  ),
"")</f>
        <v>3</v>
      </c>
      <c r="P1072" t="str" cm="1">
        <f t="array" ref="P1072">IF(K1072=3,"",
  IFERROR(
    INDEX('Fairway Log'!$E$2:$V$73,
      MATCH(1,
        ('Fairway Log'!$A$2:$A$73=$A1072)*
        ('Fairway Log'!$B$2:$B$73=$B1072)*
        ('Fairway Log'!$C$2:$C1143=$C1072),
      0),
      MATCH($G1072,'Fairway Log'!$E$1:$V$1,0)
    ),
  "")
)</f>
        <v>←</v>
      </c>
      <c r="Q1072" t="str" cm="1">
        <f t="array" ref="Q1072">IFERROR(
  INDEX('GIR Log'!$E$2:$V$73,
    MATCH(1,
      ('GIR Log'!$A$2:$A$73=$A1072)*
      ('GIR Log'!$B$2:$B$73=$B1072)*
      ('GIR Log'!$C$2:$C$73=$C1072),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Log'!$E$2:$V$73,
    MATCH(1,
      ('Golf Log'!$A$2:$A$73=$A1073)*
      ('Golf Log'!$B$2:$B$73=$B1073)*
      ('Golf Log'!$C$2:$C$73=$C1073),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Log'!$E$2:$V$73,
    MATCH(1,
      ('Putt Log'!$A$2:$A$73=$A1073)*
      ('Putt Log'!$B$2:$B$73=$B1073)*
      ('Putt Log'!$C$2:$C$73=$C1073),
    0),
    MATCH($G1073,'Putt Log'!$E$1:$V$1,0)
  ),
"")</f>
        <v>1</v>
      </c>
      <c r="P1073" t="str" cm="1">
        <f t="array" ref="P1073">IF(K1073=3,"",
  IFERROR(
    INDEX('Fairway Log'!$E$2:$V$73,
      MATCH(1,
        ('Fairway Log'!$A$2:$A$73=$A1073)*
        ('Fairway Log'!$B$2:$B$73=$B1073)*
        ('Fairway Log'!$C$2:$C1144=$C1073),
      0),
      MATCH($G1073,'Fairway Log'!$E$1:$V$1,0)
    ),
  "")
)</f>
        <v>←</v>
      </c>
      <c r="Q1073" t="str" cm="1">
        <f t="array" ref="Q1073">IFERROR(
  INDEX('GIR Log'!$E$2:$V$73,
    MATCH(1,
      ('GIR Log'!$A$2:$A$73=$A1073)*
      ('GIR Log'!$B$2:$B$73=$B1073)*
      ('GIR Log'!$C$2:$C$73=$C1073),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Log'!$E$2:$V$73,
    MATCH(1,
      ('Golf Log'!$A$2:$A$73=$A1074)*
      ('Golf Log'!$B$2:$B$73=$B1074)*
      ('Golf Log'!$C$2:$C$73=$C1074),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Log'!$E$2:$V$73,
    MATCH(1,
      ('Putt Log'!$A$2:$A$73=$A1074)*
      ('Putt Log'!$B$2:$B$73=$B1074)*
      ('Putt Log'!$C$2:$C$73=$C1074),
    0),
    MATCH($G1074,'Putt Log'!$E$1:$V$1,0)
  ),
"")</f>
        <v>2</v>
      </c>
      <c r="P1074" t="str" cm="1">
        <f t="array" ref="P1074">IF(K1074=3,"",
  IFERROR(
    INDEX('Fairway Log'!$E$2:$V$73,
      MATCH(1,
        ('Fairway Log'!$A$2:$A$73=$A1074)*
        ('Fairway Log'!$B$2:$B$73=$B1074)*
        ('Fairway Log'!$C$2:$C1145=$C1074),
      0),
      MATCH($G1074,'Fairway Log'!$E$1:$V$1,0)
    ),
  "")
)</f>
        <v/>
      </c>
      <c r="Q1074" t="str" cm="1">
        <f t="array" ref="Q1074">IFERROR(
  INDEX('GIR Log'!$E$2:$V$73,
    MATCH(1,
      ('GIR Log'!$A$2:$A$73=$A1074)*
      ('GIR Log'!$B$2:$B$73=$B1074)*
      ('GIR Log'!$C$2:$C$73=$C1074),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Log'!$E$2:$V$73,
    MATCH(1,
      ('Golf Log'!$A$2:$A$73=$A1075)*
      ('Golf Log'!$B$2:$B$73=$B1075)*
      ('Golf Log'!$C$2:$C$73=$C1075),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Log'!$E$2:$V$73,
    MATCH(1,
      ('Putt Log'!$A$2:$A$73=$A1075)*
      ('Putt Log'!$B$2:$B$73=$B1075)*
      ('Putt Log'!$C$2:$C$73=$C1075),
    0),
    MATCH($G1075,'Putt Log'!$E$1:$V$1,0)
  ),
"")</f>
        <v>3</v>
      </c>
      <c r="P1075" t="str" cm="1">
        <f t="array" ref="P1075">IF(K1075=3,"",
  IFERROR(
    INDEX('Fairway Log'!$E$2:$V$73,
      MATCH(1,
        ('Fairway Log'!$A$2:$A$73=$A1075)*
        ('Fairway Log'!$B$2:$B$73=$B1075)*
        ('Fairway Log'!$C$2:$C1146=$C1075),
      0),
      MATCH($G1075,'Fairway Log'!$E$1:$V$1,0)
    ),
  "")
)</f>
        <v>↑</v>
      </c>
      <c r="Q1075" cm="1">
        <f t="array" ref="Q1075">IFERROR(
  INDEX('GIR Log'!$E$2:$V$73,
    MATCH(1,
      ('GIR Log'!$A$2:$A$73=$A1075)*
      ('GIR Log'!$B$2:$B$73=$B1075)*
      ('GIR Log'!$C$2:$C$73=$C1075),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Log'!$E$2:$V$73,
    MATCH(1,
      ('Golf Log'!$A$2:$A$73=$A1076)*
      ('Golf Log'!$B$2:$B$73=$B1076)*
      ('Golf Log'!$C$2:$C$73=$C1076),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Log'!$E$2:$V$73,
    MATCH(1,
      ('Putt Log'!$A$2:$A$73=$A1076)*
      ('Putt Log'!$B$2:$B$73=$B1076)*
      ('Putt Log'!$C$2:$C$73=$C1076),
    0),
    MATCH($G1076,'Putt Log'!$E$1:$V$1,0)
  ),
"")</f>
        <v>2</v>
      </c>
      <c r="P1076" t="str" cm="1">
        <f t="array" ref="P1076">IF(K1076=3,"",
  IFERROR(
    INDEX('Fairway Log'!$E$2:$V$73,
      MATCH(1,
        ('Fairway Log'!$A$2:$A$73=$A1076)*
        ('Fairway Log'!$B$2:$B$73=$B1076)*
        ('Fairway Log'!$C$2:$C1147=$C1076),
      0),
      MATCH($G1076,'Fairway Log'!$E$1:$V$1,0)
    ),
  "")
)</f>
        <v>←</v>
      </c>
      <c r="Q1076" t="str" cm="1">
        <f t="array" ref="Q1076">IFERROR(
  INDEX('GIR Log'!$E$2:$V$73,
    MATCH(1,
      ('GIR Log'!$A$2:$A$73=$A1076)*
      ('GIR Log'!$B$2:$B$73=$B1076)*
      ('GIR Log'!$C$2:$C$73=$C1076),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Log'!$E$2:$V$73,
    MATCH(1,
      ('Golf Log'!$A$2:$A$73=$A1077)*
      ('Golf Log'!$B$2:$B$73=$B1077)*
      ('Golf Log'!$C$2:$C$73=$C1077),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Log'!$E$2:$V$73,
    MATCH(1,
      ('Putt Log'!$A$2:$A$73=$A1077)*
      ('Putt Log'!$B$2:$B$73=$B1077)*
      ('Putt Log'!$C$2:$C$73=$C1077),
    0),
    MATCH($G1077,'Putt Log'!$E$1:$V$1,0)
  ),
"")</f>
        <v>1</v>
      </c>
      <c r="P1077" t="str" cm="1">
        <f t="array" ref="P1077">IF(K1077=3,"",
  IFERROR(
    INDEX('Fairway Log'!$E$2:$V$73,
      MATCH(1,
        ('Fairway Log'!$A$2:$A$73=$A1077)*
        ('Fairway Log'!$B$2:$B$73=$B1077)*
        ('Fairway Log'!$C$2:$C1148=$C1077),
      0),
      MATCH($G1077,'Fairway Log'!$E$1:$V$1,0)
    ),
  "")
)</f>
        <v>←</v>
      </c>
      <c r="Q1077" t="str" cm="1">
        <f t="array" ref="Q1077">IFERROR(
  INDEX('GIR Log'!$E$2:$V$73,
    MATCH(1,
      ('GIR Log'!$A$2:$A$73=$A1077)*
      ('GIR Log'!$B$2:$B$73=$B1077)*
      ('GIR Log'!$C$2:$C$73=$C1077),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Log'!$E$2:$V$73,
    MATCH(1,
      ('Golf Log'!$A$2:$A$73=$A1078)*
      ('Golf Log'!$B$2:$B$73=$B1078)*
      ('Golf Log'!$C$2:$C$73=$C1078),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Log'!$E$2:$V$73,
    MATCH(1,
      ('Putt Log'!$A$2:$A$73=$A1078)*
      ('Putt Log'!$B$2:$B$73=$B1078)*
      ('Putt Log'!$C$2:$C$73=$C1078),
    0),
    MATCH($G1078,'Putt Log'!$E$1:$V$1,0)
  ),
"")</f>
        <v>3</v>
      </c>
      <c r="P1078" t="str" cm="1">
        <f t="array" ref="P1078">IF(K1078=3,"",
  IFERROR(
    INDEX('Fairway Log'!$E$2:$V$73,
      MATCH(1,
        ('Fairway Log'!$A$2:$A$73=$A1078)*
        ('Fairway Log'!$B$2:$B$73=$B1078)*
        ('Fairway Log'!$C$2:$C1149=$C1078),
      0),
      MATCH($G1078,'Fairway Log'!$E$1:$V$1,0)
    ),
  "")
)</f>
        <v/>
      </c>
      <c r="Q1078" cm="1">
        <f t="array" ref="Q1078">IFERROR(
  INDEX('GIR Log'!$E$2:$V$73,
    MATCH(1,
      ('GIR Log'!$A$2:$A$73=$A1078)*
      ('GIR Log'!$B$2:$B$73=$B1078)*
      ('GIR Log'!$C$2:$C$73=$C1078),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Log'!$E$2:$V$73,
    MATCH(1,
      ('Golf Log'!$A$2:$A$73=$A1079)*
      ('Golf Log'!$B$2:$B$73=$B1079)*
      ('Golf Log'!$C$2:$C$73=$C1079),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Log'!$E$2:$V$73,
    MATCH(1,
      ('Putt Log'!$A$2:$A$73=$A1079)*
      ('Putt Log'!$B$2:$B$73=$B1079)*
      ('Putt Log'!$C$2:$C$73=$C1079),
    0),
    MATCH($G1079,'Putt Log'!$E$1:$V$1,0)
  ),
"")</f>
        <v>2</v>
      </c>
      <c r="P1079" t="str" cm="1">
        <f t="array" ref="P1079">IF(K1079=3,"",
  IFERROR(
    INDEX('Fairway Log'!$E$2:$V$73,
      MATCH(1,
        ('Fairway Log'!$A$2:$A$73=$A1079)*
        ('Fairway Log'!$B$2:$B$73=$B1079)*
        ('Fairway Log'!$C$2:$C1150=$C1079),
      0),
      MATCH($G1079,'Fairway Log'!$E$1:$V$1,0)
    ),
  "")
)</f>
        <v>→</v>
      </c>
      <c r="Q1079" cm="1">
        <f t="array" ref="Q1079">IFERROR(
  INDEX('GIR Log'!$E$2:$V$73,
    MATCH(1,
      ('GIR Log'!$A$2:$A$73=$A1079)*
      ('GIR Log'!$B$2:$B$73=$B1079)*
      ('GIR Log'!$C$2:$C$73=$C1079),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Log'!$E$2:$V$73,
    MATCH(1,
      ('Golf Log'!$A$2:$A$73=$A1080)*
      ('Golf Log'!$B$2:$B$73=$B1080)*
      ('Golf Log'!$C$2:$C$73=$C1080),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Log'!$E$2:$V$73,
    MATCH(1,
      ('Putt Log'!$A$2:$A$73=$A1080)*
      ('Putt Log'!$B$2:$B$73=$B1080)*
      ('Putt Log'!$C$2:$C$73=$C1080),
    0),
    MATCH($G1080,'Putt Log'!$E$1:$V$1,0)
  ),
"")</f>
        <v>1</v>
      </c>
      <c r="P1080" t="str" cm="1">
        <f t="array" ref="P1080">IF(K1080=3,"",
  IFERROR(
    INDEX('Fairway Log'!$E$2:$V$73,
      MATCH(1,
        ('Fairway Log'!$A$2:$A$73=$A1080)*
        ('Fairway Log'!$B$2:$B$73=$B1080)*
        ('Fairway Log'!$C$2:$C1151=$C1080),
      0),
      MATCH($G1080,'Fairway Log'!$E$1:$V$1,0)
    ),
  "")
)</f>
        <v>←</v>
      </c>
      <c r="Q1080" t="str" cm="1">
        <f t="array" ref="Q1080">IFERROR(
  INDEX('GIR Log'!$E$2:$V$73,
    MATCH(1,
      ('GIR Log'!$A$2:$A$73=$A1080)*
      ('GIR Log'!$B$2:$B$73=$B1080)*
      ('GIR Log'!$C$2:$C$73=$C1080),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Log'!$E$2:$V$73,
    MATCH(1,
      ('Golf Log'!$A$2:$A$73=$A1081)*
      ('Golf Log'!$B$2:$B$73=$B1081)*
      ('Golf Log'!$C$2:$C$73=$C1081),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Log'!$E$2:$V$73,
    MATCH(1,
      ('Putt Log'!$A$2:$A$73=$A1081)*
      ('Putt Log'!$B$2:$B$73=$B1081)*
      ('Putt Log'!$C$2:$C$73=$C1081),
    0),
    MATCH($G1081,'Putt Log'!$E$1:$V$1,0)
  ),
"")</f>
        <v>2</v>
      </c>
      <c r="P1081" t="str" cm="1">
        <f t="array" ref="P1081">IF(K1081=3,"",
  IFERROR(
    INDEX('Fairway Log'!$E$2:$V$73,
      MATCH(1,
        ('Fairway Log'!$A$2:$A$73=$A1081)*
        ('Fairway Log'!$B$2:$B$73=$B1081)*
        ('Fairway Log'!$C$2:$C1152=$C1081),
      0),
      MATCH($G1081,'Fairway Log'!$E$1:$V$1,0)
    ),
  "")
)</f>
        <v>→</v>
      </c>
      <c r="Q1081" t="str" cm="1">
        <f t="array" ref="Q1081">IFERROR(
  INDEX('GIR Log'!$E$2:$V$73,
    MATCH(1,
      ('GIR Log'!$A$2:$A$73=$A1081)*
      ('GIR Log'!$B$2:$B$73=$B1081)*
      ('GIR Log'!$C$2:$C$73=$C1081),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Log'!$E$2:$V$73,
    MATCH(1,
      ('Golf Log'!$A$2:$A$73=$A1082)*
      ('Golf Log'!$B$2:$B$73=$B1082)*
      ('Golf Log'!$C$2:$C$73=$C1082),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Log'!$E$2:$V$73,
    MATCH(1,
      ('Putt Log'!$A$2:$A$73=$A1082)*
      ('Putt Log'!$B$2:$B$73=$B1082)*
      ('Putt Log'!$C$2:$C$73=$C1082),
    0),
    MATCH($G1082,'Putt Log'!$E$1:$V$1,0)
  ),
"")</f>
        <v>2</v>
      </c>
      <c r="P1082" t="str" cm="1">
        <f t="array" ref="P1082">IF(K1082=3,"",
  IFERROR(
    INDEX('Fairway Log'!$E$2:$V$73,
      MATCH(1,
        ('Fairway Log'!$A$2:$A$73=$A1082)*
        ('Fairway Log'!$B$2:$B$73=$B1082)*
        ('Fairway Log'!$C$2:$C1153=$C1082),
      0),
      MATCH($G1082,'Fairway Log'!$E$1:$V$1,0)
    ),
  "")
)</f>
        <v>←</v>
      </c>
      <c r="Q1082" t="str" cm="1">
        <f t="array" ref="Q1082">IFERROR(
  INDEX('GIR Log'!$E$2:$V$73,
    MATCH(1,
      ('GIR Log'!$A$2:$A$73=$A1082)*
      ('GIR Log'!$B$2:$B$73=$B1082)*
      ('GIR Log'!$C$2:$C$73=$C1082),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Log'!$E$2:$V$73,
    MATCH(1,
      ('Golf Log'!$A$2:$A$73=$A1083)*
      ('Golf Log'!$B$2:$B$73=$B1083)*
      ('Golf Log'!$C$2:$C$73=$C1083),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Log'!$E$2:$V$73,
    MATCH(1,
      ('Putt Log'!$A$2:$A$73=$A1083)*
      ('Putt Log'!$B$2:$B$73=$B1083)*
      ('Putt Log'!$C$2:$C$73=$C1083),
    0),
    MATCH($G1083,'Putt Log'!$E$1:$V$1,0)
  ),
"")</f>
        <v>2</v>
      </c>
      <c r="P1083" cm="1">
        <f t="array" ref="P1083">IF(K1083=3,"",
  IFERROR(
    INDEX('Fairway Log'!$E$2:$V$73,
      MATCH(1,
        ('Fairway Log'!$A$2:$A$73=$A1083)*
        ('Fairway Log'!$B$2:$B$73=$B1083)*
        ('Fairway Log'!$C$2:$C1154=$C1083),
      0),
      MATCH($G1083,'Fairway Log'!$E$1:$V$1,0)
    ),
  "")
)</f>
        <v>1</v>
      </c>
      <c r="Q1083" t="str" cm="1">
        <f t="array" ref="Q1083">IFERROR(
  INDEX('GIR Log'!$E$2:$V$73,
    MATCH(1,
      ('GIR Log'!$A$2:$A$73=$A1083)*
      ('GIR Log'!$B$2:$B$73=$B1083)*
      ('GIR Log'!$C$2:$C$73=$C1083),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Log'!$E$2:$V$73,
    MATCH(1,
      ('Golf Log'!$A$2:$A$73=$A1084)*
      ('Golf Log'!$B$2:$B$73=$B1084)*
      ('Golf Log'!$C$2:$C$73=$C1084),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Log'!$E$2:$V$73,
    MATCH(1,
      ('Putt Log'!$A$2:$A$73=$A1084)*
      ('Putt Log'!$B$2:$B$73=$B1084)*
      ('Putt Log'!$C$2:$C$73=$C1084),
    0),
    MATCH($G1084,'Putt Log'!$E$1:$V$1,0)
  ),
"")</f>
        <v>2</v>
      </c>
      <c r="P1084" t="str" cm="1">
        <f t="array" ref="P1084">IF(K1084=3,"",
  IFERROR(
    INDEX('Fairway Log'!$E$2:$V$73,
      MATCH(1,
        ('Fairway Log'!$A$2:$A$73=$A1084)*
        ('Fairway Log'!$B$2:$B$73=$B1084)*
        ('Fairway Log'!$C$2:$C1155=$C1084),
      0),
      MATCH($G1084,'Fairway Log'!$E$1:$V$1,0)
    ),
  "")
)</f>
        <v>→</v>
      </c>
      <c r="Q1084" t="str" cm="1">
        <f t="array" ref="Q1084">IFERROR(
  INDEX('GIR Log'!$E$2:$V$73,
    MATCH(1,
      ('GIR Log'!$A$2:$A$73=$A1084)*
      ('GIR Log'!$B$2:$B$73=$B1084)*
      ('GIR Log'!$C$2:$C$73=$C1084),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Log'!$E$2:$V$73,
    MATCH(1,
      ('Golf Log'!$A$2:$A$73=$A1085)*
      ('Golf Log'!$B$2:$B$73=$B1085)*
      ('Golf Log'!$C$2:$C$73=$C1085),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Log'!$E$2:$V$73,
    MATCH(1,
      ('Putt Log'!$A$2:$A$73=$A1085)*
      ('Putt Log'!$B$2:$B$73=$B1085)*
      ('Putt Log'!$C$2:$C$73=$C1085),
    0),
    MATCH($G1085,'Putt Log'!$E$1:$V$1,0)
  ),
"")</f>
        <v>2</v>
      </c>
      <c r="P1085" t="str" cm="1">
        <f t="array" ref="P1085">IF(K1085=3,"",
  IFERROR(
    INDEX('Fairway Log'!$E$2:$V$73,
      MATCH(1,
        ('Fairway Log'!$A$2:$A$73=$A1085)*
        ('Fairway Log'!$B$2:$B$73=$B1085)*
        ('Fairway Log'!$C$2:$C1156=$C1085),
      0),
      MATCH($G1085,'Fairway Log'!$E$1:$V$1,0)
    ),
  "")
)</f>
        <v/>
      </c>
      <c r="Q1085" t="str" cm="1">
        <f t="array" ref="Q1085">IFERROR(
  INDEX('GIR Log'!$E$2:$V$73,
    MATCH(1,
      ('GIR Log'!$A$2:$A$73=$A1085)*
      ('GIR Log'!$B$2:$B$73=$B1085)*
      ('GIR Log'!$C$2:$C$73=$C1085),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Log'!$E$2:$V$73,
    MATCH(1,
      ('Golf Log'!$A$2:$A$73=$A1086)*
      ('Golf Log'!$B$2:$B$73=$B1086)*
      ('Golf Log'!$C$2:$C$73=$C1086),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Log'!$E$2:$V$73,
    MATCH(1,
      ('Putt Log'!$A$2:$A$73=$A1086)*
      ('Putt Log'!$B$2:$B$73=$B1086)*
      ('Putt Log'!$C$2:$C$73=$C1086),
    0),
    MATCH($G1086,'Putt Log'!$E$1:$V$1,0)
  ),
"")</f>
        <v>2</v>
      </c>
      <c r="P1086" cm="1">
        <f t="array" ref="P1086">IF(K1086=3,"",
  IFERROR(
    INDEX('Fairway Log'!$E$2:$V$73,
      MATCH(1,
        ('Fairway Log'!$A$2:$A$73=$A1086)*
        ('Fairway Log'!$B$2:$B$73=$B1086)*
        ('Fairway Log'!$C$2:$C1157=$C1086),
      0),
      MATCH($G1086,'Fairway Log'!$E$1:$V$1,0)
    ),
  "")
)</f>
        <v>1</v>
      </c>
      <c r="Q1086" cm="1">
        <f t="array" ref="Q1086">IFERROR(
  INDEX('GIR Log'!$E$2:$V$73,
    MATCH(1,
      ('GIR Log'!$A$2:$A$73=$A1086)*
      ('GIR Log'!$B$2:$B$73=$B1086)*
      ('GIR Log'!$C$2:$C$73=$C1086),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Log'!$E$2:$V$73,
    MATCH(1,
      ('Golf Log'!$A$2:$A$73=$A1087)*
      ('Golf Log'!$B$2:$B$73=$B1087)*
      ('Golf Log'!$C$2:$C$73=$C1087),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Log'!$E$2:$V$73,
    MATCH(1,
      ('Putt Log'!$A$2:$A$73=$A1087)*
      ('Putt Log'!$B$2:$B$73=$B1087)*
      ('Putt Log'!$C$2:$C$73=$C1087),
    0),
    MATCH($G1087,'Putt Log'!$E$1:$V$1,0)
  ),
"")</f>
        <v>2</v>
      </c>
      <c r="P1087" cm="1">
        <f t="array" ref="P1087">IF(K1087=3,"",
  IFERROR(
    INDEX('Fairway Log'!$E$2:$V$73,
      MATCH(1,
        ('Fairway Log'!$A$2:$A$73=$A1087)*
        ('Fairway Log'!$B$2:$B$73=$B1087)*
        ('Fairway Log'!$C$2:$C1158=$C1087),
      0),
      MATCH($G1087,'Fairway Log'!$E$1:$V$1,0)
    ),
  "")
)</f>
        <v>1</v>
      </c>
      <c r="Q1087" cm="1">
        <f t="array" ref="Q1087">IFERROR(
  INDEX('GIR Log'!$E$2:$V$73,
    MATCH(1,
      ('GIR Log'!$A$2:$A$73=$A1087)*
      ('GIR Log'!$B$2:$B$73=$B1087)*
      ('GIR Log'!$C$2:$C$73=$C1087),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Log'!$E$2:$V$73,
    MATCH(1,
      ('Golf Log'!$A$2:$A$73=$A1088)*
      ('Golf Log'!$B$2:$B$73=$B1088)*
      ('Golf Log'!$C$2:$C$73=$C1088),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Log'!$E$2:$V$73,
    MATCH(1,
      ('Putt Log'!$A$2:$A$73=$A1088)*
      ('Putt Log'!$B$2:$B$73=$B1088)*
      ('Putt Log'!$C$2:$C$73=$C1088),
    0),
    MATCH($G1088,'Putt Log'!$E$1:$V$1,0)
  ),
"")</f>
        <v>2</v>
      </c>
      <c r="P1088" t="str" cm="1">
        <f t="array" ref="P1088">IF(K1088=3,"",
  IFERROR(
    INDEX('Fairway Log'!$E$2:$V$73,
      MATCH(1,
        ('Fairway Log'!$A$2:$A$73=$A1088)*
        ('Fairway Log'!$B$2:$B$73=$B1088)*
        ('Fairway Log'!$C$2:$C1159=$C1088),
      0),
      MATCH($G1088,'Fairway Log'!$E$1:$V$1,0)
    ),
  "")
)</f>
        <v/>
      </c>
      <c r="Q1088" t="str" cm="1">
        <f t="array" ref="Q1088">IFERROR(
  INDEX('GIR Log'!$E$2:$V$73,
    MATCH(1,
      ('GIR Log'!$A$2:$A$73=$A1088)*
      ('GIR Log'!$B$2:$B$73=$B1088)*
      ('GIR Log'!$C$2:$C$73=$C1088),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Log'!$E$2:$V$73,
    MATCH(1,
      ('Golf Log'!$A$2:$A$73=$A1089)*
      ('Golf Log'!$B$2:$B$73=$B1089)*
      ('Golf Log'!$C$2:$C$73=$C1089),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Log'!$E$2:$V$73,
    MATCH(1,
      ('Putt Log'!$A$2:$A$73=$A1089)*
      ('Putt Log'!$B$2:$B$73=$B1089)*
      ('Putt Log'!$C$2:$C$73=$C1089),
    0),
    MATCH($G1089,'Putt Log'!$E$1:$V$1,0)
  ),
"")</f>
        <v>2</v>
      </c>
      <c r="P1089" t="str" cm="1">
        <f t="array" ref="P1089">IF(K1089=3,"",
  IFERROR(
    INDEX('Fairway Log'!$E$2:$V$73,
      MATCH(1,
        ('Fairway Log'!$A$2:$A$73=$A1089)*
        ('Fairway Log'!$B$2:$B$73=$B1089)*
        ('Fairway Log'!$C$2:$C1160=$C1089),
      0),
      MATCH($G1089,'Fairway Log'!$E$1:$V$1,0)
    ),
  "")
)</f>
        <v>←</v>
      </c>
      <c r="Q1089" t="str" cm="1">
        <f t="array" ref="Q1089">IFERROR(
  INDEX('GIR Log'!$E$2:$V$73,
    MATCH(1,
      ('GIR Log'!$A$2:$A$73=$A1089)*
      ('GIR Log'!$B$2:$B$73=$B1089)*
      ('GIR Log'!$C$2:$C$73=$C1089),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Log'!$E$2:$V$73,
    MATCH(1,
      ('Golf Log'!$A$2:$A$73=$A1090)*
      ('Golf Log'!$B$2:$B$73=$B1090)*
      ('Golf Log'!$C$2:$C$73=$C1090),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Log'!$E$2:$V$73,
    MATCH(1,
      ('Putt Log'!$A$2:$A$73=$A1090)*
      ('Putt Log'!$B$2:$B$73=$B1090)*
      ('Putt Log'!$C$2:$C$73=$C1090),
    0),
    MATCH($G1090,'Putt Log'!$E$1:$V$1,0)
  ),
"")</f>
        <v>2</v>
      </c>
      <c r="P1090" t="str" cm="1">
        <f t="array" ref="P1090">IF(K1090=3,"",
  IFERROR(
    INDEX('Fairway Log'!$E$2:$V$73,
      MATCH(1,
        ('Fairway Log'!$A$2:$A$73=$A1090)*
        ('Fairway Log'!$B$2:$B$73=$B1090)*
        ('Fairway Log'!$C$2:$C1161=$C1090),
      0),
      MATCH($G1090,'Fairway Log'!$E$1:$V$1,0)
    ),
  "")
)</f>
        <v>←</v>
      </c>
      <c r="Q1090" t="str" cm="1">
        <f t="array" ref="Q1090">IFERROR(
  INDEX('GIR Log'!$E$2:$V$73,
    MATCH(1,
      ('GIR Log'!$A$2:$A$73=$A1090)*
      ('GIR Log'!$B$2:$B$73=$B1090)*
      ('GIR Log'!$C$2:$C$73=$C1090),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Log'!$E$2:$V$73,
    MATCH(1,
      ('Golf Log'!$A$2:$A$73=$A1091)*
      ('Golf Log'!$B$2:$B$73=$B1091)*
      ('Golf Log'!$C$2:$C$73=$C1091),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Log'!$E$2:$V$73,
    MATCH(1,
      ('Putt Log'!$A$2:$A$73=$A1091)*
      ('Putt Log'!$B$2:$B$73=$B1091)*
      ('Putt Log'!$C$2:$C$73=$C1091),
    0),
    MATCH($G1091,'Putt Log'!$E$1:$V$1,0)
  ),
"")</f>
        <v>2</v>
      </c>
      <c r="P1091" t="str" cm="1">
        <f t="array" ref="P1091">IF(K1091=3,"",
  IFERROR(
    INDEX('Fairway Log'!$E$2:$V$73,
      MATCH(1,
        ('Fairway Log'!$A$2:$A$73=$A1091)*
        ('Fairway Log'!$B$2:$B$73=$B1091)*
        ('Fairway Log'!$C$2:$C1162=$C1091),
      0),
      MATCH($G1091,'Fairway Log'!$E$1:$V$1,0)
    ),
  "")
)</f>
        <v>↓</v>
      </c>
      <c r="Q1091" t="str" cm="1">
        <f t="array" ref="Q1091">IFERROR(
  INDEX('GIR Log'!$E$2:$V$73,
    MATCH(1,
      ('GIR Log'!$A$2:$A$73=$A1091)*
      ('GIR Log'!$B$2:$B$73=$B1091)*
      ('GIR Log'!$C$2:$C$73=$C1091),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Log'!$E$2:$V$73,
    MATCH(1,
      ('Golf Log'!$A$2:$A$73=$A1092)*
      ('Golf Log'!$B$2:$B$73=$B1092)*
      ('Golf Log'!$C$2:$C$73=$C1092),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Log'!$E$2:$V$73,
    MATCH(1,
      ('Putt Log'!$A$2:$A$73=$A1092)*
      ('Putt Log'!$B$2:$B$73=$B1092)*
      ('Putt Log'!$C$2:$C$73=$C1092),
    0),
    MATCH($G1092,'Putt Log'!$E$1:$V$1,0)
  ),
"")</f>
        <v>2</v>
      </c>
      <c r="P1092" t="str" cm="1">
        <f t="array" ref="P1092">IF(K1092=3,"",
  IFERROR(
    INDEX('Fairway Log'!$E$2:$V$73,
      MATCH(1,
        ('Fairway Log'!$A$2:$A$73=$A1092)*
        ('Fairway Log'!$B$2:$B$73=$B1092)*
        ('Fairway Log'!$C$2:$C1163=$C1092),
      0),
      MATCH($G1092,'Fairway Log'!$E$1:$V$1,0)
    ),
  "")
)</f>
        <v/>
      </c>
      <c r="Q1092" cm="1">
        <f t="array" ref="Q1092">IFERROR(
  INDEX('GIR Log'!$E$2:$V$73,
    MATCH(1,
      ('GIR Log'!$A$2:$A$73=$A1092)*
      ('GIR Log'!$B$2:$B$73=$B1092)*
      ('GIR Log'!$C$2:$C$73=$C1092),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Log'!$E$2:$V$73,
    MATCH(1,
      ('Golf Log'!$A$2:$A$73=$A1093)*
      ('Golf Log'!$B$2:$B$73=$B1093)*
      ('Golf Log'!$C$2:$C$73=$C1093),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Log'!$E$2:$V$73,
    MATCH(1,
      ('Putt Log'!$A$2:$A$73=$A1093)*
      ('Putt Log'!$B$2:$B$73=$B1093)*
      ('Putt Log'!$C$2:$C$73=$C1093),
    0),
    MATCH($G1093,'Putt Log'!$E$1:$V$1,0)
  ),
"")</f>
        <v>2</v>
      </c>
      <c r="P1093" t="str" cm="1">
        <f t="array" ref="P1093">IF(K1093=3,"",
  IFERROR(
    INDEX('Fairway Log'!$E$2:$V$73,
      MATCH(1,
        ('Fairway Log'!$A$2:$A$73=$A1093)*
        ('Fairway Log'!$B$2:$B$73=$B1093)*
        ('Fairway Log'!$C$2:$C1164=$C1093),
      0),
      MATCH($G1093,'Fairway Log'!$E$1:$V$1,0)
    ),
  "")
)</f>
        <v>←</v>
      </c>
      <c r="Q1093" t="str" cm="1">
        <f t="array" ref="Q1093">IFERROR(
  INDEX('GIR Log'!$E$2:$V$73,
    MATCH(1,
      ('GIR Log'!$A$2:$A$73=$A1093)*
      ('GIR Log'!$B$2:$B$73=$B1093)*
      ('GIR Log'!$C$2:$C$73=$C1093),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Log'!$E$2:$V$73,
    MATCH(1,
      ('Golf Log'!$A$2:$A$73=$A1094)*
      ('Golf Log'!$B$2:$B$73=$B1094)*
      ('Golf Log'!$C$2:$C$73=$C1094),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Log'!$E$2:$V$73,
    MATCH(1,
      ('Putt Log'!$A$2:$A$73=$A1094)*
      ('Putt Log'!$B$2:$B$73=$B1094)*
      ('Putt Log'!$C$2:$C$73=$C1094),
    0),
    MATCH($G1094,'Putt Log'!$E$1:$V$1,0)
  ),
"")</f>
        <v>2</v>
      </c>
      <c r="P1094" t="str" cm="1">
        <f t="array" ref="P1094">IF(K1094=3,"",
  IFERROR(
    INDEX('Fairway Log'!$E$2:$V$73,
      MATCH(1,
        ('Fairway Log'!$A$2:$A$73=$A1094)*
        ('Fairway Log'!$B$2:$B$73=$B1094)*
        ('Fairway Log'!$C$2:$C1165=$C1094),
      0),
      MATCH($G1094,'Fairway Log'!$E$1:$V$1,0)
    ),
  "")
)</f>
        <v>←</v>
      </c>
      <c r="Q1094" t="str" cm="1">
        <f t="array" ref="Q1094">IFERROR(
  INDEX('GIR Log'!$E$2:$V$73,
    MATCH(1,
      ('GIR Log'!$A$2:$A$73=$A1094)*
      ('GIR Log'!$B$2:$B$73=$B1094)*
      ('GIR Log'!$C$2:$C$73=$C1094),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Log'!$E$2:$V$73,
    MATCH(1,
      ('Golf Log'!$A$2:$A$73=$A1095)*
      ('Golf Log'!$B$2:$B$73=$B1095)*
      ('Golf Log'!$C$2:$C$73=$C1095),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Log'!$E$2:$V$73,
    MATCH(1,
      ('Putt Log'!$A$2:$A$73=$A1095)*
      ('Putt Log'!$B$2:$B$73=$B1095)*
      ('Putt Log'!$C$2:$C$73=$C1095),
    0),
    MATCH($G1095,'Putt Log'!$E$1:$V$1,0)
  ),
"")</f>
        <v>2</v>
      </c>
      <c r="P1095" t="str" cm="1">
        <f t="array" ref="P1095">IF(K1095=3,"",
  IFERROR(
    INDEX('Fairway Log'!$E$2:$V$73,
      MATCH(1,
        ('Fairway Log'!$A$2:$A$73=$A1095)*
        ('Fairway Log'!$B$2:$B$73=$B1095)*
        ('Fairway Log'!$C$2:$C1166=$C1095),
      0),
      MATCH($G1095,'Fairway Log'!$E$1:$V$1,0)
    ),
  "")
)</f>
        <v/>
      </c>
      <c r="Q1095" t="str" cm="1">
        <f t="array" ref="Q1095">IFERROR(
  INDEX('GIR Log'!$E$2:$V$73,
    MATCH(1,
      ('GIR Log'!$A$2:$A$73=$A1095)*
      ('GIR Log'!$B$2:$B$73=$B1095)*
      ('GIR Log'!$C$2:$C$73=$C1095),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Log'!$E$2:$V$73,
    MATCH(1,
      ('Golf Log'!$A$2:$A$73=$A1096)*
      ('Golf Log'!$B$2:$B$73=$B1096)*
      ('Golf Log'!$C$2:$C$73=$C1096),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Log'!$E$2:$V$73,
    MATCH(1,
      ('Putt Log'!$A$2:$A$73=$A1096)*
      ('Putt Log'!$B$2:$B$73=$B1096)*
      ('Putt Log'!$C$2:$C$73=$C1096),
    0),
    MATCH($G1096,'Putt Log'!$E$1:$V$1,0)
  ),
"")</f>
        <v>2</v>
      </c>
      <c r="P1096" t="str" cm="1">
        <f t="array" ref="P1096">IF(K1096=3,"",
  IFERROR(
    INDEX('Fairway Log'!$E$2:$V$73,
      MATCH(1,
        ('Fairway Log'!$A$2:$A$73=$A1096)*
        ('Fairway Log'!$B$2:$B$73=$B1096)*
        ('Fairway Log'!$C$2:$C1167=$C1096),
      0),
      MATCH($G1096,'Fairway Log'!$E$1:$V$1,0)
    ),
  "")
)</f>
        <v>←</v>
      </c>
      <c r="Q1096" t="str" cm="1">
        <f t="array" ref="Q1096">IFERROR(
  INDEX('GIR Log'!$E$2:$V$73,
    MATCH(1,
      ('GIR Log'!$A$2:$A$73=$A1096)*
      ('GIR Log'!$B$2:$B$73=$B1096)*
      ('GIR Log'!$C$2:$C$73=$C1096),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Log'!$E$2:$V$73,
    MATCH(1,
      ('Golf Log'!$A$2:$A$73=$A1097)*
      ('Golf Log'!$B$2:$B$73=$B1097)*
      ('Golf Log'!$C$2:$C$73=$C1097),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Log'!$E$2:$V$73,
    MATCH(1,
      ('Putt Log'!$A$2:$A$73=$A1097)*
      ('Putt Log'!$B$2:$B$73=$B1097)*
      ('Putt Log'!$C$2:$C$73=$C1097),
    0),
    MATCH($G1097,'Putt Log'!$E$1:$V$1,0)
  ),
"")</f>
        <v>2</v>
      </c>
      <c r="P1097" t="str" cm="1">
        <f t="array" ref="P1097">IF(K1097=3,"",
  IFERROR(
    INDEX('Fairway Log'!$E$2:$V$73,
      MATCH(1,
        ('Fairway Log'!$A$2:$A$73=$A1097)*
        ('Fairway Log'!$B$2:$B$73=$B1097)*
        ('Fairway Log'!$C$2:$C1168=$C1097),
      0),
      MATCH($G1097,'Fairway Log'!$E$1:$V$1,0)
    ),
  "")
)</f>
        <v>←</v>
      </c>
      <c r="Q1097" t="str" cm="1">
        <f t="array" ref="Q1097">IFERROR(
  INDEX('GIR Log'!$E$2:$V$73,
    MATCH(1,
      ('GIR Log'!$A$2:$A$73=$A1097)*
      ('GIR Log'!$B$2:$B$73=$B1097)*
      ('GIR Log'!$C$2:$C$73=$C1097),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Log'!$E$2:$V$73,
    MATCH(1,
      ('Golf Log'!$A$2:$A$73=$A1098)*
      ('Golf Log'!$B$2:$B$73=$B1098)*
      ('Golf Log'!$C$2:$C$73=$C1098),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Log'!$E$2:$V$73,
    MATCH(1,
      ('Putt Log'!$A$2:$A$73=$A1098)*
      ('Putt Log'!$B$2:$B$73=$B1098)*
      ('Putt Log'!$C$2:$C$73=$C1098),
    0),
    MATCH($G1098,'Putt Log'!$E$1:$V$1,0)
  ),
"")</f>
        <v>2</v>
      </c>
      <c r="P1098" cm="1">
        <f t="array" ref="P1098">IF(K1098=3,"",
  IFERROR(
    INDEX('Fairway Log'!$E$2:$V$73,
      MATCH(1,
        ('Fairway Log'!$A$2:$A$73=$A1098)*
        ('Fairway Log'!$B$2:$B$73=$B1098)*
        ('Fairway Log'!$C$2:$C1169=$C1098),
      0),
      MATCH($G1098,'Fairway Log'!$E$1:$V$1,0)
    ),
  "")
)</f>
        <v>1</v>
      </c>
      <c r="Q1098" cm="1">
        <f t="array" ref="Q1098">IFERROR(
  INDEX('GIR Log'!$E$2:$V$73,
    MATCH(1,
      ('GIR Log'!$A$2:$A$73=$A1098)*
      ('GIR Log'!$B$2:$B$73=$B1098)*
      ('GIR Log'!$C$2:$C$73=$C1098),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Log'!$E$2:$V$73,
    MATCH(1,
      ('Golf Log'!$A$2:$A$73=$A1099)*
      ('Golf Log'!$B$2:$B$73=$B1099)*
      ('Golf Log'!$C$2:$C$73=$C1099),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Log'!$E$2:$V$73,
    MATCH(1,
      ('Putt Log'!$A$2:$A$73=$A1099)*
      ('Putt Log'!$B$2:$B$73=$B1099)*
      ('Putt Log'!$C$2:$C$73=$C1099),
    0),
    MATCH($G1099,'Putt Log'!$E$1:$V$1,0)
  ),
"")</f>
        <v>2</v>
      </c>
      <c r="P1099" t="str" cm="1">
        <f t="array" ref="P1099">IF(K1099=3,"",
  IFERROR(
    INDEX('Fairway Log'!$E$2:$V$73,
      MATCH(1,
        ('Fairway Log'!$A$2:$A$73=$A1099)*
        ('Fairway Log'!$B$2:$B$73=$B1099)*
        ('Fairway Log'!$C$2:$C1170=$C1099),
      0),
      MATCH($G1099,'Fairway Log'!$E$1:$V$1,0)
    ),
  "")
)</f>
        <v>←</v>
      </c>
      <c r="Q1099" t="str" cm="1">
        <f t="array" ref="Q1099">IFERROR(
  INDEX('GIR Log'!$E$2:$V$73,
    MATCH(1,
      ('GIR Log'!$A$2:$A$73=$A1099)*
      ('GIR Log'!$B$2:$B$73=$B1099)*
      ('GIR Log'!$C$2:$C$73=$C1099),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Log'!$E$2:$V$73,
    MATCH(1,
      ('Golf Log'!$A$2:$A$73=$A1100)*
      ('Golf Log'!$B$2:$B$73=$B1100)*
      ('Golf Log'!$C$2:$C$73=$C1100),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Log'!$E$2:$V$73,
    MATCH(1,
      ('Putt Log'!$A$2:$A$73=$A1100)*
      ('Putt Log'!$B$2:$B$73=$B1100)*
      ('Putt Log'!$C$2:$C$73=$C1100),
    0),
    MATCH($G1100,'Putt Log'!$E$1:$V$1,0)
  ),
"")</f>
        <v>2</v>
      </c>
      <c r="P1100" t="str" cm="1">
        <f t="array" ref="P1100">IF(K1100=3,"",
  IFERROR(
    INDEX('Fairway Log'!$E$2:$V$73,
      MATCH(1,
        ('Fairway Log'!$A$2:$A$73=$A1100)*
        ('Fairway Log'!$B$2:$B$73=$B1100)*
        ('Fairway Log'!$C$2:$C1171=$C1100),
      0),
      MATCH($G1100,'Fairway Log'!$E$1:$V$1,0)
    ),
  "")
)</f>
        <v>←</v>
      </c>
      <c r="Q1100" t="str" cm="1">
        <f t="array" ref="Q1100">IFERROR(
  INDEX('GIR Log'!$E$2:$V$73,
    MATCH(1,
      ('GIR Log'!$A$2:$A$73=$A1100)*
      ('GIR Log'!$B$2:$B$73=$B1100)*
      ('GIR Log'!$C$2:$C$73=$C1100),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Log'!$E$2:$V$73,
    MATCH(1,
      ('Golf Log'!$A$2:$A$73=$A1101)*
      ('Golf Log'!$B$2:$B$73=$B1101)*
      ('Golf Log'!$C$2:$C$73=$C1101),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Log'!$E$2:$V$73,
    MATCH(1,
      ('Putt Log'!$A$2:$A$73=$A1101)*
      ('Putt Log'!$B$2:$B$73=$B1101)*
      ('Putt Log'!$C$2:$C$73=$C1101),
    0),
    MATCH($G1101,'Putt Log'!$E$1:$V$1,0)
  ),
"")</f>
        <v>2</v>
      </c>
      <c r="P1101" t="str" cm="1">
        <f t="array" ref="P1101">IF(K1101=3,"",
  IFERROR(
    INDEX('Fairway Log'!$E$2:$V$73,
      MATCH(1,
        ('Fairway Log'!$A$2:$A$73=$A1101)*
        ('Fairway Log'!$B$2:$B$73=$B1101)*
        ('Fairway Log'!$C$2:$C1172=$C1101),
      0),
      MATCH($G1101,'Fairway Log'!$E$1:$V$1,0)
    ),
  "")
)</f>
        <v>↓</v>
      </c>
      <c r="Q1101" t="str" cm="1">
        <f t="array" ref="Q1101">IFERROR(
  INDEX('GIR Log'!$E$2:$V$73,
    MATCH(1,
      ('GIR Log'!$A$2:$A$73=$A1101)*
      ('GIR Log'!$B$2:$B$73=$B1101)*
      ('GIR Log'!$C$2:$C$73=$C1101),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Log'!$E$2:$V$73,
    MATCH(1,
      ('Golf Log'!$A$2:$A$73=$A1102)*
      ('Golf Log'!$B$2:$B$73=$B1102)*
      ('Golf Log'!$C$2:$C$73=$C1102),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Log'!$E$2:$V$73,
    MATCH(1,
      ('Putt Log'!$A$2:$A$73=$A1102)*
      ('Putt Log'!$B$2:$B$73=$B1102)*
      ('Putt Log'!$C$2:$C$73=$C1102),
    0),
    MATCH($G1102,'Putt Log'!$E$1:$V$1,0)
  ),
"")</f>
        <v>2</v>
      </c>
      <c r="P1102" t="str" cm="1">
        <f t="array" ref="P1102">IF(K1102=3,"",
  IFERROR(
    INDEX('Fairway Log'!$E$2:$V$73,
      MATCH(1,
        ('Fairway Log'!$A$2:$A$73=$A1102)*
        ('Fairway Log'!$B$2:$B$73=$B1102)*
        ('Fairway Log'!$C$2:$C1173=$C1102),
      0),
      MATCH($G1102,'Fairway Log'!$E$1:$V$1,0)
    ),
  "")
)</f>
        <v/>
      </c>
      <c r="Q1102" cm="1">
        <f t="array" ref="Q1102">IFERROR(
  INDEX('GIR Log'!$E$2:$V$73,
    MATCH(1,
      ('GIR Log'!$A$2:$A$73=$A1102)*
      ('GIR Log'!$B$2:$B$73=$B1102)*
      ('GIR Log'!$C$2:$C$73=$C1102),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Log'!$E$2:$V$73,
    MATCH(1,
      ('Golf Log'!$A$2:$A$73=$A1103)*
      ('Golf Log'!$B$2:$B$73=$B1103)*
      ('Golf Log'!$C$2:$C$73=$C1103),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Log'!$E$2:$V$73,
    MATCH(1,
      ('Putt Log'!$A$2:$A$73=$A1103)*
      ('Putt Log'!$B$2:$B$73=$B1103)*
      ('Putt Log'!$C$2:$C$73=$C1103),
    0),
    MATCH($G1103,'Putt Log'!$E$1:$V$1,0)
  ),
"")</f>
        <v>1</v>
      </c>
      <c r="P1103" t="str" cm="1">
        <f t="array" ref="P1103">IF(K1103=3,"",
  IFERROR(
    INDEX('Fairway Log'!$E$2:$V$73,
      MATCH(1,
        ('Fairway Log'!$A$2:$A$73=$A1103)*
        ('Fairway Log'!$B$2:$B$73=$B1103)*
        ('Fairway Log'!$C$2:$C1174=$C1103),
      0),
      MATCH($G1103,'Fairway Log'!$E$1:$V$1,0)
    ),
  "")
)</f>
        <v>←</v>
      </c>
      <c r="Q1103" t="str" cm="1">
        <f t="array" ref="Q1103">IFERROR(
  INDEX('GIR Log'!$E$2:$V$73,
    MATCH(1,
      ('GIR Log'!$A$2:$A$73=$A1103)*
      ('GIR Log'!$B$2:$B$73=$B1103)*
      ('GIR Log'!$C$2:$C$73=$C1103),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Log'!$E$2:$V$73,
    MATCH(1,
      ('Golf Log'!$A$2:$A$73=$A1104)*
      ('Golf Log'!$B$2:$B$73=$B1104)*
      ('Golf Log'!$C$2:$C$73=$C1104),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Log'!$E$2:$V$73,
    MATCH(1,
      ('Putt Log'!$A$2:$A$73=$A1104)*
      ('Putt Log'!$B$2:$B$73=$B1104)*
      ('Putt Log'!$C$2:$C$73=$C1104),
    0),
    MATCH($G1104,'Putt Log'!$E$1:$V$1,0)
  ),
"")</f>
        <v>2</v>
      </c>
      <c r="P1104" t="str" cm="1">
        <f t="array" ref="P1104">IF(K1104=3,"",
  IFERROR(
    INDEX('Fairway Log'!$E$2:$V$73,
      MATCH(1,
        ('Fairway Log'!$A$2:$A$73=$A1104)*
        ('Fairway Log'!$B$2:$B$73=$B1104)*
        ('Fairway Log'!$C$2:$C1175=$C1104),
      0),
      MATCH($G1104,'Fairway Log'!$E$1:$V$1,0)
    ),
  "")
)</f>
        <v>↓</v>
      </c>
      <c r="Q1104" t="str" cm="1">
        <f t="array" ref="Q1104">IFERROR(
  INDEX('GIR Log'!$E$2:$V$73,
    MATCH(1,
      ('GIR Log'!$A$2:$A$73=$A1104)*
      ('GIR Log'!$B$2:$B$73=$B1104)*
      ('GIR Log'!$C$2:$C$73=$C1104),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Log'!$E$2:$V$73,
    MATCH(1,
      ('Golf Log'!$A$2:$A$73=$A1105)*
      ('Golf Log'!$B$2:$B$73=$B1105)*
      ('Golf Log'!$C$2:$C$73=$C1105),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Log'!$E$2:$V$73,
    MATCH(1,
      ('Putt Log'!$A$2:$A$73=$A1105)*
      ('Putt Log'!$B$2:$B$73=$B1105)*
      ('Putt Log'!$C$2:$C$73=$C1105),
    0),
    MATCH($G1105,'Putt Log'!$E$1:$V$1,0)
  ),
"")</f>
        <v>2</v>
      </c>
      <c r="P1105" t="str" cm="1">
        <f t="array" ref="P1105">IF(K1105=3,"",
  IFERROR(
    INDEX('Fairway Log'!$E$2:$V$73,
      MATCH(1,
        ('Fairway Log'!$A$2:$A$73=$A1105)*
        ('Fairway Log'!$B$2:$B$73=$B1105)*
        ('Fairway Log'!$C$2:$C1176=$C1105),
      0),
      MATCH($G1105,'Fairway Log'!$E$1:$V$1,0)
    ),
  "")
)</f>
        <v/>
      </c>
      <c r="Q1105" t="str" cm="1">
        <f t="array" ref="Q1105">IFERROR(
  INDEX('GIR Log'!$E$2:$V$73,
    MATCH(1,
      ('GIR Log'!$A$2:$A$73=$A1105)*
      ('GIR Log'!$B$2:$B$73=$B1105)*
      ('GIR Log'!$C$2:$C$73=$C1105),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Log'!$E$2:$V$73,
    MATCH(1,
      ('Golf Log'!$A$2:$A$73=$A1106)*
      ('Golf Log'!$B$2:$B$73=$B1106)*
      ('Golf Log'!$C$2:$C$73=$C1106),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Log'!$E$2:$V$73,
    MATCH(1,
      ('Putt Log'!$A$2:$A$73=$A1106)*
      ('Putt Log'!$B$2:$B$73=$B1106)*
      ('Putt Log'!$C$2:$C$73=$C1106),
    0),
    MATCH($G1106,'Putt Log'!$E$1:$V$1,0)
  ),
"")</f>
        <v>2</v>
      </c>
      <c r="P1106" t="str" cm="1">
        <f t="array" ref="P1106">IF(K1106=3,"",
  IFERROR(
    INDEX('Fairway Log'!$E$2:$V$73,
      MATCH(1,
        ('Fairway Log'!$A$2:$A$73=$A1106)*
        ('Fairway Log'!$B$2:$B$73=$B1106)*
        ('Fairway Log'!$C$2:$C1177=$C1106),
      0),
      MATCH($G1106,'Fairway Log'!$E$1:$V$1,0)
    ),
  "")
)</f>
        <v>↓</v>
      </c>
      <c r="Q1106" t="str" cm="1">
        <f t="array" ref="Q1106">IFERROR(
  INDEX('GIR Log'!$E$2:$V$73,
    MATCH(1,
      ('GIR Log'!$A$2:$A$73=$A1106)*
      ('GIR Log'!$B$2:$B$73=$B1106)*
      ('GIR Log'!$C$2:$C$73=$C1106),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Log'!$E$2:$V$73,
    MATCH(1,
      ('Golf Log'!$A$2:$A$73=$A1107)*
      ('Golf Log'!$B$2:$B$73=$B1107)*
      ('Golf Log'!$C$2:$C$73=$C1107),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Log'!$E$2:$V$73,
    MATCH(1,
      ('Putt Log'!$A$2:$A$73=$A1107)*
      ('Putt Log'!$B$2:$B$73=$B1107)*
      ('Putt Log'!$C$2:$C$73=$C1107),
    0),
    MATCH($G1107,'Putt Log'!$E$1:$V$1,0)
  ),
"")</f>
        <v>3</v>
      </c>
      <c r="P1107" t="str" cm="1">
        <f t="array" ref="P1107">IF(K1107=3,"",
  IFERROR(
    INDEX('Fairway Log'!$E$2:$V$73,
      MATCH(1,
        ('Fairway Log'!$A$2:$A$73=$A1107)*
        ('Fairway Log'!$B$2:$B$73=$B1107)*
        ('Fairway Log'!$C$2:$C1178=$C1107),
      0),
      MATCH($G1107,'Fairway Log'!$E$1:$V$1,0)
    ),
  "")
)</f>
        <v>←</v>
      </c>
      <c r="Q1107" cm="1">
        <f t="array" ref="Q1107">IFERROR(
  INDEX('GIR Log'!$E$2:$V$73,
    MATCH(1,
      ('GIR Log'!$A$2:$A$73=$A1107)*
      ('GIR Log'!$B$2:$B$73=$B1107)*
      ('GIR Log'!$C$2:$C$73=$C1107),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Log'!$E$2:$V$73,
    MATCH(1,
      ('Golf Log'!$A$2:$A$73=$A1108)*
      ('Golf Log'!$B$2:$B$73=$B1108)*
      ('Golf Log'!$C$2:$C$73=$C1108),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Log'!$E$2:$V$73,
    MATCH(1,
      ('Putt Log'!$A$2:$A$73=$A1108)*
      ('Putt Log'!$B$2:$B$73=$B1108)*
      ('Putt Log'!$C$2:$C$73=$C1108),
    0),
    MATCH($G1108,'Putt Log'!$E$1:$V$1,0)
  ),
"")</f>
        <v>2</v>
      </c>
      <c r="P1108" cm="1">
        <f t="array" ref="P1108">IF(K1108=3,"",
  IFERROR(
    INDEX('Fairway Log'!$E$2:$V$73,
      MATCH(1,
        ('Fairway Log'!$A$2:$A$73=$A1108)*
        ('Fairway Log'!$B$2:$B$73=$B1108)*
        ('Fairway Log'!$C$2:$C1179=$C1108),
      0),
      MATCH($G1108,'Fairway Log'!$E$1:$V$1,0)
    ),
  "")
)</f>
        <v>1</v>
      </c>
      <c r="Q1108" t="str" cm="1">
        <f t="array" ref="Q1108">IFERROR(
  INDEX('GIR Log'!$E$2:$V$73,
    MATCH(1,
      ('GIR Log'!$A$2:$A$73=$A1108)*
      ('GIR Log'!$B$2:$B$73=$B1108)*
      ('GIR Log'!$C$2:$C$73=$C1108),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Log'!$E$2:$V$73,
    MATCH(1,
      ('Golf Log'!$A$2:$A$73=$A1109)*
      ('Golf Log'!$B$2:$B$73=$B1109)*
      ('Golf Log'!$C$2:$C$73=$C1109),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Log'!$E$2:$V$73,
    MATCH(1,
      ('Putt Log'!$A$2:$A$73=$A1109)*
      ('Putt Log'!$B$2:$B$73=$B1109)*
      ('Putt Log'!$C$2:$C$73=$C1109),
    0),
    MATCH($G1109,'Putt Log'!$E$1:$V$1,0)
  ),
"")</f>
        <v>2</v>
      </c>
      <c r="P1109" t="str" cm="1">
        <f t="array" ref="P1109">IF(K1109=3,"",
  IFERROR(
    INDEX('Fairway Log'!$E$2:$V$73,
      MATCH(1,
        ('Fairway Log'!$A$2:$A$73=$A1109)*
        ('Fairway Log'!$B$2:$B$73=$B1109)*
        ('Fairway Log'!$C$2:$C1180=$C1109),
      0),
      MATCH($G1109,'Fairway Log'!$E$1:$V$1,0)
    ),
  "")
)</f>
        <v>↓</v>
      </c>
      <c r="Q1109" t="str" cm="1">
        <f t="array" ref="Q1109">IFERROR(
  INDEX('GIR Log'!$E$2:$V$73,
    MATCH(1,
      ('GIR Log'!$A$2:$A$73=$A1109)*
      ('GIR Log'!$B$2:$B$73=$B1109)*
      ('GIR Log'!$C$2:$C$73=$C1109),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Log'!$E$2:$V$73,
    MATCH(1,
      ('Golf Log'!$A$2:$A$73=$A1110)*
      ('Golf Log'!$B$2:$B$73=$B1110)*
      ('Golf Log'!$C$2:$C$73=$C1110),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Log'!$E$2:$V$73,
    MATCH(1,
      ('Putt Log'!$A$2:$A$73=$A1110)*
      ('Putt Log'!$B$2:$B$73=$B1110)*
      ('Putt Log'!$C$2:$C$73=$C1110),
    0),
    MATCH($G1110,'Putt Log'!$E$1:$V$1,0)
  ),
"")</f>
        <v>2</v>
      </c>
      <c r="P1110" t="str" cm="1">
        <f t="array" ref="P1110">IF(K1110=3,"",
  IFERROR(
    INDEX('Fairway Log'!$E$2:$V$73,
      MATCH(1,
        ('Fairway Log'!$A$2:$A$73=$A1110)*
        ('Fairway Log'!$B$2:$B$73=$B1110)*
        ('Fairway Log'!$C$2:$C1181=$C1110),
      0),
      MATCH($G1110,'Fairway Log'!$E$1:$V$1,0)
    ),
  "")
)</f>
        <v/>
      </c>
      <c r="Q1110" t="str" cm="1">
        <f t="array" ref="Q1110">IFERROR(
  INDEX('GIR Log'!$E$2:$V$73,
    MATCH(1,
      ('GIR Log'!$A$2:$A$73=$A1110)*
      ('GIR Log'!$B$2:$B$73=$B1110)*
      ('GIR Log'!$C$2:$C$73=$C1110),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Log'!$E$2:$V$73,
    MATCH(1,
      ('Golf Log'!$A$2:$A$73=$A1111)*
      ('Golf Log'!$B$2:$B$73=$B1111)*
      ('Golf Log'!$C$2:$C$73=$C1111),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Log'!$E$2:$V$73,
    MATCH(1,
      ('Putt Log'!$A$2:$A$73=$A1111)*
      ('Putt Log'!$B$2:$B$73=$B1111)*
      ('Putt Log'!$C$2:$C$73=$C1111),
    0),
    MATCH($G1111,'Putt Log'!$E$1:$V$1,0)
  ),
"")</f>
        <v>2</v>
      </c>
      <c r="P1111" t="str" cm="1">
        <f t="array" ref="P1111">IF(K1111=3,"",
  IFERROR(
    INDEX('Fairway Log'!$E$2:$V$73,
      MATCH(1,
        ('Fairway Log'!$A$2:$A$73=$A1111)*
        ('Fairway Log'!$B$2:$B$73=$B1111)*
        ('Fairway Log'!$C$2:$C1182=$C1111),
      0),
      MATCH($G1111,'Fairway Log'!$E$1:$V$1,0)
    ),
  "")
)</f>
        <v>↑</v>
      </c>
      <c r="Q1111" t="str" cm="1">
        <f t="array" ref="Q1111">IFERROR(
  INDEX('GIR Log'!$E$2:$V$73,
    MATCH(1,
      ('GIR Log'!$A$2:$A$73=$A1111)*
      ('GIR Log'!$B$2:$B$73=$B1111)*
      ('GIR Log'!$C$2:$C$73=$C1111),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Log'!$E$2:$V$73,
    MATCH(1,
      ('Golf Log'!$A$2:$A$73=$A1112)*
      ('Golf Log'!$B$2:$B$73=$B1112)*
      ('Golf Log'!$C$2:$C$73=$C1112),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Log'!$E$2:$V$73,
    MATCH(1,
      ('Putt Log'!$A$2:$A$73=$A1112)*
      ('Putt Log'!$B$2:$B$73=$B1112)*
      ('Putt Log'!$C$2:$C$73=$C1112),
    0),
    MATCH($G1112,'Putt Log'!$E$1:$V$1,0)
  ),
"")</f>
        <v>2</v>
      </c>
      <c r="P1112" t="str" cm="1">
        <f t="array" ref="P1112">IF(K1112=3,"",
  IFERROR(
    INDEX('Fairway Log'!$E$2:$V$73,
      MATCH(1,
        ('Fairway Log'!$A$2:$A$73=$A1112)*
        ('Fairway Log'!$B$2:$B$73=$B1112)*
        ('Fairway Log'!$C$2:$C1183=$C1112),
      0),
      MATCH($G1112,'Fairway Log'!$E$1:$V$1,0)
    ),
  "")
)</f>
        <v>←</v>
      </c>
      <c r="Q1112" t="str" cm="1">
        <f t="array" ref="Q1112">IFERROR(
  INDEX('GIR Log'!$E$2:$V$73,
    MATCH(1,
      ('GIR Log'!$A$2:$A$73=$A1112)*
      ('GIR Log'!$B$2:$B$73=$B1112)*
      ('GIR Log'!$C$2:$C$73=$C1112),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Log'!$E$2:$V$73,
    MATCH(1,
      ('Golf Log'!$A$2:$A$73=$A1113)*
      ('Golf Log'!$B$2:$B$73=$B1113)*
      ('Golf Log'!$C$2:$C$73=$C1113),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Log'!$E$2:$V$73,
    MATCH(1,
      ('Putt Log'!$A$2:$A$73=$A1113)*
      ('Putt Log'!$B$2:$B$73=$B1113)*
      ('Putt Log'!$C$2:$C$73=$C1113),
    0),
    MATCH($G1113,'Putt Log'!$E$1:$V$1,0)
  ),
"")</f>
        <v>1</v>
      </c>
      <c r="P1113" t="str" cm="1">
        <f t="array" ref="P1113">IF(K1113=3,"",
  IFERROR(
    INDEX('Fairway Log'!$E$2:$V$73,
      MATCH(1,
        ('Fairway Log'!$A$2:$A$73=$A1113)*
        ('Fairway Log'!$B$2:$B$73=$B1113)*
        ('Fairway Log'!$C$2:$C1184=$C1113),
      0),
      MATCH($G1113,'Fairway Log'!$E$1:$V$1,0)
    ),
  "")
)</f>
        <v>←</v>
      </c>
      <c r="Q1113" t="str" cm="1">
        <f t="array" ref="Q1113">IFERROR(
  INDEX('GIR Log'!$E$2:$V$73,
    MATCH(1,
      ('GIR Log'!$A$2:$A$73=$A1113)*
      ('GIR Log'!$B$2:$B$73=$B1113)*
      ('GIR Log'!$C$2:$C$73=$C1113),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Log'!$E$2:$V$73,
    MATCH(1,
      ('Golf Log'!$A$2:$A$73=$A1114)*
      ('Golf Log'!$B$2:$B$73=$B1114)*
      ('Golf Log'!$C$2:$C$73=$C1114),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Log'!$E$2:$V$73,
    MATCH(1,
      ('Putt Log'!$A$2:$A$73=$A1114)*
      ('Putt Log'!$B$2:$B$73=$B1114)*
      ('Putt Log'!$C$2:$C$73=$C1114),
    0),
    MATCH($G1114,'Putt Log'!$E$1:$V$1,0)
  ),
"")</f>
        <v>1</v>
      </c>
      <c r="P1114" t="str" cm="1">
        <f t="array" ref="P1114">IF(K1114=3,"",
  IFERROR(
    INDEX('Fairway Log'!$E$2:$V$73,
      MATCH(1,
        ('Fairway Log'!$A$2:$A$73=$A1114)*
        ('Fairway Log'!$B$2:$B$73=$B1114)*
        ('Fairway Log'!$C$2:$C1185=$C1114),
      0),
      MATCH($G1114,'Fairway Log'!$E$1:$V$1,0)
    ),
  "")
)</f>
        <v/>
      </c>
      <c r="Q1114" t="str" cm="1">
        <f t="array" ref="Q1114">IFERROR(
  INDEX('GIR Log'!$E$2:$V$73,
    MATCH(1,
      ('GIR Log'!$A$2:$A$73=$A1114)*
      ('GIR Log'!$B$2:$B$73=$B1114)*
      ('GIR Log'!$C$2:$C$73=$C1114),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Log'!$E$2:$V$73,
    MATCH(1,
      ('Golf Log'!$A$2:$A$73=$A1115)*
      ('Golf Log'!$B$2:$B$73=$B1115)*
      ('Golf Log'!$C$2:$C$73=$C1115),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Log'!$E$2:$V$73,
    MATCH(1,
      ('Putt Log'!$A$2:$A$73=$A1115)*
      ('Putt Log'!$B$2:$B$73=$B1115)*
      ('Putt Log'!$C$2:$C$73=$C1115),
    0),
    MATCH($G1115,'Putt Log'!$E$1:$V$1,0)
  ),
"")</f>
        <v>2</v>
      </c>
      <c r="P1115" t="str" cm="1">
        <f t="array" ref="P1115">IF(K1115=3,"",
  IFERROR(
    INDEX('Fairway Log'!$E$2:$V$73,
      MATCH(1,
        ('Fairway Log'!$A$2:$A$73=$A1115)*
        ('Fairway Log'!$B$2:$B$73=$B1115)*
        ('Fairway Log'!$C$2:$C1186=$C1115),
      0),
      MATCH($G1115,'Fairway Log'!$E$1:$V$1,0)
    ),
  "")
)</f>
        <v>↓</v>
      </c>
      <c r="Q1115" t="str" cm="1">
        <f t="array" ref="Q1115">IFERROR(
  INDEX('GIR Log'!$E$2:$V$73,
    MATCH(1,
      ('GIR Log'!$A$2:$A$73=$A1115)*
      ('GIR Log'!$B$2:$B$73=$B1115)*
      ('GIR Log'!$C$2:$C$73=$C1115),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Log'!$E$2:$V$73,
    MATCH(1,
      ('Golf Log'!$A$2:$A$73=$A1116)*
      ('Golf Log'!$B$2:$B$73=$B1116)*
      ('Golf Log'!$C$2:$C$73=$C1116),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Log'!$E$2:$V$73,
    MATCH(1,
      ('Putt Log'!$A$2:$A$73=$A1116)*
      ('Putt Log'!$B$2:$B$73=$B1116)*
      ('Putt Log'!$C$2:$C$73=$C1116),
    0),
    MATCH($G1116,'Putt Log'!$E$1:$V$1,0)
  ),
"")</f>
        <v>2</v>
      </c>
      <c r="P1116" cm="1">
        <f t="array" ref="P1116">IF(K1116=3,"",
  IFERROR(
    INDEX('Fairway Log'!$E$2:$V$73,
      MATCH(1,
        ('Fairway Log'!$A$2:$A$73=$A1116)*
        ('Fairway Log'!$B$2:$B$73=$B1116)*
        ('Fairway Log'!$C$2:$C1187=$C1116),
      0),
      MATCH($G1116,'Fairway Log'!$E$1:$V$1,0)
    ),
  "")
)</f>
        <v>1</v>
      </c>
      <c r="Q1116" t="str" cm="1">
        <f t="array" ref="Q1116">IFERROR(
  INDEX('GIR Log'!$E$2:$V$73,
    MATCH(1,
      ('GIR Log'!$A$2:$A$73=$A1116)*
      ('GIR Log'!$B$2:$B$73=$B1116)*
      ('GIR Log'!$C$2:$C$73=$C1116),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Log'!$E$2:$V$73,
    MATCH(1,
      ('Golf Log'!$A$2:$A$73=$A1117)*
      ('Golf Log'!$B$2:$B$73=$B1117)*
      ('Golf Log'!$C$2:$C$73=$C1117),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Log'!$E$2:$V$73,
    MATCH(1,
      ('Putt Log'!$A$2:$A$73=$A1117)*
      ('Putt Log'!$B$2:$B$73=$B1117)*
      ('Putt Log'!$C$2:$C$73=$C1117),
    0),
    MATCH($G1117,'Putt Log'!$E$1:$V$1,0)
  ),
"")</f>
        <v>2</v>
      </c>
      <c r="P1117" t="str" cm="1">
        <f t="array" ref="P1117">IF(K1117=3,"",
  IFERROR(
    INDEX('Fairway Log'!$E$2:$V$73,
      MATCH(1,
        ('Fairway Log'!$A$2:$A$73=$A1117)*
        ('Fairway Log'!$B$2:$B$73=$B1117)*
        ('Fairway Log'!$C$2:$C1188=$C1117),
      0),
      MATCH($G1117,'Fairway Log'!$E$1:$V$1,0)
    ),
  "")
)</f>
        <v>←</v>
      </c>
      <c r="Q1117" t="str" cm="1">
        <f t="array" ref="Q1117">IFERROR(
  INDEX('GIR Log'!$E$2:$V$73,
    MATCH(1,
      ('GIR Log'!$A$2:$A$73=$A1117)*
      ('GIR Log'!$B$2:$B$73=$B1117)*
      ('GIR Log'!$C$2:$C$73=$C1117),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Log'!$E$2:$V$73,
    MATCH(1,
      ('Golf Log'!$A$2:$A$73=$A1118)*
      ('Golf Log'!$B$2:$B$73=$B1118)*
      ('Golf Log'!$C$2:$C$73=$C1118),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Log'!$E$2:$V$73,
    MATCH(1,
      ('Putt Log'!$A$2:$A$73=$A1118)*
      ('Putt Log'!$B$2:$B$73=$B1118)*
      ('Putt Log'!$C$2:$C$73=$C1118),
    0),
    MATCH($G1118,'Putt Log'!$E$1:$V$1,0)
  ),
"")</f>
        <v>2</v>
      </c>
      <c r="P1118" t="str" cm="1">
        <f t="array" ref="P1118">IF(K1118=3,"",
  IFERROR(
    INDEX('Fairway Log'!$E$2:$V$73,
      MATCH(1,
        ('Fairway Log'!$A$2:$A$73=$A1118)*
        ('Fairway Log'!$B$2:$B$73=$B1118)*
        ('Fairway Log'!$C$2:$C1189=$C1118),
      0),
      MATCH($G1118,'Fairway Log'!$E$1:$V$1,0)
    ),
  "")
)</f>
        <v>→</v>
      </c>
      <c r="Q1118" cm="1">
        <f t="array" ref="Q1118">IFERROR(
  INDEX('GIR Log'!$E$2:$V$73,
    MATCH(1,
      ('GIR Log'!$A$2:$A$73=$A1118)*
      ('GIR Log'!$B$2:$B$73=$B1118)*
      ('GIR Log'!$C$2:$C$73=$C1118),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Log'!$E$2:$V$73,
    MATCH(1,
      ('Golf Log'!$A$2:$A$73=$A1119)*
      ('Golf Log'!$B$2:$B$73=$B1119)*
      ('Golf Log'!$C$2:$C$73=$C1119),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Log'!$E$2:$V$73,
    MATCH(1,
      ('Putt Log'!$A$2:$A$73=$A1119)*
      ('Putt Log'!$B$2:$B$73=$B1119)*
      ('Putt Log'!$C$2:$C$73=$C1119),
    0),
    MATCH($G1119,'Putt Log'!$E$1:$V$1,0)
  ),
"")</f>
        <v>1</v>
      </c>
      <c r="P1119" t="str" cm="1">
        <f t="array" ref="P1119">IF(K1119=3,"",
  IFERROR(
    INDEX('Fairway Log'!$E$2:$V$73,
      MATCH(1,
        ('Fairway Log'!$A$2:$A$73=$A1119)*
        ('Fairway Log'!$B$2:$B$73=$B1119)*
        ('Fairway Log'!$C$2:$C1190=$C1119),
      0),
      MATCH($G1119,'Fairway Log'!$E$1:$V$1,0)
    ),
  "")
)</f>
        <v>←</v>
      </c>
      <c r="Q1119" cm="1">
        <f t="array" ref="Q1119">IFERROR(
  INDEX('GIR Log'!$E$2:$V$73,
    MATCH(1,
      ('GIR Log'!$A$2:$A$73=$A1119)*
      ('GIR Log'!$B$2:$B$73=$B1119)*
      ('GIR Log'!$C$2:$C$73=$C1119),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Log'!$E$2:$V$73,
    MATCH(1,
      ('Golf Log'!$A$2:$A$73=$A1120)*
      ('Golf Log'!$B$2:$B$73=$B1120)*
      ('Golf Log'!$C$2:$C$73=$C1120),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Log'!$E$2:$V$73,
    MATCH(1,
      ('Putt Log'!$A$2:$A$73=$A1120)*
      ('Putt Log'!$B$2:$B$73=$B1120)*
      ('Putt Log'!$C$2:$C$73=$C1120),
    0),
    MATCH($G1120,'Putt Log'!$E$1:$V$1,0)
  ),
"")</f>
        <v>3</v>
      </c>
      <c r="P1120" t="str" cm="1">
        <f t="array" ref="P1120">IF(K1120=3,"",
  IFERROR(
    INDEX('Fairway Log'!$E$2:$V$73,
      MATCH(1,
        ('Fairway Log'!$A$2:$A$73=$A1120)*
        ('Fairway Log'!$B$2:$B$73=$B1120)*
        ('Fairway Log'!$C$2:$C1191=$C1120),
      0),
      MATCH($G1120,'Fairway Log'!$E$1:$V$1,0)
    ),
  "")
)</f>
        <v/>
      </c>
      <c r="Q1120" cm="1">
        <f t="array" ref="Q1120">IFERROR(
  INDEX('GIR Log'!$E$2:$V$73,
    MATCH(1,
      ('GIR Log'!$A$2:$A$73=$A1120)*
      ('GIR Log'!$B$2:$B$73=$B1120)*
      ('GIR Log'!$C$2:$C$73=$C1120),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Log'!$E$2:$V$73,
    MATCH(1,
      ('Golf Log'!$A$2:$A$73=$A1121)*
      ('Golf Log'!$B$2:$B$73=$B1121)*
      ('Golf Log'!$C$2:$C$73=$C1121),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Log'!$E$2:$V$73,
    MATCH(1,
      ('Putt Log'!$A$2:$A$73=$A1121)*
      ('Putt Log'!$B$2:$B$73=$B1121)*
      ('Putt Log'!$C$2:$C$73=$C1121),
    0),
    MATCH($G1121,'Putt Log'!$E$1:$V$1,0)
  ),
"")</f>
        <v>2</v>
      </c>
      <c r="P1121" cm="1">
        <f t="array" ref="P1121">IF(K1121=3,"",
  IFERROR(
    INDEX('Fairway Log'!$E$2:$V$73,
      MATCH(1,
        ('Fairway Log'!$A$2:$A$73=$A1121)*
        ('Fairway Log'!$B$2:$B$73=$B1121)*
        ('Fairway Log'!$C$2:$C1192=$C1121),
      0),
      MATCH($G1121,'Fairway Log'!$E$1:$V$1,0)
    ),
  "")
)</f>
        <v>1</v>
      </c>
      <c r="Q1121" cm="1">
        <f t="array" ref="Q1121">IFERROR(
  INDEX('GIR Log'!$E$2:$V$73,
    MATCH(1,
      ('GIR Log'!$A$2:$A$73=$A1121)*
      ('GIR Log'!$B$2:$B$73=$B1121)*
      ('GIR Log'!$C$2:$C$73=$C1121),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Log'!$E$2:$V$73,
    MATCH(1,
      ('Golf Log'!$A$2:$A$73=$A1122)*
      ('Golf Log'!$B$2:$B$73=$B1122)*
      ('Golf Log'!$C$2:$C$73=$C1122),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Log'!$E$2:$V$73,
    MATCH(1,
      ('Putt Log'!$A$2:$A$73=$A1122)*
      ('Putt Log'!$B$2:$B$73=$B1122)*
      ('Putt Log'!$C$2:$C$73=$C1122),
    0),
    MATCH($G1122,'Putt Log'!$E$1:$V$1,0)
  ),
"")</f>
        <v>2</v>
      </c>
      <c r="P1122" t="str" cm="1">
        <f t="array" ref="P1122">IF(K1122=3,"",
  IFERROR(
    INDEX('Fairway Log'!$E$2:$V$73,
      MATCH(1,
        ('Fairway Log'!$A$2:$A$73=$A1122)*
        ('Fairway Log'!$B$2:$B$73=$B1122)*
        ('Fairway Log'!$C$2:$C1193=$C1122),
      0),
      MATCH($G1122,'Fairway Log'!$E$1:$V$1,0)
    ),
  "")
)</f>
        <v>↓</v>
      </c>
      <c r="Q1122" cm="1">
        <f t="array" ref="Q1122">IFERROR(
  INDEX('GIR Log'!$E$2:$V$73,
    MATCH(1,
      ('GIR Log'!$A$2:$A$73=$A1122)*
      ('GIR Log'!$B$2:$B$73=$B1122)*
      ('GIR Log'!$C$2:$C$73=$C1122),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Log'!$E$2:$V$73,
    MATCH(1,
      ('Golf Log'!$A$2:$A$73=$A1123)*
      ('Golf Log'!$B$2:$B$73=$B1123)*
      ('Golf Log'!$C$2:$C$73=$C1123),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Log'!$E$2:$V$73,
    MATCH(1,
      ('Putt Log'!$A$2:$A$73=$A1123)*
      ('Putt Log'!$B$2:$B$73=$B1123)*
      ('Putt Log'!$C$2:$C$73=$C1123),
    0),
    MATCH($G1123,'Putt Log'!$E$1:$V$1,0)
  ),
"")</f>
        <v>2</v>
      </c>
      <c r="P1123" t="str" cm="1">
        <f t="array" ref="P1123">IF(K1123=3,"",
  IFERROR(
    INDEX('Fairway Log'!$E$2:$V$73,
      MATCH(1,
        ('Fairway Log'!$A$2:$A$73=$A1123)*
        ('Fairway Log'!$B$2:$B$73=$B1123)*
        ('Fairway Log'!$C$2:$C1194=$C1123),
      0),
      MATCH($G1123,'Fairway Log'!$E$1:$V$1,0)
    ),
  "")
)</f>
        <v/>
      </c>
      <c r="Q1123" cm="1">
        <f t="array" ref="Q1123">IFERROR(
  INDEX('GIR Log'!$E$2:$V$73,
    MATCH(1,
      ('GIR Log'!$A$2:$A$73=$A1123)*
      ('GIR Log'!$B$2:$B$73=$B1123)*
      ('GIR Log'!$C$2:$C$73=$C1123),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Log'!$E$2:$V$73,
    MATCH(1,
      ('Golf Log'!$A$2:$A$73=$A1124)*
      ('Golf Log'!$B$2:$B$73=$B1124)*
      ('Golf Log'!$C$2:$C$73=$C1124),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Log'!$E$2:$V$73,
    MATCH(1,
      ('Putt Log'!$A$2:$A$73=$A1124)*
      ('Putt Log'!$B$2:$B$73=$B1124)*
      ('Putt Log'!$C$2:$C$73=$C1124),
    0),
    MATCH($G1124,'Putt Log'!$E$1:$V$1,0)
  ),
"")</f>
        <v>2</v>
      </c>
      <c r="P1124" cm="1">
        <f t="array" ref="P1124">IF(K1124=3,"",
  IFERROR(
    INDEX('Fairway Log'!$E$2:$V$73,
      MATCH(1,
        ('Fairway Log'!$A$2:$A$73=$A1124)*
        ('Fairway Log'!$B$2:$B$73=$B1124)*
        ('Fairway Log'!$C$2:$C1195=$C1124),
      0),
      MATCH($G1124,'Fairway Log'!$E$1:$V$1,0)
    ),
  "")
)</f>
        <v>1</v>
      </c>
      <c r="Q1124" cm="1">
        <f t="array" ref="Q1124">IFERROR(
  INDEX('GIR Log'!$E$2:$V$73,
    MATCH(1,
      ('GIR Log'!$A$2:$A$73=$A1124)*
      ('GIR Log'!$B$2:$B$73=$B1124)*
      ('GIR Log'!$C$2:$C$73=$C1124),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Log'!$E$2:$V$73,
    MATCH(1,
      ('Golf Log'!$A$2:$A$73=$A1125)*
      ('Golf Log'!$B$2:$B$73=$B1125)*
      ('Golf Log'!$C$2:$C$73=$C1125),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Log'!$E$2:$V$73,
    MATCH(1,
      ('Putt Log'!$A$2:$A$73=$A1125)*
      ('Putt Log'!$B$2:$B$73=$B1125)*
      ('Putt Log'!$C$2:$C$73=$C1125),
    0),
    MATCH($G1125,'Putt Log'!$E$1:$V$1,0)
  ),
"")</f>
        <v>2</v>
      </c>
      <c r="P1125" cm="1">
        <f t="array" ref="P1125">IF(K1125=3,"",
  IFERROR(
    INDEX('Fairway Log'!$E$2:$V$73,
      MATCH(1,
        ('Fairway Log'!$A$2:$A$73=$A1125)*
        ('Fairway Log'!$B$2:$B$73=$B1125)*
        ('Fairway Log'!$C$2:$C1196=$C1125),
      0),
      MATCH($G1125,'Fairway Log'!$E$1:$V$1,0)
    ),
  "")
)</f>
        <v>1</v>
      </c>
      <c r="Q1125" cm="1">
        <f t="array" ref="Q1125">IFERROR(
  INDEX('GIR Log'!$E$2:$V$73,
    MATCH(1,
      ('GIR Log'!$A$2:$A$73=$A1125)*
      ('GIR Log'!$B$2:$B$73=$B1125)*
      ('GIR Log'!$C$2:$C$73=$C1125),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Log'!$E$2:$V$73,
    MATCH(1,
      ('Golf Log'!$A$2:$A$73=$A1126)*
      ('Golf Log'!$B$2:$B$73=$B1126)*
      ('Golf Log'!$C$2:$C$73=$C1126),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Log'!$E$2:$V$73,
    MATCH(1,
      ('Putt Log'!$A$2:$A$73=$A1126)*
      ('Putt Log'!$B$2:$B$73=$B1126)*
      ('Putt Log'!$C$2:$C$73=$C1126),
    0),
    MATCH($G1126,'Putt Log'!$E$1:$V$1,0)
  ),
"")</f>
        <v>2</v>
      </c>
      <c r="P1126" cm="1">
        <f t="array" ref="P1126">IF(K1126=3,"",
  IFERROR(
    INDEX('Fairway Log'!$E$2:$V$73,
      MATCH(1,
        ('Fairway Log'!$A$2:$A$73=$A1126)*
        ('Fairway Log'!$B$2:$B$73=$B1126)*
        ('Fairway Log'!$C$2:$C1197=$C1126),
      0),
      MATCH($G1126,'Fairway Log'!$E$1:$V$1,0)
    ),
  "")
)</f>
        <v>1</v>
      </c>
      <c r="Q1126" cm="1">
        <f t="array" ref="Q1126">IFERROR(
  INDEX('GIR Log'!$E$2:$V$73,
    MATCH(1,
      ('GIR Log'!$A$2:$A$73=$A1126)*
      ('GIR Log'!$B$2:$B$73=$B1126)*
      ('GIR Log'!$C$2:$C$73=$C1126),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Log'!$E$2:$V$73,
    MATCH(1,
      ('Golf Log'!$A$2:$A$73=$A1127)*
      ('Golf Log'!$B$2:$B$73=$B1127)*
      ('Golf Log'!$C$2:$C$73=$C1127),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Log'!$E$2:$V$73,
    MATCH(1,
      ('Putt Log'!$A$2:$A$73=$A1127)*
      ('Putt Log'!$B$2:$B$73=$B1127)*
      ('Putt Log'!$C$2:$C$73=$C1127),
    0),
    MATCH($G1127,'Putt Log'!$E$1:$V$1,0)
  ),
"")</f>
        <v>2</v>
      </c>
      <c r="P1127" t="str" cm="1">
        <f t="array" ref="P1127">IF(K1127=3,"",
  IFERROR(
    INDEX('Fairway Log'!$E$2:$V$73,
      MATCH(1,
        ('Fairway Log'!$A$2:$A$73=$A1127)*
        ('Fairway Log'!$B$2:$B$73=$B1127)*
        ('Fairway Log'!$C$2:$C1198=$C1127),
      0),
      MATCH($G1127,'Fairway Log'!$E$1:$V$1,0)
    ),
  "")
)</f>
        <v>→</v>
      </c>
      <c r="Q1127" cm="1">
        <f t="array" ref="Q1127">IFERROR(
  INDEX('GIR Log'!$E$2:$V$73,
    MATCH(1,
      ('GIR Log'!$A$2:$A$73=$A1127)*
      ('GIR Log'!$B$2:$B$73=$B1127)*
      ('GIR Log'!$C$2:$C$73=$C1127),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Log'!$E$2:$V$73,
    MATCH(1,
      ('Golf Log'!$A$2:$A$73=$A1128)*
      ('Golf Log'!$B$2:$B$73=$B1128)*
      ('Golf Log'!$C$2:$C$73=$C1128),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Log'!$E$2:$V$73,
    MATCH(1,
      ('Putt Log'!$A$2:$A$73=$A1128)*
      ('Putt Log'!$B$2:$B$73=$B1128)*
      ('Putt Log'!$C$2:$C$73=$C1128),
    0),
    MATCH($G1128,'Putt Log'!$E$1:$V$1,0)
  ),
"")</f>
        <v>2</v>
      </c>
      <c r="P1128" t="str" cm="1">
        <f t="array" ref="P1128">IF(K1128=3,"",
  IFERROR(
    INDEX('Fairway Log'!$E$2:$V$73,
      MATCH(1,
        ('Fairway Log'!$A$2:$A$73=$A1128)*
        ('Fairway Log'!$B$2:$B$73=$B1128)*
        ('Fairway Log'!$C$2:$C1199=$C1128),
      0),
      MATCH($G1128,'Fairway Log'!$E$1:$V$1,0)
    ),
  "")
)</f>
        <v/>
      </c>
      <c r="Q1128" cm="1">
        <f t="array" ref="Q1128">IFERROR(
  INDEX('GIR Log'!$E$2:$V$73,
    MATCH(1,
      ('GIR Log'!$A$2:$A$73=$A1128)*
      ('GIR Log'!$B$2:$B$73=$B1128)*
      ('GIR Log'!$C$2:$C$73=$C1128),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Log'!$E$2:$V$73,
    MATCH(1,
      ('Golf Log'!$A$2:$A$73=$A1129)*
      ('Golf Log'!$B$2:$B$73=$B1129)*
      ('Golf Log'!$C$2:$C$73=$C1129),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Log'!$E$2:$V$73,
    MATCH(1,
      ('Putt Log'!$A$2:$A$73=$A1129)*
      ('Putt Log'!$B$2:$B$73=$B1129)*
      ('Putt Log'!$C$2:$C$73=$C1129),
    0),
    MATCH($G1129,'Putt Log'!$E$1:$V$1,0)
  ),
"")</f>
        <v>1</v>
      </c>
      <c r="P1129" t="str" cm="1">
        <f t="array" ref="P1129">IF(K1129=3,"",
  IFERROR(
    INDEX('Fairway Log'!$E$2:$V$73,
      MATCH(1,
        ('Fairway Log'!$A$2:$A$73=$A1129)*
        ('Fairway Log'!$B$2:$B$73=$B1129)*
        ('Fairway Log'!$C$2:$C1200=$C1129),
      0),
      MATCH($G1129,'Fairway Log'!$E$1:$V$1,0)
    ),
  "")
)</f>
        <v>↑</v>
      </c>
      <c r="Q1129" cm="1">
        <f t="array" ref="Q1129">IFERROR(
  INDEX('GIR Log'!$E$2:$V$73,
    MATCH(1,
      ('GIR Log'!$A$2:$A$73=$A1129)*
      ('GIR Log'!$B$2:$B$73=$B1129)*
      ('GIR Log'!$C$2:$C$73=$C1129),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Log'!$E$2:$V$73,
    MATCH(1,
      ('Golf Log'!$A$2:$A$73=$A1130)*
      ('Golf Log'!$B$2:$B$73=$B1130)*
      ('Golf Log'!$C$2:$C$73=$C1130),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Log'!$E$2:$V$73,
    MATCH(1,
      ('Putt Log'!$A$2:$A$73=$A1130)*
      ('Putt Log'!$B$2:$B$73=$B1130)*
      ('Putt Log'!$C$2:$C$73=$C1130),
    0),
    MATCH($G1130,'Putt Log'!$E$1:$V$1,0)
  ),
"")</f>
        <v>1</v>
      </c>
      <c r="P1130" t="str" cm="1">
        <f t="array" ref="P1130">IF(K1130=3,"",
  IFERROR(
    INDEX('Fairway Log'!$E$2:$V$73,
      MATCH(1,
        ('Fairway Log'!$A$2:$A$73=$A1130)*
        ('Fairway Log'!$B$2:$B$73=$B1130)*
        ('Fairway Log'!$C$2:$C1201=$C1130),
      0),
      MATCH($G1130,'Fairway Log'!$E$1:$V$1,0)
    ),
  "")
)</f>
        <v>→</v>
      </c>
      <c r="Q1130" cm="1">
        <f t="array" ref="Q1130">IFERROR(
  INDEX('GIR Log'!$E$2:$V$73,
    MATCH(1,
      ('GIR Log'!$A$2:$A$73=$A1130)*
      ('GIR Log'!$B$2:$B$73=$B1130)*
      ('GIR Log'!$C$2:$C$73=$C1130),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Log'!$E$2:$V$73,
    MATCH(1,
      ('Golf Log'!$A$2:$A$73=$A1131)*
      ('Golf Log'!$B$2:$B$73=$B1131)*
      ('Golf Log'!$C$2:$C$73=$C1131),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Log'!$E$2:$V$73,
    MATCH(1,
      ('Putt Log'!$A$2:$A$73=$A1131)*
      ('Putt Log'!$B$2:$B$73=$B1131)*
      ('Putt Log'!$C$2:$C$73=$C1131),
    0),
    MATCH($G1131,'Putt Log'!$E$1:$V$1,0)
  ),
"")</f>
        <v>2</v>
      </c>
      <c r="P1131" t="str" cm="1">
        <f t="array" ref="P1131">IF(K1131=3,"",
  IFERROR(
    INDEX('Fairway Log'!$E$2:$V$73,
      MATCH(1,
        ('Fairway Log'!$A$2:$A$73=$A1131)*
        ('Fairway Log'!$B$2:$B$73=$B1131)*
        ('Fairway Log'!$C$2:$C1202=$C1131),
      0),
      MATCH($G1131,'Fairway Log'!$E$1:$V$1,0)
    ),
  "")
)</f>
        <v>→</v>
      </c>
      <c r="Q1131" cm="1">
        <f t="array" ref="Q1131">IFERROR(
  INDEX('GIR Log'!$E$2:$V$73,
    MATCH(1,
      ('GIR Log'!$A$2:$A$73=$A1131)*
      ('GIR Log'!$B$2:$B$73=$B1131)*
      ('GIR Log'!$C$2:$C$73=$C1131),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Log'!$E$2:$V$73,
    MATCH(1,
      ('Golf Log'!$A$2:$A$73=$A1132)*
      ('Golf Log'!$B$2:$B$73=$B1132)*
      ('Golf Log'!$C$2:$C$73=$C1132),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Log'!$E$2:$V$73,
    MATCH(1,
      ('Putt Log'!$A$2:$A$73=$A1132)*
      ('Putt Log'!$B$2:$B$73=$B1132)*
      ('Putt Log'!$C$2:$C$73=$C1132),
    0),
    MATCH($G1132,'Putt Log'!$E$1:$V$1,0)
  ),
"")</f>
        <v>1</v>
      </c>
      <c r="P1132" t="str" cm="1">
        <f t="array" ref="P1132">IF(K1132=3,"",
  IFERROR(
    INDEX('Fairway Log'!$E$2:$V$73,
      MATCH(1,
        ('Fairway Log'!$A$2:$A$73=$A1132)*
        ('Fairway Log'!$B$2:$B$73=$B1132)*
        ('Fairway Log'!$C$2:$C1203=$C1132),
      0),
      MATCH($G1132,'Fairway Log'!$E$1:$V$1,0)
    ),
  "")
)</f>
        <v/>
      </c>
      <c r="Q1132" cm="1">
        <f t="array" ref="Q1132">IFERROR(
  INDEX('GIR Log'!$E$2:$V$73,
    MATCH(1,
      ('GIR Log'!$A$2:$A$73=$A1132)*
      ('GIR Log'!$B$2:$B$73=$B1132)*
      ('GIR Log'!$C$2:$C$73=$C1132),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Log'!$E$2:$V$73,
    MATCH(1,
      ('Golf Log'!$A$2:$A$73=$A1133)*
      ('Golf Log'!$B$2:$B$73=$B1133)*
      ('Golf Log'!$C$2:$C$73=$C1133),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Log'!$E$2:$V$73,
    MATCH(1,
      ('Putt Log'!$A$2:$A$73=$A1133)*
      ('Putt Log'!$B$2:$B$73=$B1133)*
      ('Putt Log'!$C$2:$C$73=$C1133),
    0),
    MATCH($G1133,'Putt Log'!$E$1:$V$1,0)
  ),
"")</f>
        <v>1</v>
      </c>
      <c r="P1133" cm="1">
        <f t="array" ref="P1133">IF(K1133=3,"",
  IFERROR(
    INDEX('Fairway Log'!$E$2:$V$73,
      MATCH(1,
        ('Fairway Log'!$A$2:$A$73=$A1133)*
        ('Fairway Log'!$B$2:$B$73=$B1133)*
        ('Fairway Log'!$C$2:$C1204=$C1133),
      0),
      MATCH($G1133,'Fairway Log'!$E$1:$V$1,0)
    ),
  "")
)</f>
        <v>1</v>
      </c>
      <c r="Q1133" cm="1">
        <f t="array" ref="Q1133">IFERROR(
  INDEX('GIR Log'!$E$2:$V$73,
    MATCH(1,
      ('GIR Log'!$A$2:$A$73=$A1133)*
      ('GIR Log'!$B$2:$B$73=$B1133)*
      ('GIR Log'!$C$2:$C$73=$C1133),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Log'!$E$2:$V$73,
    MATCH(1,
      ('Golf Log'!$A$2:$A$73=$A1134)*
      ('Golf Log'!$B$2:$B$73=$B1134)*
      ('Golf Log'!$C$2:$C$73=$C1134),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Log'!$E$2:$V$73,
    MATCH(1,
      ('Putt Log'!$A$2:$A$73=$A1134)*
      ('Putt Log'!$B$2:$B$73=$B1134)*
      ('Putt Log'!$C$2:$C$73=$C1134),
    0),
    MATCH($G1134,'Putt Log'!$E$1:$V$1,0)
  ),
"")</f>
        <v>2</v>
      </c>
      <c r="P1134" t="str" cm="1">
        <f t="array" ref="P1134">IF(K1134=3,"",
  IFERROR(
    INDEX('Fairway Log'!$E$2:$V$73,
      MATCH(1,
        ('Fairway Log'!$A$2:$A$73=$A1134)*
        ('Fairway Log'!$B$2:$B$73=$B1134)*
        ('Fairway Log'!$C$2:$C1205=$C1134),
      0),
      MATCH($G1134,'Fairway Log'!$E$1:$V$1,0)
    ),
  "")
)</f>
        <v>↑</v>
      </c>
      <c r="Q1134" cm="1">
        <f t="array" ref="Q1134">IFERROR(
  INDEX('GIR Log'!$E$2:$V$73,
    MATCH(1,
      ('GIR Log'!$A$2:$A$73=$A1134)*
      ('GIR Log'!$B$2:$B$73=$B1134)*
      ('GIR Log'!$C$2:$C$73=$C1134),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Log'!$E$2:$V$73,
    MATCH(1,
      ('Golf Log'!$A$2:$A$73=$A1135)*
      ('Golf Log'!$B$2:$B$73=$B1135)*
      ('Golf Log'!$C$2:$C$73=$C1135),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Log'!$E$2:$V$73,
    MATCH(1,
      ('Putt Log'!$A$2:$A$73=$A1135)*
      ('Putt Log'!$B$2:$B$73=$B1135)*
      ('Putt Log'!$C$2:$C$73=$C1135),
    0),
    MATCH($G1135,'Putt Log'!$E$1:$V$1,0)
  ),
"")</f>
        <v>2</v>
      </c>
      <c r="P1135" t="str" cm="1">
        <f t="array" ref="P1135">IF(K1135=3,"",
  IFERROR(
    INDEX('Fairway Log'!$E$2:$V$73,
      MATCH(1,
        ('Fairway Log'!$A$2:$A$73=$A1135)*
        ('Fairway Log'!$B$2:$B$73=$B1135)*
        ('Fairway Log'!$C$2:$C1206=$C1135),
      0),
      MATCH($G1135,'Fairway Log'!$E$1:$V$1,0)
    ),
  "")
)</f>
        <v>→</v>
      </c>
      <c r="Q1135" cm="1">
        <f t="array" ref="Q1135">IFERROR(
  INDEX('GIR Log'!$E$2:$V$73,
    MATCH(1,
      ('GIR Log'!$A$2:$A$73=$A1135)*
      ('GIR Log'!$B$2:$B$73=$B1135)*
      ('GIR Log'!$C$2:$C$73=$C1135),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Log'!$E$2:$V$73,
    MATCH(1,
      ('Golf Log'!$A$2:$A$73=$A1136)*
      ('Golf Log'!$B$2:$B$73=$B1136)*
      ('Golf Log'!$C$2:$C$73=$C1136),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Log'!$E$2:$V$73,
    MATCH(1,
      ('Putt Log'!$A$2:$A$73=$A1136)*
      ('Putt Log'!$B$2:$B$73=$B1136)*
      ('Putt Log'!$C$2:$C$73=$C1136),
    0),
    MATCH($G1136,'Putt Log'!$E$1:$V$1,0)
  ),
"")</f>
        <v>2</v>
      </c>
      <c r="P1136" t="str" cm="1">
        <f t="array" ref="P1136">IF(K1136=3,"",
  IFERROR(
    INDEX('Fairway Log'!$E$2:$V$73,
      MATCH(1,
        ('Fairway Log'!$A$2:$A$73=$A1136)*
        ('Fairway Log'!$B$2:$B$73=$B1136)*
        ('Fairway Log'!$C$2:$C1207=$C1136),
      0),
      MATCH($G1136,'Fairway Log'!$E$1:$V$1,0)
    ),
  "")
)</f>
        <v>←</v>
      </c>
      <c r="Q1136" t="str" cm="1">
        <f t="array" ref="Q1136">IFERROR(
  INDEX('GIR Log'!$E$2:$V$73,
    MATCH(1,
      ('GIR Log'!$A$2:$A$73=$A1136)*
      ('GIR Log'!$B$2:$B$73=$B1136)*
      ('GIR Log'!$C$2:$C$73=$C1136),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Log'!$E$2:$V$73,
    MATCH(1,
      ('Golf Log'!$A$2:$A$73=$A1137)*
      ('Golf Log'!$B$2:$B$73=$B1137)*
      ('Golf Log'!$C$2:$C$73=$C1137),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Log'!$E$2:$V$73,
    MATCH(1,
      ('Putt Log'!$A$2:$A$73=$A1137)*
      ('Putt Log'!$B$2:$B$73=$B1137)*
      ('Putt Log'!$C$2:$C$73=$C1137),
    0),
    MATCH($G1137,'Putt Log'!$E$1:$V$1,0)
  ),
"")</f>
        <v>2</v>
      </c>
      <c r="P1137" cm="1">
        <f t="array" ref="P1137">IF(K1137=3,"",
  IFERROR(
    INDEX('Fairway Log'!$E$2:$V$73,
      MATCH(1,
        ('Fairway Log'!$A$2:$A$73=$A1137)*
        ('Fairway Log'!$B$2:$B$73=$B1137)*
        ('Fairway Log'!$C$2:$C1208=$C1137),
      0),
      MATCH($G1137,'Fairway Log'!$E$1:$V$1,0)
    ),
  "")
)</f>
        <v>1</v>
      </c>
      <c r="Q1137" t="str" cm="1">
        <f t="array" ref="Q1137">IFERROR(
  INDEX('GIR Log'!$E$2:$V$73,
    MATCH(1,
      ('GIR Log'!$A$2:$A$73=$A1137)*
      ('GIR Log'!$B$2:$B$73=$B1137)*
      ('GIR Log'!$C$2:$C$73=$C1137),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Log'!$E$2:$V$73,
    MATCH(1,
      ('Golf Log'!$A$2:$A$73=$A1138)*
      ('Golf Log'!$B$2:$B$73=$B1138)*
      ('Golf Log'!$C$2:$C$73=$C1138),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Log'!$E$2:$V$73,
    MATCH(1,
      ('Putt Log'!$A$2:$A$73=$A1138)*
      ('Putt Log'!$B$2:$B$73=$B1138)*
      ('Putt Log'!$C$2:$C$73=$C1138),
    0),
    MATCH($G1138,'Putt Log'!$E$1:$V$1,0)
  ),
"")</f>
        <v>2</v>
      </c>
      <c r="P1138" t="str" cm="1">
        <f t="array" ref="P1138">IF(K1138=3,"",
  IFERROR(
    INDEX('Fairway Log'!$E$2:$V$73,
      MATCH(1,
        ('Fairway Log'!$A$2:$A$73=$A1138)*
        ('Fairway Log'!$B$2:$B$73=$B1138)*
        ('Fairway Log'!$C$2:$C1209=$C1138),
      0),
      MATCH($G1138,'Fairway Log'!$E$1:$V$1,0)
    ),
  "")
)</f>
        <v>→</v>
      </c>
      <c r="Q1138" t="str" cm="1">
        <f t="array" ref="Q1138">IFERROR(
  INDEX('GIR Log'!$E$2:$V$73,
    MATCH(1,
      ('GIR Log'!$A$2:$A$73=$A1138)*
      ('GIR Log'!$B$2:$B$73=$B1138)*
      ('GIR Log'!$C$2:$C$73=$C1138),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Log'!$E$2:$V$73,
    MATCH(1,
      ('Golf Log'!$A$2:$A$73=$A1139)*
      ('Golf Log'!$B$2:$B$73=$B1139)*
      ('Golf Log'!$C$2:$C$73=$C1139),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Log'!$E$2:$V$73,
    MATCH(1,
      ('Putt Log'!$A$2:$A$73=$A1139)*
      ('Putt Log'!$B$2:$B$73=$B1139)*
      ('Putt Log'!$C$2:$C$73=$C1139),
    0),
    MATCH($G1139,'Putt Log'!$E$1:$V$1,0)
  ),
"")</f>
        <v>2</v>
      </c>
      <c r="P1139" t="str" cm="1">
        <f t="array" ref="P1139">IF(K1139=3,"",
  IFERROR(
    INDEX('Fairway Log'!$E$2:$V$73,
      MATCH(1,
        ('Fairway Log'!$A$2:$A$73=$A1139)*
        ('Fairway Log'!$B$2:$B$73=$B1139)*
        ('Fairway Log'!$C$2:$C1210=$C1139),
      0),
      MATCH($G1139,'Fairway Log'!$E$1:$V$1,0)
    ),
  "")
)</f>
        <v>←</v>
      </c>
      <c r="Q1139" t="str" cm="1">
        <f t="array" ref="Q1139">IFERROR(
  INDEX('GIR Log'!$E$2:$V$73,
    MATCH(1,
      ('GIR Log'!$A$2:$A$73=$A1139)*
      ('GIR Log'!$B$2:$B$73=$B1139)*
      ('GIR Log'!$C$2:$C$73=$C1139),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Log'!$E$2:$V$73,
    MATCH(1,
      ('Golf Log'!$A$2:$A$73=$A1140)*
      ('Golf Log'!$B$2:$B$73=$B1140)*
      ('Golf Log'!$C$2:$C$73=$C1140),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Log'!$E$2:$V$73,
    MATCH(1,
      ('Putt Log'!$A$2:$A$73=$A1140)*
      ('Putt Log'!$B$2:$B$73=$B1140)*
      ('Putt Log'!$C$2:$C$73=$C1140),
    0),
    MATCH($G1140,'Putt Log'!$E$1:$V$1,0)
  ),
"")</f>
        <v>1</v>
      </c>
      <c r="P1140" t="str" cm="1">
        <f t="array" ref="P1140">IF(K1140=3,"",
  IFERROR(
    INDEX('Fairway Log'!$E$2:$V$73,
      MATCH(1,
        ('Fairway Log'!$A$2:$A$73=$A1140)*
        ('Fairway Log'!$B$2:$B$73=$B1140)*
        ('Fairway Log'!$C$2:$C1211=$C1140),
      0),
      MATCH($G1140,'Fairway Log'!$E$1:$V$1,0)
    ),
  "")
)</f>
        <v>→</v>
      </c>
      <c r="Q1140" t="str" cm="1">
        <f t="array" ref="Q1140">IFERROR(
  INDEX('GIR Log'!$E$2:$V$73,
    MATCH(1,
      ('GIR Log'!$A$2:$A$73=$A1140)*
      ('GIR Log'!$B$2:$B$73=$B1140)*
      ('GIR Log'!$C$2:$C$73=$C1140),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Log'!$E$2:$V$73,
    MATCH(1,
      ('Golf Log'!$A$2:$A$73=$A1141)*
      ('Golf Log'!$B$2:$B$73=$B1141)*
      ('Golf Log'!$C$2:$C$73=$C1141),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Log'!$E$2:$V$73,
    MATCH(1,
      ('Putt Log'!$A$2:$A$73=$A1141)*
      ('Putt Log'!$B$2:$B$73=$B1141)*
      ('Putt Log'!$C$2:$C$73=$C1141),
    0),
    MATCH($G1141,'Putt Log'!$E$1:$V$1,0)
  ),
"")</f>
        <v>1</v>
      </c>
      <c r="P1141" t="str" cm="1">
        <f t="array" ref="P1141">IF(K1141=3,"",
  IFERROR(
    INDEX('Fairway Log'!$E$2:$V$73,
      MATCH(1,
        ('Fairway Log'!$A$2:$A$73=$A1141)*
        ('Fairway Log'!$B$2:$B$73=$B1141)*
        ('Fairway Log'!$C$2:$C1212=$C1141),
      0),
      MATCH($G1141,'Fairway Log'!$E$1:$V$1,0)
    ),
  "")
)</f>
        <v/>
      </c>
      <c r="Q1141" t="str" cm="1">
        <f t="array" ref="Q1141">IFERROR(
  INDEX('GIR Log'!$E$2:$V$73,
    MATCH(1,
      ('GIR Log'!$A$2:$A$73=$A1141)*
      ('GIR Log'!$B$2:$B$73=$B1141)*
      ('GIR Log'!$C$2:$C$73=$C1141),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Log'!$E$2:$V$73,
    MATCH(1,
      ('Golf Log'!$A$2:$A$73=$A1142)*
      ('Golf Log'!$B$2:$B$73=$B1142)*
      ('Golf Log'!$C$2:$C$73=$C1142),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Log'!$E$2:$V$73,
    MATCH(1,
      ('Putt Log'!$A$2:$A$73=$A1142)*
      ('Putt Log'!$B$2:$B$73=$B1142)*
      ('Putt Log'!$C$2:$C$73=$C1142),
    0),
    MATCH($G1142,'Putt Log'!$E$1:$V$1,0)
  ),
"")</f>
        <v>1</v>
      </c>
      <c r="P1142" t="str" cm="1">
        <f t="array" ref="P1142">IF(K1142=3,"",
  IFERROR(
    INDEX('Fairway Log'!$E$2:$V$73,
      MATCH(1,
        ('Fairway Log'!$A$2:$A$73=$A1142)*
        ('Fairway Log'!$B$2:$B$73=$B1142)*
        ('Fairway Log'!$C$2:$C1213=$C1142),
      0),
      MATCH($G1142,'Fairway Log'!$E$1:$V$1,0)
    ),
  "")
)</f>
        <v>→</v>
      </c>
      <c r="Q1142" t="str" cm="1">
        <f t="array" ref="Q1142">IFERROR(
  INDEX('GIR Log'!$E$2:$V$73,
    MATCH(1,
      ('GIR Log'!$A$2:$A$73=$A1142)*
      ('GIR Log'!$B$2:$B$73=$B1142)*
      ('GIR Log'!$C$2:$C$73=$C1142),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Log'!$E$2:$V$73,
    MATCH(1,
      ('Golf Log'!$A$2:$A$73=$A1143)*
      ('Golf Log'!$B$2:$B$73=$B1143)*
      ('Golf Log'!$C$2:$C$73=$C1143),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Log'!$E$2:$V$73,
    MATCH(1,
      ('Putt Log'!$A$2:$A$73=$A1143)*
      ('Putt Log'!$B$2:$B$73=$B1143)*
      ('Putt Log'!$C$2:$C$73=$C1143),
    0),
    MATCH($G1143,'Putt Log'!$E$1:$V$1,0)
  ),
"")</f>
        <v>1</v>
      </c>
      <c r="P1143" t="str" cm="1">
        <f t="array" ref="P1143">IF(K1143=3,"",
  IFERROR(
    INDEX('Fairway Log'!$E$2:$V$73,
      MATCH(1,
        ('Fairway Log'!$A$2:$A$73=$A1143)*
        ('Fairway Log'!$B$2:$B$73=$B1143)*
        ('Fairway Log'!$C$2:$C1214=$C1143),
      0),
      MATCH($G1143,'Fairway Log'!$E$1:$V$1,0)
    ),
  "")
)</f>
        <v/>
      </c>
      <c r="Q1143" t="str" cm="1">
        <f t="array" ref="Q1143">IFERROR(
  INDEX('GIR Log'!$E$2:$V$73,
    MATCH(1,
      ('GIR Log'!$A$2:$A$73=$A1143)*
      ('GIR Log'!$B$2:$B$73=$B1143)*
      ('GIR Log'!$C$2:$C$73=$C1143),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Log'!$E$2:$V$73,
    MATCH(1,
      ('Golf Log'!$A$2:$A$73=$A1144)*
      ('Golf Log'!$B$2:$B$73=$B1144)*
      ('Golf Log'!$C$2:$C$73=$C1144),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Log'!$E$2:$V$73,
    MATCH(1,
      ('Putt Log'!$A$2:$A$73=$A1144)*
      ('Putt Log'!$B$2:$B$73=$B1144)*
      ('Putt Log'!$C$2:$C$73=$C1144),
    0),
    MATCH($G1144,'Putt Log'!$E$1:$V$1,0)
  ),
"")</f>
        <v>2</v>
      </c>
      <c r="P1144" t="str" cm="1">
        <f t="array" ref="P1144">IF(K1144=3,"",
  IFERROR(
    INDEX('Fairway Log'!$E$2:$V$73,
      MATCH(1,
        ('Fairway Log'!$A$2:$A$73=$A1144)*
        ('Fairway Log'!$B$2:$B$73=$B1144)*
        ('Fairway Log'!$C$2:$C1215=$C1144),
      0),
      MATCH($G1144,'Fairway Log'!$E$1:$V$1,0)
    ),
  "")
)</f>
        <v>→</v>
      </c>
      <c r="Q1144" t="str" cm="1">
        <f t="array" ref="Q1144">IFERROR(
  INDEX('GIR Log'!$E$2:$V$73,
    MATCH(1,
      ('GIR Log'!$A$2:$A$73=$A1144)*
      ('GIR Log'!$B$2:$B$73=$B1144)*
      ('GIR Log'!$C$2:$C$73=$C1144),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Log'!$E$2:$V$73,
    MATCH(1,
      ('Golf Log'!$A$2:$A$73=$A1145)*
      ('Golf Log'!$B$2:$B$73=$B1145)*
      ('Golf Log'!$C$2:$C$73=$C1145),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Log'!$E$2:$V$73,
    MATCH(1,
      ('Putt Log'!$A$2:$A$73=$A1145)*
      ('Putt Log'!$B$2:$B$73=$B1145)*
      ('Putt Log'!$C$2:$C$73=$C1145),
    0),
    MATCH($G1145,'Putt Log'!$E$1:$V$1,0)
  ),
"")</f>
        <v>1</v>
      </c>
      <c r="P1145" t="str" cm="1">
        <f t="array" ref="P1145">IF(K1145=3,"",
  IFERROR(
    INDEX('Fairway Log'!$E$2:$V$73,
      MATCH(1,
        ('Fairway Log'!$A$2:$A$73=$A1145)*
        ('Fairway Log'!$B$2:$B$73=$B1145)*
        ('Fairway Log'!$C$2:$C1216=$C1145),
      0),
      MATCH($G1145,'Fairway Log'!$E$1:$V$1,0)
    ),
  "")
)</f>
        <v>→</v>
      </c>
      <c r="Q1145" t="str" cm="1">
        <f t="array" ref="Q1145">IFERROR(
  INDEX('GIR Log'!$E$2:$V$73,
    MATCH(1,
      ('GIR Log'!$A$2:$A$73=$A1145)*
      ('GIR Log'!$B$2:$B$73=$B1145)*
      ('GIR Log'!$C$2:$C$73=$C1145),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Log'!$E$2:$V$73,
    MATCH(1,
      ('Golf Log'!$A$2:$A$73=$A1146)*
      ('Golf Log'!$B$2:$B$73=$B1146)*
      ('Golf Log'!$C$2:$C$73=$C1146),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Log'!$E$2:$V$73,
    MATCH(1,
      ('Putt Log'!$A$2:$A$73=$A1146)*
      ('Putt Log'!$B$2:$B$73=$B1146)*
      ('Putt Log'!$C$2:$C$73=$C1146),
    0),
    MATCH($G1146,'Putt Log'!$E$1:$V$1,0)
  ),
"")</f>
        <v>1</v>
      </c>
      <c r="P1146" t="str" cm="1">
        <f t="array" ref="P1146">IF(K1146=3,"",
  IFERROR(
    INDEX('Fairway Log'!$E$2:$V$73,
      MATCH(1,
        ('Fairway Log'!$A$2:$A$73=$A1146)*
        ('Fairway Log'!$B$2:$B$73=$B1146)*
        ('Fairway Log'!$C$2:$C1217=$C1146),
      0),
      MATCH($G1146,'Fairway Log'!$E$1:$V$1,0)
    ),
  "")
)</f>
        <v>→</v>
      </c>
      <c r="Q1146" t="str" cm="1">
        <f t="array" ref="Q1146">IFERROR(
  INDEX('GIR Log'!$E$2:$V$73,
    MATCH(1,
      ('GIR Log'!$A$2:$A$73=$A1146)*
      ('GIR Log'!$B$2:$B$73=$B1146)*
      ('GIR Log'!$C$2:$C$73=$C1146),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Log'!$E$2:$V$73,
    MATCH(1,
      ('Golf Log'!$A$2:$A$73=$A1147)*
      ('Golf Log'!$B$2:$B$73=$B1147)*
      ('Golf Log'!$C$2:$C$73=$C1147),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Log'!$E$2:$V$73,
    MATCH(1,
      ('Putt Log'!$A$2:$A$73=$A1147)*
      ('Putt Log'!$B$2:$B$73=$B1147)*
      ('Putt Log'!$C$2:$C$73=$C1147),
    0),
    MATCH($G1147,'Putt Log'!$E$1:$V$1,0)
  ),
"")</f>
        <v>2</v>
      </c>
      <c r="P1147" t="str" cm="1">
        <f t="array" ref="P1147">IF(K1147=3,"",
  IFERROR(
    INDEX('Fairway Log'!$E$2:$V$73,
      MATCH(1,
        ('Fairway Log'!$A$2:$A$73=$A1147)*
        ('Fairway Log'!$B$2:$B$73=$B1147)*
        ('Fairway Log'!$C$2:$C1218=$C1147),
      0),
      MATCH($G1147,'Fairway Log'!$E$1:$V$1,0)
    ),
  "")
)</f>
        <v/>
      </c>
      <c r="Q1147" t="str" cm="1">
        <f t="array" ref="Q1147">IFERROR(
  INDEX('GIR Log'!$E$2:$V$73,
    MATCH(1,
      ('GIR Log'!$A$2:$A$73=$A1147)*
      ('GIR Log'!$B$2:$B$73=$B1147)*
      ('GIR Log'!$C$2:$C$73=$C1147),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Log'!$E$2:$V$73,
    MATCH(1,
      ('Golf Log'!$A$2:$A$73=$A1148)*
      ('Golf Log'!$B$2:$B$73=$B1148)*
      ('Golf Log'!$C$2:$C$73=$C1148),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Log'!$E$2:$V$73,
    MATCH(1,
      ('Putt Log'!$A$2:$A$73=$A1148)*
      ('Putt Log'!$B$2:$B$73=$B1148)*
      ('Putt Log'!$C$2:$C$73=$C1148),
    0),
    MATCH($G1148,'Putt Log'!$E$1:$V$1,0)
  ),
"")</f>
        <v>3</v>
      </c>
      <c r="P1148" cm="1">
        <f t="array" ref="P1148">IF(K1148=3,"",
  IFERROR(
    INDEX('Fairway Log'!$E$2:$V$73,
      MATCH(1,
        ('Fairway Log'!$A$2:$A$73=$A1148)*
        ('Fairway Log'!$B$2:$B$73=$B1148)*
        ('Fairway Log'!$C$2:$C1219=$C1148),
      0),
      MATCH($G1148,'Fairway Log'!$E$1:$V$1,0)
    ),
  "")
)</f>
        <v>1</v>
      </c>
      <c r="Q1148" cm="1">
        <f t="array" ref="Q1148">IFERROR(
  INDEX('GIR Log'!$E$2:$V$73,
    MATCH(1,
      ('GIR Log'!$A$2:$A$73=$A1148)*
      ('GIR Log'!$B$2:$B$73=$B1148)*
      ('GIR Log'!$C$2:$C$73=$C1148),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Log'!$E$2:$V$73,
    MATCH(1,
      ('Golf Log'!$A$2:$A$73=$A1149)*
      ('Golf Log'!$B$2:$B$73=$B1149)*
      ('Golf Log'!$C$2:$C$73=$C1149),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Log'!$E$2:$V$73,
    MATCH(1,
      ('Putt Log'!$A$2:$A$73=$A1149)*
      ('Putt Log'!$B$2:$B$73=$B1149)*
      ('Putt Log'!$C$2:$C$73=$C1149),
    0),
    MATCH($G1149,'Putt Log'!$E$1:$V$1,0)
  ),
"")</f>
        <v>2</v>
      </c>
      <c r="P1149" t="str" cm="1">
        <f t="array" ref="P1149">IF(K1149=3,"",
  IFERROR(
    INDEX('Fairway Log'!$E$2:$V$73,
      MATCH(1,
        ('Fairway Log'!$A$2:$A$73=$A1149)*
        ('Fairway Log'!$B$2:$B$73=$B1149)*
        ('Fairway Log'!$C$2:$C1220=$C1149),
      0),
      MATCH($G1149,'Fairway Log'!$E$1:$V$1,0)
    ),
  "")
)</f>
        <v/>
      </c>
      <c r="Q1149" t="str" cm="1">
        <f t="array" ref="Q1149">IFERROR(
  INDEX('GIR Log'!$E$2:$V$73,
    MATCH(1,
      ('GIR Log'!$A$2:$A$73=$A1149)*
      ('GIR Log'!$B$2:$B$73=$B1149)*
      ('GIR Log'!$C$2:$C$73=$C1149),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Log'!$E$2:$V$73,
    MATCH(1,
      ('Golf Log'!$A$2:$A$73=$A1150)*
      ('Golf Log'!$B$2:$B$73=$B1150)*
      ('Golf Log'!$C$2:$C$73=$C1150),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Log'!$E$2:$V$73,
    MATCH(1,
      ('Putt Log'!$A$2:$A$73=$A1150)*
      ('Putt Log'!$B$2:$B$73=$B1150)*
      ('Putt Log'!$C$2:$C$73=$C1150),
    0),
    MATCH($G1150,'Putt Log'!$E$1:$V$1,0)
  ),
"")</f>
        <v>2</v>
      </c>
      <c r="P1150" t="str" cm="1">
        <f t="array" ref="P1150">IF(K1150=3,"",
  IFERROR(
    INDEX('Fairway Log'!$E$2:$V$73,
      MATCH(1,
        ('Fairway Log'!$A$2:$A$73=$A1150)*
        ('Fairway Log'!$B$2:$B$73=$B1150)*
        ('Fairway Log'!$C$2:$C1221=$C1150),
      0),
      MATCH($G1150,'Fairway Log'!$E$1:$V$1,0)
    ),
  "")
)</f>
        <v>→</v>
      </c>
      <c r="Q1150" t="str" cm="1">
        <f t="array" ref="Q1150">IFERROR(
  INDEX('GIR Log'!$E$2:$V$73,
    MATCH(1,
      ('GIR Log'!$A$2:$A$73=$A1150)*
      ('GIR Log'!$B$2:$B$73=$B1150)*
      ('GIR Log'!$C$2:$C$73=$C1150),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Log'!$E$2:$V$73,
    MATCH(1,
      ('Golf Log'!$A$2:$A$73=$A1151)*
      ('Golf Log'!$B$2:$B$73=$B1151)*
      ('Golf Log'!$C$2:$C$73=$C1151),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Log'!$E$2:$V$73,
    MATCH(1,
      ('Putt Log'!$A$2:$A$73=$A1151)*
      ('Putt Log'!$B$2:$B$73=$B1151)*
      ('Putt Log'!$C$2:$C$73=$C1151),
    0),
    MATCH($G1151,'Putt Log'!$E$1:$V$1,0)
  ),
"")</f>
        <v>1</v>
      </c>
      <c r="P1151" t="str" cm="1">
        <f t="array" ref="P1151">IF(K1151=3,"",
  IFERROR(
    INDEX('Fairway Log'!$E$2:$V$73,
      MATCH(1,
        ('Fairway Log'!$A$2:$A$73=$A1151)*
        ('Fairway Log'!$B$2:$B$73=$B1151)*
        ('Fairway Log'!$C$2:$C1222=$C1151),
      0),
      MATCH($G1151,'Fairway Log'!$E$1:$V$1,0)
    ),
  "")
)</f>
        <v>→</v>
      </c>
      <c r="Q1151" t="str" cm="1">
        <f t="array" ref="Q1151">IFERROR(
  INDEX('GIR Log'!$E$2:$V$73,
    MATCH(1,
      ('GIR Log'!$A$2:$A$73=$A1151)*
      ('GIR Log'!$B$2:$B$73=$B1151)*
      ('GIR Log'!$C$2:$C$73=$C1151),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Log'!$E$2:$V$73,
    MATCH(1,
      ('Golf Log'!$A$2:$A$73=$A1152)*
      ('Golf Log'!$B$2:$B$73=$B1152)*
      ('Golf Log'!$C$2:$C$73=$C1152),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Log'!$E$2:$V$73,
    MATCH(1,
      ('Putt Log'!$A$2:$A$73=$A1152)*
      ('Putt Log'!$B$2:$B$73=$B1152)*
      ('Putt Log'!$C$2:$C$73=$C1152),
    0),
    MATCH($G1152,'Putt Log'!$E$1:$V$1,0)
  ),
"")</f>
        <v>2</v>
      </c>
      <c r="P1152" t="str" cm="1">
        <f t="array" ref="P1152">IF(K1152=3,"",
  IFERROR(
    INDEX('Fairway Log'!$E$2:$V$73,
      MATCH(1,
        ('Fairway Log'!$A$2:$A$73=$A1152)*
        ('Fairway Log'!$B$2:$B$73=$B1152)*
        ('Fairway Log'!$C$2:$C1223=$C1152),
      0),
      MATCH($G1152,'Fairway Log'!$E$1:$V$1,0)
    ),
  "")
)</f>
        <v>→</v>
      </c>
      <c r="Q1152" t="str" cm="1">
        <f t="array" ref="Q1152">IFERROR(
  INDEX('GIR Log'!$E$2:$V$73,
    MATCH(1,
      ('GIR Log'!$A$2:$A$73=$A1152)*
      ('GIR Log'!$B$2:$B$73=$B1152)*
      ('GIR Log'!$C$2:$C$73=$C1152),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Log'!$E$2:$V$73,
    MATCH(1,
      ('Golf Log'!$A$2:$A$73=$A1153)*
      ('Golf Log'!$B$2:$B$73=$B1153)*
      ('Golf Log'!$C$2:$C$73=$C1153),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Log'!$E$2:$V$73,
    MATCH(1,
      ('Putt Log'!$A$2:$A$73=$A1153)*
      ('Putt Log'!$B$2:$B$73=$B1153)*
      ('Putt Log'!$C$2:$C$73=$C1153),
    0),
    MATCH($G1153,'Putt Log'!$E$1:$V$1,0)
  ),
"")</f>
        <v>2</v>
      </c>
      <c r="P1153" cm="1">
        <f t="array" ref="P1153">IF(K1153=3,"",
  IFERROR(
    INDEX('Fairway Log'!$E$2:$V$73,
      MATCH(1,
        ('Fairway Log'!$A$2:$A$73=$A1153)*
        ('Fairway Log'!$B$2:$B$73=$B1153)*
        ('Fairway Log'!$C$2:$C1224=$C1153),
      0),
      MATCH($G1153,'Fairway Log'!$E$1:$V$1,0)
    ),
  "")
)</f>
        <v>1</v>
      </c>
      <c r="Q1153" t="str" cm="1">
        <f t="array" ref="Q1153">IFERROR(
  INDEX('GIR Log'!$E$2:$V$73,
    MATCH(1,
      ('GIR Log'!$A$2:$A$73=$A1153)*
      ('GIR Log'!$B$2:$B$73=$B1153)*
      ('GIR Log'!$C$2:$C$73=$C1153),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Log'!$E$2:$V$73,
    MATCH(1,
      ('Golf Log'!$A$2:$A$73=$A1154)*
      ('Golf Log'!$B$2:$B$73=$B1154)*
      ('Golf Log'!$C$2:$C$73=$C1154),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Log'!$E$2:$V$73,
    MATCH(1,
      ('Putt Log'!$A$2:$A$73=$A1154)*
      ('Putt Log'!$B$2:$B$73=$B1154)*
      ('Putt Log'!$C$2:$C$73=$C1154),
    0),
    MATCH($G1154,'Putt Log'!$E$1:$V$1,0)
  ),
"")</f>
        <v>2</v>
      </c>
      <c r="P1154" cm="1">
        <f t="array" ref="P1154">IF(K1154=3,"",
  IFERROR(
    INDEX('Fairway Log'!$E$2:$V$73,
      MATCH(1,
        ('Fairway Log'!$A$2:$A$73=$A1154)*
        ('Fairway Log'!$B$2:$B$73=$B1154)*
        ('Fairway Log'!$C$2:$C1225=$C1154),
      0),
      MATCH($G1154,'Fairway Log'!$E$1:$V$1,0)
    ),
  "")
)</f>
        <v>1</v>
      </c>
      <c r="Q1154" t="str" cm="1">
        <f t="array" ref="Q1154">IFERROR(
  INDEX('GIR Log'!$E$2:$V$73,
    MATCH(1,
      ('GIR Log'!$A$2:$A$73=$A1154)*
      ('GIR Log'!$B$2:$B$73=$B1154)*
      ('GIR Log'!$C$2:$C$73=$C1154),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Log'!$E$2:$V$73,
    MATCH(1,
      ('Golf Log'!$A$2:$A$73=$A1155)*
      ('Golf Log'!$B$2:$B$73=$B1155)*
      ('Golf Log'!$C$2:$C$73=$C1155),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Log'!$E$2:$V$73,
    MATCH(1,
      ('Putt Log'!$A$2:$A$73=$A1155)*
      ('Putt Log'!$B$2:$B$73=$B1155)*
      ('Putt Log'!$C$2:$C$73=$C1155),
    0),
    MATCH($G1155,'Putt Log'!$E$1:$V$1,0)
  ),
"")</f>
        <v>2</v>
      </c>
      <c r="P1155" cm="1">
        <f t="array" ref="P1155">IF(K1155=3,"",
  IFERROR(
    INDEX('Fairway Log'!$E$2:$V$73,
      MATCH(1,
        ('Fairway Log'!$A$2:$A$73=$A1155)*
        ('Fairway Log'!$B$2:$B$73=$B1155)*
        ('Fairway Log'!$C$2:$C1226=$C1155),
      0),
      MATCH($G1155,'Fairway Log'!$E$1:$V$1,0)
    ),
  "")
)</f>
        <v>1</v>
      </c>
      <c r="Q1155" t="str" cm="1">
        <f t="array" ref="Q1155">IFERROR(
  INDEX('GIR Log'!$E$2:$V$73,
    MATCH(1,
      ('GIR Log'!$A$2:$A$73=$A1155)*
      ('GIR Log'!$B$2:$B$73=$B1155)*
      ('GIR Log'!$C$2:$C$73=$C1155),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Log'!$E$2:$V$73,
    MATCH(1,
      ('Golf Log'!$A$2:$A$73=$A1156)*
      ('Golf Log'!$B$2:$B$73=$B1156)*
      ('Golf Log'!$C$2:$C$73=$C1156),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Log'!$E$2:$V$73,
    MATCH(1,
      ('Putt Log'!$A$2:$A$73=$A1156)*
      ('Putt Log'!$B$2:$B$73=$B1156)*
      ('Putt Log'!$C$2:$C$73=$C1156),
    0),
    MATCH($G1156,'Putt Log'!$E$1:$V$1,0)
  ),
"")</f>
        <v>2</v>
      </c>
      <c r="P1156" cm="1">
        <f t="array" ref="P1156">IF(K1156=3,"",
  IFERROR(
    INDEX('Fairway Log'!$E$2:$V$73,
      MATCH(1,
        ('Fairway Log'!$A$2:$A$73=$A1156)*
        ('Fairway Log'!$B$2:$B$73=$B1156)*
        ('Fairway Log'!$C$2:$C1227=$C1156),
      0),
      MATCH($G1156,'Fairway Log'!$E$1:$V$1,0)
    ),
  "")
)</f>
        <v>1</v>
      </c>
      <c r="Q1156" t="str" cm="1">
        <f t="array" ref="Q1156">IFERROR(
  INDEX('GIR Log'!$E$2:$V$73,
    MATCH(1,
      ('GIR Log'!$A$2:$A$73=$A1156)*
      ('GIR Log'!$B$2:$B$73=$B1156)*
      ('GIR Log'!$C$2:$C$73=$C1156),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Log'!$E$2:$V$73,
    MATCH(1,
      ('Golf Log'!$A$2:$A$73=$A1157)*
      ('Golf Log'!$B$2:$B$73=$B1157)*
      ('Golf Log'!$C$2:$C$73=$C1157),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Log'!$E$2:$V$73,
    MATCH(1,
      ('Putt Log'!$A$2:$A$73=$A1157)*
      ('Putt Log'!$B$2:$B$73=$B1157)*
      ('Putt Log'!$C$2:$C$73=$C1157),
    0),
    MATCH($G1157,'Putt Log'!$E$1:$V$1,0)
  ),
"")</f>
        <v>1</v>
      </c>
      <c r="P1157" cm="1">
        <f t="array" ref="P1157">IF(K1157=3,"",
  IFERROR(
    INDEX('Fairway Log'!$E$2:$V$73,
      MATCH(1,
        ('Fairway Log'!$A$2:$A$73=$A1157)*
        ('Fairway Log'!$B$2:$B$73=$B1157)*
        ('Fairway Log'!$C$2:$C1228=$C1157),
      0),
      MATCH($G1157,'Fairway Log'!$E$1:$V$1,0)
    ),
  "")
)</f>
        <v>0</v>
      </c>
      <c r="Q1157" t="str" cm="1">
        <f t="array" ref="Q1157">IFERROR(
  INDEX('GIR Log'!$E$2:$V$73,
    MATCH(1,
      ('GIR Log'!$A$2:$A$73=$A1157)*
      ('GIR Log'!$B$2:$B$73=$B1157)*
      ('GIR Log'!$C$2:$C$73=$C1157),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Log'!$E$2:$V$73,
    MATCH(1,
      ('Golf Log'!$A$2:$A$73=$A1158)*
      ('Golf Log'!$B$2:$B$73=$B1158)*
      ('Golf Log'!$C$2:$C$73=$C1158),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Log'!$E$2:$V$73,
    MATCH(1,
      ('Putt Log'!$A$2:$A$73=$A1158)*
      ('Putt Log'!$B$2:$B$73=$B1158)*
      ('Putt Log'!$C$2:$C$73=$C1158),
    0),
    MATCH($G1158,'Putt Log'!$E$1:$V$1,0)
  ),
"")</f>
        <v>2</v>
      </c>
      <c r="P1158" cm="1">
        <f t="array" ref="P1158">IF(K1158=3,"",
  IFERROR(
    INDEX('Fairway Log'!$E$2:$V$73,
      MATCH(1,
        ('Fairway Log'!$A$2:$A$73=$A1158)*
        ('Fairway Log'!$B$2:$B$73=$B1158)*
        ('Fairway Log'!$C$2:$C1229=$C1158),
      0),
      MATCH($G1158,'Fairway Log'!$E$1:$V$1,0)
    ),
  "")
)</f>
        <v>1</v>
      </c>
      <c r="Q1158" cm="1">
        <f t="array" ref="Q1158">IFERROR(
  INDEX('GIR Log'!$E$2:$V$73,
    MATCH(1,
      ('GIR Log'!$A$2:$A$73=$A1158)*
      ('GIR Log'!$B$2:$B$73=$B1158)*
      ('GIR Log'!$C$2:$C$73=$C1158),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Log'!$E$2:$V$73,
    MATCH(1,
      ('Golf Log'!$A$2:$A$73=$A1159)*
      ('Golf Log'!$B$2:$B$73=$B1159)*
      ('Golf Log'!$C$2:$C$73=$C1159),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Log'!$E$2:$V$73,
    MATCH(1,
      ('Putt Log'!$A$2:$A$73=$A1159)*
      ('Putt Log'!$B$2:$B$73=$B1159)*
      ('Putt Log'!$C$2:$C$73=$C1159),
    0),
    MATCH($G1159,'Putt Log'!$E$1:$V$1,0)
  ),
"")</f>
        <v>3</v>
      </c>
      <c r="P1159" t="str" cm="1">
        <f t="array" ref="P1159">IF(K1159=3,"",
  IFERROR(
    INDEX('Fairway Log'!$E$2:$V$73,
      MATCH(1,
        ('Fairway Log'!$A$2:$A$73=$A1159)*
        ('Fairway Log'!$B$2:$B$73=$B1159)*
        ('Fairway Log'!$C$2:$C1230=$C1159),
      0),
      MATCH($G1159,'Fairway Log'!$E$1:$V$1,0)
    ),
  "")
)</f>
        <v/>
      </c>
      <c r="Q1159" t="str" cm="1">
        <f t="array" ref="Q1159">IFERROR(
  INDEX('GIR Log'!$E$2:$V$73,
    MATCH(1,
      ('GIR Log'!$A$2:$A$73=$A1159)*
      ('GIR Log'!$B$2:$B$73=$B1159)*
      ('GIR Log'!$C$2:$C$73=$C1159),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Log'!$E$2:$V$73,
    MATCH(1,
      ('Golf Log'!$A$2:$A$73=$A1160)*
      ('Golf Log'!$B$2:$B$73=$B1160)*
      ('Golf Log'!$C$2:$C$73=$C1160),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Log'!$E$2:$V$73,
    MATCH(1,
      ('Putt Log'!$A$2:$A$73=$A1160)*
      ('Putt Log'!$B$2:$B$73=$B1160)*
      ('Putt Log'!$C$2:$C$73=$C1160),
    0),
    MATCH($G1160,'Putt Log'!$E$1:$V$1,0)
  ),
"")</f>
        <v>2</v>
      </c>
      <c r="P1160" cm="1">
        <f t="array" ref="P1160">IF(K1160=3,"",
  IFERROR(
    INDEX('Fairway Log'!$E$2:$V$73,
      MATCH(1,
        ('Fairway Log'!$A$2:$A$73=$A1160)*
        ('Fairway Log'!$B$2:$B$73=$B1160)*
        ('Fairway Log'!$C$2:$C1231=$C1160),
      0),
      MATCH($G1160,'Fairway Log'!$E$1:$V$1,0)
    ),
  "")
)</f>
        <v>0</v>
      </c>
      <c r="Q1160" t="str" cm="1">
        <f t="array" ref="Q1160">IFERROR(
  INDEX('GIR Log'!$E$2:$V$73,
    MATCH(1,
      ('GIR Log'!$A$2:$A$73=$A1160)*
      ('GIR Log'!$B$2:$B$73=$B1160)*
      ('GIR Log'!$C$2:$C$73=$C1160),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Log'!$E$2:$V$73,
    MATCH(1,
      ('Golf Log'!$A$2:$A$73=$A1161)*
      ('Golf Log'!$B$2:$B$73=$B1161)*
      ('Golf Log'!$C$2:$C$73=$C1161),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Log'!$E$2:$V$73,
    MATCH(1,
      ('Putt Log'!$A$2:$A$73=$A1161)*
      ('Putt Log'!$B$2:$B$73=$B1161)*
      ('Putt Log'!$C$2:$C$73=$C1161),
    0),
    MATCH($G1161,'Putt Log'!$E$1:$V$1,0)
  ),
"")</f>
        <v>1</v>
      </c>
      <c r="P1161" t="str" cm="1">
        <f t="array" ref="P1161">IF(K1161=3,"",
  IFERROR(
    INDEX('Fairway Log'!$E$2:$V$73,
      MATCH(1,
        ('Fairway Log'!$A$2:$A$73=$A1161)*
        ('Fairway Log'!$B$2:$B$73=$B1161)*
        ('Fairway Log'!$C$2:$C1232=$C1161),
      0),
      MATCH($G1161,'Fairway Log'!$E$1:$V$1,0)
    ),
  "")
)</f>
        <v/>
      </c>
      <c r="Q1161" t="str" cm="1">
        <f t="array" ref="Q1161">IFERROR(
  INDEX('GIR Log'!$E$2:$V$73,
    MATCH(1,
      ('GIR Log'!$A$2:$A$73=$A1161)*
      ('GIR Log'!$B$2:$B$73=$B1161)*
      ('GIR Log'!$C$2:$C$73=$C1161),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Log'!$E$2:$V$73,
    MATCH(1,
      ('Golf Log'!$A$2:$A$73=$A1162)*
      ('Golf Log'!$B$2:$B$73=$B1162)*
      ('Golf Log'!$C$2:$C$73=$C1162),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Log'!$E$2:$V$73,
    MATCH(1,
      ('Putt Log'!$A$2:$A$73=$A1162)*
      ('Putt Log'!$B$2:$B$73=$B1162)*
      ('Putt Log'!$C$2:$C$73=$C1162),
    0),
    MATCH($G1162,'Putt Log'!$E$1:$V$1,0)
  ),
"")</f>
        <v>3</v>
      </c>
      <c r="P1162" cm="1">
        <f t="array" ref="P1162">IF(K1162=3,"",
  IFERROR(
    INDEX('Fairway Log'!$E$2:$V$73,
      MATCH(1,
        ('Fairway Log'!$A$2:$A$73=$A1162)*
        ('Fairway Log'!$B$2:$B$73=$B1162)*
        ('Fairway Log'!$C$2:$C1233=$C1162),
      0),
      MATCH($G1162,'Fairway Log'!$E$1:$V$1,0)
    ),
  "")
)</f>
        <v>1</v>
      </c>
      <c r="Q1162" t="str" cm="1">
        <f t="array" ref="Q1162">IFERROR(
  INDEX('GIR Log'!$E$2:$V$73,
    MATCH(1,
      ('GIR Log'!$A$2:$A$73=$A1162)*
      ('GIR Log'!$B$2:$B$73=$B1162)*
      ('GIR Log'!$C$2:$C$73=$C1162),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Log'!$E$2:$V$73,
    MATCH(1,
      ('Golf Log'!$A$2:$A$73=$A1163)*
      ('Golf Log'!$B$2:$B$73=$B1163)*
      ('Golf Log'!$C$2:$C$73=$C1163),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Log'!$E$2:$V$73,
    MATCH(1,
      ('Putt Log'!$A$2:$A$73=$A1163)*
      ('Putt Log'!$B$2:$B$73=$B1163)*
      ('Putt Log'!$C$2:$C$73=$C1163),
    0),
    MATCH($G1163,'Putt Log'!$E$1:$V$1,0)
  ),
"")</f>
        <v>2</v>
      </c>
      <c r="P1163" cm="1">
        <f t="array" ref="P1163">IF(K1163=3,"",
  IFERROR(
    INDEX('Fairway Log'!$E$2:$V$73,
      MATCH(1,
        ('Fairway Log'!$A$2:$A$73=$A1163)*
        ('Fairway Log'!$B$2:$B$73=$B1163)*
        ('Fairway Log'!$C$2:$C1234=$C1163),
      0),
      MATCH($G1163,'Fairway Log'!$E$1:$V$1,0)
    ),
  "")
)</f>
        <v>1</v>
      </c>
      <c r="Q1163" t="str" cm="1">
        <f t="array" ref="Q1163">IFERROR(
  INDEX('GIR Log'!$E$2:$V$73,
    MATCH(1,
      ('GIR Log'!$A$2:$A$73=$A1163)*
      ('GIR Log'!$B$2:$B$73=$B1163)*
      ('GIR Log'!$C$2:$C$73=$C1163),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Log'!$E$2:$V$73,
    MATCH(1,
      ('Golf Log'!$A$2:$A$73=$A1164)*
      ('Golf Log'!$B$2:$B$73=$B1164)*
      ('Golf Log'!$C$2:$C$73=$C1164),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Log'!$E$2:$V$73,
    MATCH(1,
      ('Putt Log'!$A$2:$A$73=$A1164)*
      ('Putt Log'!$B$2:$B$73=$B1164)*
      ('Putt Log'!$C$2:$C$73=$C1164),
    0),
    MATCH($G1164,'Putt Log'!$E$1:$V$1,0)
  ),
"")</f>
        <v>1</v>
      </c>
      <c r="P1164" t="str" cm="1">
        <f t="array" ref="P1164">IF(K1164=3,"",
  IFERROR(
    INDEX('Fairway Log'!$E$2:$V$73,
      MATCH(1,
        ('Fairway Log'!$A$2:$A$73=$A1164)*
        ('Fairway Log'!$B$2:$B$73=$B1164)*
        ('Fairway Log'!$C$2:$C1235=$C1164),
      0),
      MATCH($G1164,'Fairway Log'!$E$1:$V$1,0)
    ),
  "")
)</f>
        <v>←</v>
      </c>
      <c r="Q1164" t="str" cm="1">
        <f t="array" ref="Q1164">IFERROR(
  INDEX('GIR Log'!$E$2:$V$73,
    MATCH(1,
      ('GIR Log'!$A$2:$A$73=$A1164)*
      ('GIR Log'!$B$2:$B$73=$B1164)*
      ('GIR Log'!$C$2:$C$73=$C1164),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Log'!$E$2:$V$73,
    MATCH(1,
      ('Golf Log'!$A$2:$A$73=$A1165)*
      ('Golf Log'!$B$2:$B$73=$B1165)*
      ('Golf Log'!$C$2:$C$73=$C1165),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Log'!$E$2:$V$73,
    MATCH(1,
      ('Putt Log'!$A$2:$A$73=$A1165)*
      ('Putt Log'!$B$2:$B$73=$B1165)*
      ('Putt Log'!$C$2:$C$73=$C1165),
    0),
    MATCH($G1165,'Putt Log'!$E$1:$V$1,0)
  ),
"")</f>
        <v>2</v>
      </c>
      <c r="P1165" t="str" cm="1">
        <f t="array" ref="P1165">IF(K1165=3,"",
  IFERROR(
    INDEX('Fairway Log'!$E$2:$V$73,
      MATCH(1,
        ('Fairway Log'!$A$2:$A$73=$A1165)*
        ('Fairway Log'!$B$2:$B$73=$B1165)*
        ('Fairway Log'!$C$2:$C1236=$C1165),
      0),
      MATCH($G1165,'Fairway Log'!$E$1:$V$1,0)
    ),
  "")
)</f>
        <v/>
      </c>
      <c r="Q1165" t="str" cm="1">
        <f t="array" ref="Q1165">IFERROR(
  INDEX('GIR Log'!$E$2:$V$73,
    MATCH(1,
      ('GIR Log'!$A$2:$A$73=$A1165)*
      ('GIR Log'!$B$2:$B$73=$B1165)*
      ('GIR Log'!$C$2:$C$73=$C1165),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Log'!$E$2:$V$73,
    MATCH(1,
      ('Golf Log'!$A$2:$A$73=$A1166)*
      ('Golf Log'!$B$2:$B$73=$B1166)*
      ('Golf Log'!$C$2:$C$73=$C1166),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Log'!$E$2:$V$73,
    MATCH(1,
      ('Putt Log'!$A$2:$A$73=$A1166)*
      ('Putt Log'!$B$2:$B$73=$B1166)*
      ('Putt Log'!$C$2:$C$73=$C1166),
    0),
    MATCH($G1166,'Putt Log'!$E$1:$V$1,0)
  ),
"")</f>
        <v>1</v>
      </c>
      <c r="P1166" t="str" cm="1">
        <f t="array" ref="P1166">IF(K1166=3,"",
  IFERROR(
    INDEX('Fairway Log'!$E$2:$V$73,
      MATCH(1,
        ('Fairway Log'!$A$2:$A$73=$A1166)*
        ('Fairway Log'!$B$2:$B$73=$B1166)*
        ('Fairway Log'!$C$2:$C1237=$C1166),
      0),
      MATCH($G1166,'Fairway Log'!$E$1:$V$1,0)
    ),
  "")
)</f>
        <v>←</v>
      </c>
      <c r="Q1166" t="str" cm="1">
        <f t="array" ref="Q1166">IFERROR(
  INDEX('GIR Log'!$E$2:$V$73,
    MATCH(1,
      ('GIR Log'!$A$2:$A$73=$A1166)*
      ('GIR Log'!$B$2:$B$73=$B1166)*
      ('GIR Log'!$C$2:$C$73=$C1166),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Log'!$E$2:$V$73,
    MATCH(1,
      ('Golf Log'!$A$2:$A$73=$A1167)*
      ('Golf Log'!$B$2:$B$73=$B1167)*
      ('Golf Log'!$C$2:$C$73=$C1167),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Log'!$E$2:$V$73,
    MATCH(1,
      ('Putt Log'!$A$2:$A$73=$A1167)*
      ('Putt Log'!$B$2:$B$73=$B1167)*
      ('Putt Log'!$C$2:$C$73=$C1167),
    0),
    MATCH($G1167,'Putt Log'!$E$1:$V$1,0)
  ),
"")</f>
        <v>1</v>
      </c>
      <c r="P1167" t="str" cm="1">
        <f t="array" ref="P1167">IF(K1167=3,"",
  IFERROR(
    INDEX('Fairway Log'!$E$2:$V$73,
      MATCH(1,
        ('Fairway Log'!$A$2:$A$73=$A1167)*
        ('Fairway Log'!$B$2:$B$73=$B1167)*
        ('Fairway Log'!$C$2:$C1238=$C1167),
      0),
      MATCH($G1167,'Fairway Log'!$E$1:$V$1,0)
    ),
  "")
)</f>
        <v/>
      </c>
      <c r="Q1167" t="str" cm="1">
        <f t="array" ref="Q1167">IFERROR(
  INDEX('GIR Log'!$E$2:$V$73,
    MATCH(1,
      ('GIR Log'!$A$2:$A$73=$A1167)*
      ('GIR Log'!$B$2:$B$73=$B1167)*
      ('GIR Log'!$C$2:$C$73=$C1167),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Log'!$E$2:$V$73,
    MATCH(1,
      ('Golf Log'!$A$2:$A$73=$A1168)*
      ('Golf Log'!$B$2:$B$73=$B1168)*
      ('Golf Log'!$C$2:$C$73=$C1168),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Log'!$E$2:$V$73,
    MATCH(1,
      ('Putt Log'!$A$2:$A$73=$A1168)*
      ('Putt Log'!$B$2:$B$73=$B1168)*
      ('Putt Log'!$C$2:$C$73=$C1168),
    0),
    MATCH($G1168,'Putt Log'!$E$1:$V$1,0)
  ),
"")</f>
        <v>2</v>
      </c>
      <c r="P1168" t="str" cm="1">
        <f t="array" ref="P1168">IF(K1168=3,"",
  IFERROR(
    INDEX('Fairway Log'!$E$2:$V$73,
      MATCH(1,
        ('Fairway Log'!$A$2:$A$73=$A1168)*
        ('Fairway Log'!$B$2:$B$73=$B1168)*
        ('Fairway Log'!$C$2:$C1239=$C1168),
      0),
      MATCH($G1168,'Fairway Log'!$E$1:$V$1,0)
    ),
  "")
)</f>
        <v>←</v>
      </c>
      <c r="Q1168" t="str" cm="1">
        <f t="array" ref="Q1168">IFERROR(
  INDEX('GIR Log'!$E$2:$V$73,
    MATCH(1,
      ('GIR Log'!$A$2:$A$73=$A1168)*
      ('GIR Log'!$B$2:$B$73=$B1168)*
      ('GIR Log'!$C$2:$C$73=$C1168),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Log'!$E$2:$V$73,
    MATCH(1,
      ('Golf Log'!$A$2:$A$73=$A1169)*
      ('Golf Log'!$B$2:$B$73=$B1169)*
      ('Golf Log'!$C$2:$C$73=$C1169),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Log'!$E$2:$V$73,
    MATCH(1,
      ('Putt Log'!$A$2:$A$73=$A1169)*
      ('Putt Log'!$B$2:$B$73=$B1169)*
      ('Putt Log'!$C$2:$C$73=$C1169),
    0),
    MATCH($G1169,'Putt Log'!$E$1:$V$1,0)
  ),
"")</f>
        <v>2</v>
      </c>
      <c r="P1169" cm="1">
        <f t="array" ref="P1169">IF(K1169=3,"",
  IFERROR(
    INDEX('Fairway Log'!$E$2:$V$73,
      MATCH(1,
        ('Fairway Log'!$A$2:$A$73=$A1169)*
        ('Fairway Log'!$B$2:$B$73=$B1169)*
        ('Fairway Log'!$C$2:$C1240=$C1169),
      0),
      MATCH($G1169,'Fairway Log'!$E$1:$V$1,0)
    ),
  "")
)</f>
        <v>1</v>
      </c>
      <c r="Q1169" t="str" cm="1">
        <f t="array" ref="Q1169">IFERROR(
  INDEX('GIR Log'!$E$2:$V$73,
    MATCH(1,
      ('GIR Log'!$A$2:$A$73=$A1169)*
      ('GIR Log'!$B$2:$B$73=$B1169)*
      ('GIR Log'!$C$2:$C$73=$C1169),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Log'!$E$2:$V$73,
    MATCH(1,
      ('Golf Log'!$A$2:$A$73=$A1170)*
      ('Golf Log'!$B$2:$B$73=$B1170)*
      ('Golf Log'!$C$2:$C$73=$C1170),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Log'!$E$2:$V$73,
    MATCH(1,
      ('Putt Log'!$A$2:$A$73=$A1170)*
      ('Putt Log'!$B$2:$B$73=$B1170)*
      ('Putt Log'!$C$2:$C$73=$C1170),
    0),
    MATCH($G1170,'Putt Log'!$E$1:$V$1,0)
  ),
"")</f>
        <v>2</v>
      </c>
      <c r="P1170" t="str" cm="1">
        <f t="array" ref="P1170">IF(K1170=3,"",
  IFERROR(
    INDEX('Fairway Log'!$E$2:$V$73,
      MATCH(1,
        ('Fairway Log'!$A$2:$A$73=$A1170)*
        ('Fairway Log'!$B$2:$B$73=$B1170)*
        ('Fairway Log'!$C$2:$C1241=$C1170),
      0),
      MATCH($G1170,'Fairway Log'!$E$1:$V$1,0)
    ),
  "")
)</f>
        <v>←</v>
      </c>
      <c r="Q1170" t="str" cm="1">
        <f t="array" ref="Q1170">IFERROR(
  INDEX('GIR Log'!$E$2:$V$73,
    MATCH(1,
      ('GIR Log'!$A$2:$A$73=$A1170)*
      ('GIR Log'!$B$2:$B$73=$B1170)*
      ('GIR Log'!$C$2:$C$73=$C1170),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Log'!$E$2:$V$73,
    MATCH(1,
      ('Golf Log'!$A$2:$A$73=$A1171)*
      ('Golf Log'!$B$2:$B$73=$B1171)*
      ('Golf Log'!$C$2:$C$73=$C1171),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Log'!$E$2:$V$73,
    MATCH(1,
      ('Putt Log'!$A$2:$A$73=$A1171)*
      ('Putt Log'!$B$2:$B$73=$B1171)*
      ('Putt Log'!$C$2:$C$73=$C1171),
    0),
    MATCH($G1171,'Putt Log'!$E$1:$V$1,0)
  ),
"")</f>
        <v>2</v>
      </c>
      <c r="P1171" t="str" cm="1">
        <f t="array" ref="P1171">IF(K1171=3,"",
  IFERROR(
    INDEX('Fairway Log'!$E$2:$V$73,
      MATCH(1,
        ('Fairway Log'!$A$2:$A$73=$A1171)*
        ('Fairway Log'!$B$2:$B$73=$B1171)*
        ('Fairway Log'!$C$2:$C1242=$C1171),
      0),
      MATCH($G1171,'Fairway Log'!$E$1:$V$1,0)
    ),
  "")
)</f>
        <v>←</v>
      </c>
      <c r="Q1171" t="str" cm="1">
        <f t="array" ref="Q1171">IFERROR(
  INDEX('GIR Log'!$E$2:$V$73,
    MATCH(1,
      ('GIR Log'!$A$2:$A$73=$A1171)*
      ('GIR Log'!$B$2:$B$73=$B1171)*
      ('GIR Log'!$C$2:$C$73=$C1171),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Log'!$E$2:$V$73,
    MATCH(1,
      ('Golf Log'!$A$2:$A$73=$A1172)*
      ('Golf Log'!$B$2:$B$73=$B1172)*
      ('Golf Log'!$C$2:$C$73=$C1172),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Log'!$E$2:$V$73,
    MATCH(1,
      ('Putt Log'!$A$2:$A$73=$A1172)*
      ('Putt Log'!$B$2:$B$73=$B1172)*
      ('Putt Log'!$C$2:$C$73=$C1172),
    0),
    MATCH($G1172,'Putt Log'!$E$1:$V$1,0)
  ),
"")</f>
        <v>2</v>
      </c>
      <c r="P1172" cm="1">
        <f t="array" ref="P1172">IF(K1172=3,"",
  IFERROR(
    INDEX('Fairway Log'!$E$2:$V$73,
      MATCH(1,
        ('Fairway Log'!$A$2:$A$73=$A1172)*
        ('Fairway Log'!$B$2:$B$73=$B1172)*
        ('Fairway Log'!$C$2:$C1243=$C1172),
      0),
      MATCH($G1172,'Fairway Log'!$E$1:$V$1,0)
    ),
  "")
)</f>
        <v>1</v>
      </c>
      <c r="Q1172" cm="1">
        <f t="array" ref="Q1172">IFERROR(
  INDEX('GIR Log'!$E$2:$V$73,
    MATCH(1,
      ('GIR Log'!$A$2:$A$73=$A1172)*
      ('GIR Log'!$B$2:$B$73=$B1172)*
      ('GIR Log'!$C$2:$C$73=$C1172),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Log'!$E$2:$V$73,
    MATCH(1,
      ('Golf Log'!$A$2:$A$73=$A1173)*
      ('Golf Log'!$B$2:$B$73=$B1173)*
      ('Golf Log'!$C$2:$C$73=$C1173),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Log'!$E$2:$V$73,
    MATCH(1,
      ('Putt Log'!$A$2:$A$73=$A1173)*
      ('Putt Log'!$B$2:$B$73=$B1173)*
      ('Putt Log'!$C$2:$C$73=$C1173),
    0),
    MATCH($G1173,'Putt Log'!$E$1:$V$1,0)
  ),
"")</f>
        <v>2</v>
      </c>
      <c r="P1173" cm="1">
        <f t="array" ref="P1173">IF(K1173=3,"",
  IFERROR(
    INDEX('Fairway Log'!$E$2:$V$73,
      MATCH(1,
        ('Fairway Log'!$A$2:$A$73=$A1173)*
        ('Fairway Log'!$B$2:$B$73=$B1173)*
        ('Fairway Log'!$C$2:$C1244=$C1173),
      0),
      MATCH($G1173,'Fairway Log'!$E$1:$V$1,0)
    ),
  "")
)</f>
        <v>0</v>
      </c>
      <c r="Q1173" cm="1">
        <f t="array" ref="Q1173">IFERROR(
  INDEX('GIR Log'!$E$2:$V$73,
    MATCH(1,
      ('GIR Log'!$A$2:$A$73=$A1173)*
      ('GIR Log'!$B$2:$B$73=$B1173)*
      ('GIR Log'!$C$2:$C$73=$C1173),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Log'!$E$2:$V$73,
    MATCH(1,
      ('Golf Log'!$A$2:$A$73=$A1174)*
      ('Golf Log'!$B$2:$B$73=$B1174)*
      ('Golf Log'!$C$2:$C$73=$C1174),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Log'!$E$2:$V$73,
    MATCH(1,
      ('Putt Log'!$A$2:$A$73=$A1174)*
      ('Putt Log'!$B$2:$B$73=$B1174)*
      ('Putt Log'!$C$2:$C$73=$C1174),
    0),
    MATCH($G1174,'Putt Log'!$E$1:$V$1,0)
  ),
"")</f>
        <v>1</v>
      </c>
      <c r="P1174" t="str" cm="1">
        <f t="array" ref="P1174">IF(K1174=3,"",
  IFERROR(
    INDEX('Fairway Log'!$E$2:$V$73,
      MATCH(1,
        ('Fairway Log'!$A$2:$A$73=$A1174)*
        ('Fairway Log'!$B$2:$B$73=$B1174)*
        ('Fairway Log'!$C$2:$C1245=$C1174),
      0),
      MATCH($G1174,'Fairway Log'!$E$1:$V$1,0)
    ),
  "")
)</f>
        <v/>
      </c>
      <c r="Q1174" cm="1">
        <f t="array" ref="Q1174">IFERROR(
  INDEX('GIR Log'!$E$2:$V$73,
    MATCH(1,
      ('GIR Log'!$A$2:$A$73=$A1174)*
      ('GIR Log'!$B$2:$B$73=$B1174)*
      ('GIR Log'!$C$2:$C$73=$C1174),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Log'!$E$2:$V$73,
    MATCH(1,
      ('Golf Log'!$A$2:$A$73=$A1175)*
      ('Golf Log'!$B$2:$B$73=$B1175)*
      ('Golf Log'!$C$2:$C$73=$C1175),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Log'!$E$2:$V$73,
    MATCH(1,
      ('Putt Log'!$A$2:$A$73=$A1175)*
      ('Putt Log'!$B$2:$B$73=$B1175)*
      ('Putt Log'!$C$2:$C$73=$C1175),
    0),
    MATCH($G1175,'Putt Log'!$E$1:$V$1,0)
  ),
"")</f>
        <v>2</v>
      </c>
      <c r="P1175" cm="1">
        <f t="array" ref="P1175">IF(K1175=3,"",
  IFERROR(
    INDEX('Fairway Log'!$E$2:$V$73,
      MATCH(1,
        ('Fairway Log'!$A$2:$A$73=$A1175)*
        ('Fairway Log'!$B$2:$B$73=$B1175)*
        ('Fairway Log'!$C$2:$C1246=$C1175),
      0),
      MATCH($G1175,'Fairway Log'!$E$1:$V$1,0)
    ),
  "")
)</f>
        <v>1</v>
      </c>
      <c r="Q1175" cm="1">
        <f t="array" ref="Q1175">IFERROR(
  INDEX('GIR Log'!$E$2:$V$73,
    MATCH(1,
      ('GIR Log'!$A$2:$A$73=$A1175)*
      ('GIR Log'!$B$2:$B$73=$B1175)*
      ('GIR Log'!$C$2:$C$73=$C1175),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Log'!$E$2:$V$73,
    MATCH(1,
      ('Golf Log'!$A$2:$A$73=$A1176)*
      ('Golf Log'!$B$2:$B$73=$B1176)*
      ('Golf Log'!$C$2:$C$73=$C1176),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Log'!$E$2:$V$73,
    MATCH(1,
      ('Putt Log'!$A$2:$A$73=$A1176)*
      ('Putt Log'!$B$2:$B$73=$B1176)*
      ('Putt Log'!$C$2:$C$73=$C1176),
    0),
    MATCH($G1176,'Putt Log'!$E$1:$V$1,0)
  ),
"")</f>
        <v>2</v>
      </c>
      <c r="P1176" cm="1">
        <f t="array" ref="P1176">IF(K1176=3,"",
  IFERROR(
    INDEX('Fairway Log'!$E$2:$V$73,
      MATCH(1,
        ('Fairway Log'!$A$2:$A$73=$A1176)*
        ('Fairway Log'!$B$2:$B$73=$B1176)*
        ('Fairway Log'!$C$2:$C1247=$C1176),
      0),
      MATCH($G1176,'Fairway Log'!$E$1:$V$1,0)
    ),
  "")
)</f>
        <v>1</v>
      </c>
      <c r="Q1176" cm="1">
        <f t="array" ref="Q1176">IFERROR(
  INDEX('GIR Log'!$E$2:$V$73,
    MATCH(1,
      ('GIR Log'!$A$2:$A$73=$A1176)*
      ('GIR Log'!$B$2:$B$73=$B1176)*
      ('GIR Log'!$C$2:$C$73=$C1176),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Log'!$E$2:$V$73,
    MATCH(1,
      ('Golf Log'!$A$2:$A$73=$A1177)*
      ('Golf Log'!$B$2:$B$73=$B1177)*
      ('Golf Log'!$C$2:$C$73=$C1177),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Log'!$E$2:$V$73,
    MATCH(1,
      ('Putt Log'!$A$2:$A$73=$A1177)*
      ('Putt Log'!$B$2:$B$73=$B1177)*
      ('Putt Log'!$C$2:$C$73=$C1177),
    0),
    MATCH($G1177,'Putt Log'!$E$1:$V$1,0)
  ),
"")</f>
        <v>2</v>
      </c>
      <c r="P1177" t="str" cm="1">
        <f t="array" ref="P1177">IF(K1177=3,"",
  IFERROR(
    INDEX('Fairway Log'!$E$2:$V$73,
      MATCH(1,
        ('Fairway Log'!$A$2:$A$73=$A1177)*
        ('Fairway Log'!$B$2:$B$73=$B1177)*
        ('Fairway Log'!$C$2:$C1248=$C1177),
      0),
      MATCH($G1177,'Fairway Log'!$E$1:$V$1,0)
    ),
  "")
)</f>
        <v>→</v>
      </c>
      <c r="Q1177" cm="1">
        <f t="array" ref="Q1177">IFERROR(
  INDEX('GIR Log'!$E$2:$V$73,
    MATCH(1,
      ('GIR Log'!$A$2:$A$73=$A1177)*
      ('GIR Log'!$B$2:$B$73=$B1177)*
      ('GIR Log'!$C$2:$C$73=$C1177),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Log'!$E$2:$V$73,
    MATCH(1,
      ('Golf Log'!$A$2:$A$73=$A1178)*
      ('Golf Log'!$B$2:$B$73=$B1178)*
      ('Golf Log'!$C$2:$C$73=$C1178),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Log'!$E$2:$V$73,
    MATCH(1,
      ('Putt Log'!$A$2:$A$73=$A1178)*
      ('Putt Log'!$B$2:$B$73=$B1178)*
      ('Putt Log'!$C$2:$C$73=$C1178),
    0),
    MATCH($G1178,'Putt Log'!$E$1:$V$1,0)
  ),
"")</f>
        <v>2</v>
      </c>
      <c r="P1178" t="str" cm="1">
        <f t="array" ref="P1178">IF(K1178=3,"",
  IFERROR(
    INDEX('Fairway Log'!$E$2:$V$73,
      MATCH(1,
        ('Fairway Log'!$A$2:$A$73=$A1178)*
        ('Fairway Log'!$B$2:$B$73=$B1178)*
        ('Fairway Log'!$C$2:$C1249=$C1178),
      0),
      MATCH($G1178,'Fairway Log'!$E$1:$V$1,0)
    ),
  "")
)</f>
        <v/>
      </c>
      <c r="Q1178" cm="1">
        <f t="array" ref="Q1178">IFERROR(
  INDEX('GIR Log'!$E$2:$V$73,
    MATCH(1,
      ('GIR Log'!$A$2:$A$73=$A1178)*
      ('GIR Log'!$B$2:$B$73=$B1178)*
      ('GIR Log'!$C$2:$C$73=$C1178),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Log'!$E$2:$V$73,
    MATCH(1,
      ('Golf Log'!$A$2:$A$73=$A1179)*
      ('Golf Log'!$B$2:$B$73=$B1179)*
      ('Golf Log'!$C$2:$C$73=$C1179),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Log'!$E$2:$V$73,
    MATCH(1,
      ('Putt Log'!$A$2:$A$73=$A1179)*
      ('Putt Log'!$B$2:$B$73=$B1179)*
      ('Putt Log'!$C$2:$C$73=$C1179),
    0),
    MATCH($G1179,'Putt Log'!$E$1:$V$1,0)
  ),
"")</f>
        <v>2</v>
      </c>
      <c r="P1179" t="str" cm="1">
        <f t="array" ref="P1179">IF(K1179=3,"",
  IFERROR(
    INDEX('Fairway Log'!$E$2:$V$73,
      MATCH(1,
        ('Fairway Log'!$A$2:$A$73=$A1179)*
        ('Fairway Log'!$B$2:$B$73=$B1179)*
        ('Fairway Log'!$C$2:$C1250=$C1179),
      0),
      MATCH($G1179,'Fairway Log'!$E$1:$V$1,0)
    ),
  "")
)</f>
        <v>→</v>
      </c>
      <c r="Q1179" cm="1">
        <f t="array" ref="Q1179">IFERROR(
  INDEX('GIR Log'!$E$2:$V$73,
    MATCH(1,
      ('GIR Log'!$A$2:$A$73=$A1179)*
      ('GIR Log'!$B$2:$B$73=$B1179)*
      ('GIR Log'!$C$2:$C$73=$C1179),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Log'!$E$2:$V$73,
    MATCH(1,
      ('Golf Log'!$A$2:$A$73=$A1180)*
      ('Golf Log'!$B$2:$B$73=$B1180)*
      ('Golf Log'!$C$2:$C$73=$C1180),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Log'!$E$2:$V$73,
    MATCH(1,
      ('Putt Log'!$A$2:$A$73=$A1180)*
      ('Putt Log'!$B$2:$B$73=$B1180)*
      ('Putt Log'!$C$2:$C$73=$C1180),
    0),
    MATCH($G1180,'Putt Log'!$E$1:$V$1,0)
  ),
"")</f>
        <v>2</v>
      </c>
      <c r="P1180" t="str" cm="1">
        <f t="array" ref="P1180">IF(K1180=3,"",
  IFERROR(
    INDEX('Fairway Log'!$E$2:$V$73,
      MATCH(1,
        ('Fairway Log'!$A$2:$A$73=$A1180)*
        ('Fairway Log'!$B$2:$B$73=$B1180)*
        ('Fairway Log'!$C$2:$C1251=$C1180),
      0),
      MATCH($G1180,'Fairway Log'!$E$1:$V$1,0)
    ),
  "")
)</f>
        <v>→</v>
      </c>
      <c r="Q1180" cm="1">
        <f t="array" ref="Q1180">IFERROR(
  INDEX('GIR Log'!$E$2:$V$73,
    MATCH(1,
      ('GIR Log'!$A$2:$A$73=$A1180)*
      ('GIR Log'!$B$2:$B$73=$B1180)*
      ('GIR Log'!$C$2:$C$73=$C1180),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Log'!$E$2:$V$73,
    MATCH(1,
      ('Golf Log'!$A$2:$A$73=$A1181)*
      ('Golf Log'!$B$2:$B$73=$B1181)*
      ('Golf Log'!$C$2:$C$73=$C1181),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Log'!$E$2:$V$73,
    MATCH(1,
      ('Putt Log'!$A$2:$A$73=$A1181)*
      ('Putt Log'!$B$2:$B$73=$B1181)*
      ('Putt Log'!$C$2:$C$73=$C1181),
    0),
    MATCH($G1181,'Putt Log'!$E$1:$V$1,0)
  ),
"")</f>
        <v>1</v>
      </c>
      <c r="P1181" t="str" cm="1">
        <f t="array" ref="P1181">IF(K1181=3,"",
  IFERROR(
    INDEX('Fairway Log'!$E$2:$V$73,
      MATCH(1,
        ('Fairway Log'!$A$2:$A$73=$A1181)*
        ('Fairway Log'!$B$2:$B$73=$B1181)*
        ('Fairway Log'!$C$2:$C1252=$C1181),
      0),
      MATCH($G1181,'Fairway Log'!$E$1:$V$1,0)
    ),
  "")
)</f>
        <v>→</v>
      </c>
      <c r="Q1181" cm="1">
        <f t="array" ref="Q1181">IFERROR(
  INDEX('GIR Log'!$E$2:$V$73,
    MATCH(1,
      ('GIR Log'!$A$2:$A$73=$A1181)*
      ('GIR Log'!$B$2:$B$73=$B1181)*
      ('GIR Log'!$C$2:$C$73=$C1181),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Log'!$E$2:$V$73,
    MATCH(1,
      ('Golf Log'!$A$2:$A$73=$A1182)*
      ('Golf Log'!$B$2:$B$73=$B1182)*
      ('Golf Log'!$C$2:$C$73=$C1182),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Log'!$E$2:$V$73,
    MATCH(1,
      ('Putt Log'!$A$2:$A$73=$A1182)*
      ('Putt Log'!$B$2:$B$73=$B1182)*
      ('Putt Log'!$C$2:$C$73=$C1182),
    0),
    MATCH($G1182,'Putt Log'!$E$1:$V$1,0)
  ),
"")</f>
        <v>2</v>
      </c>
      <c r="P1182" t="str" cm="1">
        <f t="array" ref="P1182">IF(K1182=3,"",
  IFERROR(
    INDEX('Fairway Log'!$E$2:$V$73,
      MATCH(1,
        ('Fairway Log'!$A$2:$A$73=$A1182)*
        ('Fairway Log'!$B$2:$B$73=$B1182)*
        ('Fairway Log'!$C$2:$C1253=$C1182),
      0),
      MATCH($G1182,'Fairway Log'!$E$1:$V$1,0)
    ),
  "")
)</f>
        <v/>
      </c>
      <c r="Q1182" cm="1">
        <f t="array" ref="Q1182">IFERROR(
  INDEX('GIR Log'!$E$2:$V$73,
    MATCH(1,
      ('GIR Log'!$A$2:$A$73=$A1182)*
      ('GIR Log'!$B$2:$B$73=$B1182)*
      ('GIR Log'!$C$2:$C$73=$C1182),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Log'!$E$2:$V$73,
    MATCH(1,
      ('Golf Log'!$A$2:$A$73=$A1183)*
      ('Golf Log'!$B$2:$B$73=$B1183)*
      ('Golf Log'!$C$2:$C$73=$C1183),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Log'!$E$2:$V$73,
    MATCH(1,
      ('Putt Log'!$A$2:$A$73=$A1183)*
      ('Putt Log'!$B$2:$B$73=$B1183)*
      ('Putt Log'!$C$2:$C$73=$C1183),
    0),
    MATCH($G1183,'Putt Log'!$E$1:$V$1,0)
  ),
"")</f>
        <v>2</v>
      </c>
      <c r="P1183" t="str" cm="1">
        <f t="array" ref="P1183">IF(K1183=3,"",
  IFERROR(
    INDEX('Fairway Log'!$E$2:$V$73,
      MATCH(1,
        ('Fairway Log'!$A$2:$A$73=$A1183)*
        ('Fairway Log'!$B$2:$B$73=$B1183)*
        ('Fairway Log'!$C$2:$C1254=$C1183),
      0),
      MATCH($G1183,'Fairway Log'!$E$1:$V$1,0)
    ),
  "")
)</f>
        <v>→</v>
      </c>
      <c r="Q1183" cm="1">
        <f t="array" ref="Q1183">IFERROR(
  INDEX('GIR Log'!$E$2:$V$73,
    MATCH(1,
      ('GIR Log'!$A$2:$A$73=$A1183)*
      ('GIR Log'!$B$2:$B$73=$B1183)*
      ('GIR Log'!$C$2:$C$73=$C1183),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Log'!$E$2:$V$73,
    MATCH(1,
      ('Golf Log'!$A$2:$A$73=$A1184)*
      ('Golf Log'!$B$2:$B$73=$B1184)*
      ('Golf Log'!$C$2:$C$73=$C1184),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Log'!$E$2:$V$73,
    MATCH(1,
      ('Putt Log'!$A$2:$A$73=$A1184)*
      ('Putt Log'!$B$2:$B$73=$B1184)*
      ('Putt Log'!$C$2:$C$73=$C1184),
    0),
    MATCH($G1184,'Putt Log'!$E$1:$V$1,0)
  ),
"")</f>
        <v>2</v>
      </c>
      <c r="P1184" t="str" cm="1">
        <f t="array" ref="P1184">IF(K1184=3,"",
  IFERROR(
    INDEX('Fairway Log'!$E$2:$V$73,
      MATCH(1,
        ('Fairway Log'!$A$2:$A$73=$A1184)*
        ('Fairway Log'!$B$2:$B$73=$B1184)*
        ('Fairway Log'!$C$2:$C1255=$C1184),
      0),
      MATCH($G1184,'Fairway Log'!$E$1:$V$1,0)
    ),
  "")
)</f>
        <v>←</v>
      </c>
      <c r="Q1184" cm="1">
        <f t="array" ref="Q1184">IFERROR(
  INDEX('GIR Log'!$E$2:$V$73,
    MATCH(1,
      ('GIR Log'!$A$2:$A$73=$A1184)*
      ('GIR Log'!$B$2:$B$73=$B1184)*
      ('GIR Log'!$C$2:$C$73=$C1184),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Log'!$E$2:$V$73,
    MATCH(1,
      ('Golf Log'!$A$2:$A$73=$A1185)*
      ('Golf Log'!$B$2:$B$73=$B1185)*
      ('Golf Log'!$C$2:$C$73=$C1185),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Log'!$E$2:$V$73,
    MATCH(1,
      ('Putt Log'!$A$2:$A$73=$A1185)*
      ('Putt Log'!$B$2:$B$73=$B1185)*
      ('Putt Log'!$C$2:$C$73=$C1185),
    0),
    MATCH($G1185,'Putt Log'!$E$1:$V$1,0)
  ),
"")</f>
        <v>2</v>
      </c>
      <c r="P1185" t="str" cm="1">
        <f t="array" ref="P1185">IF(K1185=3,"",
  IFERROR(
    INDEX('Fairway Log'!$E$2:$V$73,
      MATCH(1,
        ('Fairway Log'!$A$2:$A$73=$A1185)*
        ('Fairway Log'!$B$2:$B$73=$B1185)*
        ('Fairway Log'!$C$2:$C1256=$C1185),
      0),
      MATCH($G1185,'Fairway Log'!$E$1:$V$1,0)
    ),
  "")
)</f>
        <v>←</v>
      </c>
      <c r="Q1185" cm="1">
        <f t="array" ref="Q1185">IFERROR(
  INDEX('GIR Log'!$E$2:$V$73,
    MATCH(1,
      ('GIR Log'!$A$2:$A$73=$A1185)*
      ('GIR Log'!$B$2:$B$73=$B1185)*
      ('GIR Log'!$C$2:$C$73=$C1185),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Log'!$E$2:$V$73,
    MATCH(1,
      ('Golf Log'!$A$2:$A$73=$A1186)*
      ('Golf Log'!$B$2:$B$73=$B1186)*
      ('Golf Log'!$C$2:$C$73=$C1186),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Log'!$E$2:$V$73,
    MATCH(1,
      ('Putt Log'!$A$2:$A$73=$A1186)*
      ('Putt Log'!$B$2:$B$73=$B1186)*
      ('Putt Log'!$C$2:$C$73=$C1186),
    0),
    MATCH($G1186,'Putt Log'!$E$1:$V$1,0)
  ),
"")</f>
        <v>2</v>
      </c>
      <c r="P1186" t="str" cm="1">
        <f t="array" ref="P1186">IF(K1186=3,"",
  IFERROR(
    INDEX('Fairway Log'!$E$2:$V$73,
      MATCH(1,
        ('Fairway Log'!$A$2:$A$73=$A1186)*
        ('Fairway Log'!$B$2:$B$73=$B1186)*
        ('Fairway Log'!$C$2:$C1257=$C1186),
      0),
      MATCH($G1186,'Fairway Log'!$E$1:$V$1,0)
    ),
  "")
)</f>
        <v>←</v>
      </c>
      <c r="Q1186" cm="1">
        <f t="array" ref="Q1186">IFERROR(
  INDEX('GIR Log'!$E$2:$V$73,
    MATCH(1,
      ('GIR Log'!$A$2:$A$73=$A1186)*
      ('GIR Log'!$B$2:$B$73=$B1186)*
      ('GIR Log'!$C$2:$C$73=$C1186),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Log'!$E$2:$V$73,
    MATCH(1,
      ('Golf Log'!$A$2:$A$73=$A1187)*
      ('Golf Log'!$B$2:$B$73=$B1187)*
      ('Golf Log'!$C$2:$C$73=$C1187),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Log'!$E$2:$V$73,
    MATCH(1,
      ('Putt Log'!$A$2:$A$73=$A1187)*
      ('Putt Log'!$B$2:$B$73=$B1187)*
      ('Putt Log'!$C$2:$C$73=$C1187),
    0),
    MATCH($G1187,'Putt Log'!$E$1:$V$1,0)
  ),
"")</f>
        <v>2</v>
      </c>
      <c r="P1187" t="str" cm="1">
        <f t="array" ref="P1187">IF(K1187=3,"",
  IFERROR(
    INDEX('Fairway Log'!$E$2:$V$73,
      MATCH(1,
        ('Fairway Log'!$A$2:$A$73=$A1187)*
        ('Fairway Log'!$B$2:$B$73=$B1187)*
        ('Fairway Log'!$C$2:$C1258=$C1187),
      0),
      MATCH($G1187,'Fairway Log'!$E$1:$V$1,0)
    ),
  "")
)</f>
        <v>←</v>
      </c>
      <c r="Q1187" cm="1">
        <f t="array" ref="Q1187">IFERROR(
  INDEX('GIR Log'!$E$2:$V$73,
    MATCH(1,
      ('GIR Log'!$A$2:$A$73=$A1187)*
      ('GIR Log'!$B$2:$B$73=$B1187)*
      ('GIR Log'!$C$2:$C$73=$C1187),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Log'!$E$2:$V$73,
    MATCH(1,
      ('Golf Log'!$A$2:$A$73=$A1188)*
      ('Golf Log'!$B$2:$B$73=$B1188)*
      ('Golf Log'!$C$2:$C$73=$C1188),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Log'!$E$2:$V$73,
    MATCH(1,
      ('Putt Log'!$A$2:$A$73=$A1188)*
      ('Putt Log'!$B$2:$B$73=$B1188)*
      ('Putt Log'!$C$2:$C$73=$C1188),
    0),
    MATCH($G1188,'Putt Log'!$E$1:$V$1,0)
  ),
"")</f>
        <v>2</v>
      </c>
      <c r="P1188" t="str" cm="1">
        <f t="array" ref="P1188">IF(K1188=3,"",
  IFERROR(
    INDEX('Fairway Log'!$E$2:$V$73,
      MATCH(1,
        ('Fairway Log'!$A$2:$A$73=$A1188)*
        ('Fairway Log'!$B$2:$B$73=$B1188)*
        ('Fairway Log'!$C$2:$C1259=$C1188),
      0),
      MATCH($G1188,'Fairway Log'!$E$1:$V$1,0)
    ),
  "")
)</f>
        <v/>
      </c>
      <c r="Q1188" cm="1">
        <f t="array" ref="Q1188">IFERROR(
  INDEX('GIR Log'!$E$2:$V$73,
    MATCH(1,
      ('GIR Log'!$A$2:$A$73=$A1188)*
      ('GIR Log'!$B$2:$B$73=$B1188)*
      ('GIR Log'!$C$2:$C$73=$C1188),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Log'!$E$2:$V$73,
    MATCH(1,
      ('Golf Log'!$A$2:$A$73=$A1189)*
      ('Golf Log'!$B$2:$B$73=$B1189)*
      ('Golf Log'!$C$2:$C$73=$C1189),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Log'!$E$2:$V$73,
    MATCH(1,
      ('Putt Log'!$A$2:$A$73=$A1189)*
      ('Putt Log'!$B$2:$B$73=$B1189)*
      ('Putt Log'!$C$2:$C$73=$C1189),
    0),
    MATCH($G1189,'Putt Log'!$E$1:$V$1,0)
  ),
"")</f>
        <v>2</v>
      </c>
      <c r="P1189" cm="1">
        <f t="array" ref="P1189">IF(K1189=3,"",
  IFERROR(
    INDEX('Fairway Log'!$E$2:$V$73,
      MATCH(1,
        ('Fairway Log'!$A$2:$A$73=$A1189)*
        ('Fairway Log'!$B$2:$B$73=$B1189)*
        ('Fairway Log'!$C$2:$C1260=$C1189),
      0),
      MATCH($G1189,'Fairway Log'!$E$1:$V$1,0)
    ),
  "")
)</f>
        <v>1</v>
      </c>
      <c r="Q1189" cm="1">
        <f t="array" ref="Q1189">IFERROR(
  INDEX('GIR Log'!$E$2:$V$73,
    MATCH(1,
      ('GIR Log'!$A$2:$A$73=$A1189)*
      ('GIR Log'!$B$2:$B$73=$B1189)*
      ('GIR Log'!$C$2:$C$73=$C1189),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Log'!$E$2:$V$73,
    MATCH(1,
      ('Golf Log'!$A$2:$A$73=$A1190)*
      ('Golf Log'!$B$2:$B$73=$B1190)*
      ('Golf Log'!$C$2:$C$73=$C1190),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Log'!$E$2:$V$73,
    MATCH(1,
      ('Putt Log'!$A$2:$A$73=$A1190)*
      ('Putt Log'!$B$2:$B$73=$B1190)*
      ('Putt Log'!$C$2:$C$73=$C1190),
    0),
    MATCH($G1190,'Putt Log'!$E$1:$V$1,0)
  ),
"")</f>
        <v>3</v>
      </c>
      <c r="P1190" t="str" cm="1">
        <f t="array" ref="P1190">IF(K1190=3,"",
  IFERROR(
    INDEX('Fairway Log'!$E$2:$V$73,
      MATCH(1,
        ('Fairway Log'!$A$2:$A$73=$A1190)*
        ('Fairway Log'!$B$2:$B$73=$B1190)*
        ('Fairway Log'!$C$2:$C1261=$C1190),
      0),
      MATCH($G1190,'Fairway Log'!$E$1:$V$1,0)
    ),
  "")
)</f>
        <v>↑</v>
      </c>
      <c r="Q1190" cm="1">
        <f t="array" ref="Q1190">IFERROR(
  INDEX('GIR Log'!$E$2:$V$73,
    MATCH(1,
      ('GIR Log'!$A$2:$A$73=$A1190)*
      ('GIR Log'!$B$2:$B$73=$B1190)*
      ('GIR Log'!$C$2:$C$73=$C1190),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Log'!$E$2:$V$73,
    MATCH(1,
      ('Golf Log'!$A$2:$A$73=$A1191)*
      ('Golf Log'!$B$2:$B$73=$B1191)*
      ('Golf Log'!$C$2:$C$73=$C1191),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Log'!$E$2:$V$73,
    MATCH(1,
      ('Putt Log'!$A$2:$A$73=$A1191)*
      ('Putt Log'!$B$2:$B$73=$B1191)*
      ('Putt Log'!$C$2:$C$73=$C1191),
    0),
    MATCH($G1191,'Putt Log'!$E$1:$V$1,0)
  ),
"")</f>
        <v>3</v>
      </c>
      <c r="P1191" t="str" cm="1">
        <f t="array" ref="P1191">IF(K1191=3,"",
  IFERROR(
    INDEX('Fairway Log'!$E$2:$V$73,
      MATCH(1,
        ('Fairway Log'!$A$2:$A$73=$A1191)*
        ('Fairway Log'!$B$2:$B$73=$B1191)*
        ('Fairway Log'!$C$2:$C1262=$C1191),
      0),
      MATCH($G1191,'Fairway Log'!$E$1:$V$1,0)
    ),
  "")
)</f>
        <v>↓</v>
      </c>
      <c r="Q1191" cm="1">
        <f t="array" ref="Q1191">IFERROR(
  INDEX('GIR Log'!$E$2:$V$73,
    MATCH(1,
      ('GIR Log'!$A$2:$A$73=$A1191)*
      ('GIR Log'!$B$2:$B$73=$B1191)*
      ('GIR Log'!$C$2:$C$73=$C1191),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Log'!$E$2:$V$73,
    MATCH(1,
      ('Golf Log'!$A$2:$A$73=$A1192)*
      ('Golf Log'!$B$2:$B$73=$B1192)*
      ('Golf Log'!$C$2:$C$73=$C1192),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Log'!$E$2:$V$73,
    MATCH(1,
      ('Putt Log'!$A$2:$A$73=$A1192)*
      ('Putt Log'!$B$2:$B$73=$B1192)*
      ('Putt Log'!$C$2:$C$73=$C1192),
    0),
    MATCH($G1192,'Putt Log'!$E$1:$V$1,0)
  ),
"")</f>
        <v>2</v>
      </c>
      <c r="P1192" t="str" cm="1">
        <f t="array" ref="P1192">IF(K1192=3,"",
  IFERROR(
    INDEX('Fairway Log'!$E$2:$V$73,
      MATCH(1,
        ('Fairway Log'!$A$2:$A$73=$A1192)*
        ('Fairway Log'!$B$2:$B$73=$B1192)*
        ('Fairway Log'!$C$2:$C1263=$C1192),
      0),
      MATCH($G1192,'Fairway Log'!$E$1:$V$1,0)
    ),
  "")
)</f>
        <v>←</v>
      </c>
      <c r="Q1192" cm="1">
        <f t="array" ref="Q1192">IFERROR(
  INDEX('GIR Log'!$E$2:$V$73,
    MATCH(1,
      ('GIR Log'!$A$2:$A$73=$A1192)*
      ('GIR Log'!$B$2:$B$73=$B1192)*
      ('GIR Log'!$C$2:$C$73=$C1192),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Log'!$E$2:$V$73,
    MATCH(1,
      ('Golf Log'!$A$2:$A$73=$A1193)*
      ('Golf Log'!$B$2:$B$73=$B1193)*
      ('Golf Log'!$C$2:$C$73=$C1193),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Log'!$E$2:$V$73,
    MATCH(1,
      ('Putt Log'!$A$2:$A$73=$A1193)*
      ('Putt Log'!$B$2:$B$73=$B1193)*
      ('Putt Log'!$C$2:$C$73=$C1193),
    0),
    MATCH($G1193,'Putt Log'!$E$1:$V$1,0)
  ),
"")</f>
        <v>1</v>
      </c>
      <c r="P1193" t="str" cm="1">
        <f t="array" ref="P1193">IF(K1193=3,"",
  IFERROR(
    INDEX('Fairway Log'!$E$2:$V$73,
      MATCH(1,
        ('Fairway Log'!$A$2:$A$73=$A1193)*
        ('Fairway Log'!$B$2:$B$73=$B1193)*
        ('Fairway Log'!$C$2:$C1264=$C1193),
      0),
      MATCH($G1193,'Fairway Log'!$E$1:$V$1,0)
    ),
  "")
)</f>
        <v/>
      </c>
      <c r="Q1193" cm="1">
        <f t="array" ref="Q1193">IFERROR(
  INDEX('GIR Log'!$E$2:$V$73,
    MATCH(1,
      ('GIR Log'!$A$2:$A$73=$A1193)*
      ('GIR Log'!$B$2:$B$73=$B1193)*
      ('GIR Log'!$C$2:$C$73=$C1193),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Log'!$E$2:$V$73,
    MATCH(1,
      ('Golf Log'!$A$2:$A$73=$A1194)*
      ('Golf Log'!$B$2:$B$73=$B1194)*
      ('Golf Log'!$C$2:$C$73=$C1194),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Log'!$E$2:$V$73,
    MATCH(1,
      ('Putt Log'!$A$2:$A$73=$A1194)*
      ('Putt Log'!$B$2:$B$73=$B1194)*
      ('Putt Log'!$C$2:$C$73=$C1194),
    0),
    MATCH($G1194,'Putt Log'!$E$1:$V$1,0)
  ),
"")</f>
        <v>3</v>
      </c>
      <c r="P1194" t="str" cm="1">
        <f t="array" ref="P1194">IF(K1194=3,"",
  IFERROR(
    INDEX('Fairway Log'!$E$2:$V$73,
      MATCH(1,
        ('Fairway Log'!$A$2:$A$73=$A1194)*
        ('Fairway Log'!$B$2:$B$73=$B1194)*
        ('Fairway Log'!$C$2:$C1265=$C1194),
      0),
      MATCH($G1194,'Fairway Log'!$E$1:$V$1,0)
    ),
  "")
)</f>
        <v>→</v>
      </c>
      <c r="Q1194" cm="1">
        <f t="array" ref="Q1194">IFERROR(
  INDEX('GIR Log'!$E$2:$V$73,
    MATCH(1,
      ('GIR Log'!$A$2:$A$73=$A1194)*
      ('GIR Log'!$B$2:$B$73=$B1194)*
      ('GIR Log'!$C$2:$C$73=$C1194),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Log'!$E$2:$V$73,
    MATCH(1,
      ('Golf Log'!$A$2:$A$73=$A1195)*
      ('Golf Log'!$B$2:$B$73=$B1195)*
      ('Golf Log'!$C$2:$C$73=$C1195),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Log'!$E$2:$V$73,
    MATCH(1,
      ('Putt Log'!$A$2:$A$73=$A1195)*
      ('Putt Log'!$B$2:$B$73=$B1195)*
      ('Putt Log'!$C$2:$C$73=$C1195),
    0),
    MATCH($G1195,'Putt Log'!$E$1:$V$1,0)
  ),
"")</f>
        <v>2</v>
      </c>
      <c r="P1195" cm="1">
        <f t="array" ref="P1195">IF(K1195=3,"",
  IFERROR(
    INDEX('Fairway Log'!$E$2:$V$73,
      MATCH(1,
        ('Fairway Log'!$A$2:$A$73=$A1195)*
        ('Fairway Log'!$B$2:$B$73=$B1195)*
        ('Fairway Log'!$C$2:$C1266=$C1195),
      0),
      MATCH($G1195,'Fairway Log'!$E$1:$V$1,0)
    ),
  "")
)</f>
        <v>1</v>
      </c>
      <c r="Q1195" cm="1">
        <f t="array" ref="Q1195">IFERROR(
  INDEX('GIR Log'!$E$2:$V$73,
    MATCH(1,
      ('GIR Log'!$A$2:$A$73=$A1195)*
      ('GIR Log'!$B$2:$B$73=$B1195)*
      ('GIR Log'!$C$2:$C$73=$C1195),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Log'!$E$2:$V$73,
    MATCH(1,
      ('Golf Log'!$A$2:$A$73=$A1196)*
      ('Golf Log'!$B$2:$B$73=$B1196)*
      ('Golf Log'!$C$2:$C$73=$C1196),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Log'!$E$2:$V$73,
    MATCH(1,
      ('Putt Log'!$A$2:$A$73=$A1196)*
      ('Putt Log'!$B$2:$B$73=$B1196)*
      ('Putt Log'!$C$2:$C$73=$C1196),
    0),
    MATCH($G1196,'Putt Log'!$E$1:$V$1,0)
  ),
"")</f>
        <v>2</v>
      </c>
      <c r="P1196" t="str" cm="1">
        <f t="array" ref="P1196">IF(K1196=3,"",
  IFERROR(
    INDEX('Fairway Log'!$E$2:$V$73,
      MATCH(1,
        ('Fairway Log'!$A$2:$A$73=$A1196)*
        ('Fairway Log'!$B$2:$B$73=$B1196)*
        ('Fairway Log'!$C$2:$C1267=$C1196),
      0),
      MATCH($G1196,'Fairway Log'!$E$1:$V$1,0)
    ),
  "")
)</f>
        <v/>
      </c>
      <c r="Q1196" cm="1">
        <f t="array" ref="Q1196">IFERROR(
  INDEX('GIR Log'!$E$2:$V$73,
    MATCH(1,
      ('GIR Log'!$A$2:$A$73=$A1196)*
      ('GIR Log'!$B$2:$B$73=$B1196)*
      ('GIR Log'!$C$2:$C$73=$C1196),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Log'!$E$2:$V$73,
    MATCH(1,
      ('Golf Log'!$A$2:$A$73=$A1197)*
      ('Golf Log'!$B$2:$B$73=$B1197)*
      ('Golf Log'!$C$2:$C$73=$C1197),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Log'!$E$2:$V$73,
    MATCH(1,
      ('Putt Log'!$A$2:$A$73=$A1197)*
      ('Putt Log'!$B$2:$B$73=$B1197)*
      ('Putt Log'!$C$2:$C$73=$C1197),
    0),
    MATCH($G1197,'Putt Log'!$E$1:$V$1,0)
  ),
"")</f>
        <v>2</v>
      </c>
      <c r="P1197" t="str" cm="1">
        <f t="array" ref="P1197">IF(K1197=3,"",
  IFERROR(
    INDEX('Fairway Log'!$E$2:$V$73,
      MATCH(1,
        ('Fairway Log'!$A$2:$A$73=$A1197)*
        ('Fairway Log'!$B$2:$B$73=$B1197)*
        ('Fairway Log'!$C$2:$C1268=$C1197),
      0),
      MATCH($G1197,'Fairway Log'!$E$1:$V$1,0)
    ),
  "")
)</f>
        <v>→</v>
      </c>
      <c r="Q1197" cm="1">
        <f t="array" ref="Q1197">IFERROR(
  INDEX('GIR Log'!$E$2:$V$73,
    MATCH(1,
      ('GIR Log'!$A$2:$A$73=$A1197)*
      ('GIR Log'!$B$2:$B$73=$B1197)*
      ('GIR Log'!$C$2:$C$73=$C1197),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Log'!$E$2:$V$73,
    MATCH(1,
      ('Golf Log'!$A$2:$A$73=$A1198)*
      ('Golf Log'!$B$2:$B$73=$B1198)*
      ('Golf Log'!$C$2:$C$73=$C1198),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Log'!$E$2:$V$73,
    MATCH(1,
      ('Putt Log'!$A$2:$A$73=$A1198)*
      ('Putt Log'!$B$2:$B$73=$B1198)*
      ('Putt Log'!$C$2:$C$73=$C1198),
    0),
    MATCH($G1198,'Putt Log'!$E$1:$V$1,0)
  ),
"")</f>
        <v>2</v>
      </c>
      <c r="P1198" cm="1">
        <f t="array" ref="P1198">IF(K1198=3,"",
  IFERROR(
    INDEX('Fairway Log'!$E$2:$V$73,
      MATCH(1,
        ('Fairway Log'!$A$2:$A$73=$A1198)*
        ('Fairway Log'!$B$2:$B$73=$B1198)*
        ('Fairway Log'!$C$2:$C1269=$C1198),
      0),
      MATCH($G1198,'Fairway Log'!$E$1:$V$1,0)
    ),
  "")
)</f>
        <v>1</v>
      </c>
      <c r="Q1198" cm="1">
        <f t="array" ref="Q1198">IFERROR(
  INDEX('GIR Log'!$E$2:$V$73,
    MATCH(1,
      ('GIR Log'!$A$2:$A$73=$A1198)*
      ('GIR Log'!$B$2:$B$73=$B1198)*
      ('GIR Log'!$C$2:$C$73=$C1198),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Log'!$E$2:$V$73,
    MATCH(1,
      ('Golf Log'!$A$2:$A$73=$A1199)*
      ('Golf Log'!$B$2:$B$73=$B1199)*
      ('Golf Log'!$C$2:$C$73=$C1199),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Log'!$E$2:$V$73,
    MATCH(1,
      ('Putt Log'!$A$2:$A$73=$A1199)*
      ('Putt Log'!$B$2:$B$73=$B1199)*
      ('Putt Log'!$C$2:$C$73=$C1199),
    0),
    MATCH($G1199,'Putt Log'!$E$1:$V$1,0)
  ),
"")</f>
        <v>2</v>
      </c>
      <c r="P1199" t="str" cm="1">
        <f t="array" ref="P1199">IF(K1199=3,"",
  IFERROR(
    INDEX('Fairway Log'!$E$2:$V$73,
      MATCH(1,
        ('Fairway Log'!$A$2:$A$73=$A1199)*
        ('Fairway Log'!$B$2:$B$73=$B1199)*
        ('Fairway Log'!$C$2:$C1270=$C1199),
      0),
      MATCH($G1199,'Fairway Log'!$E$1:$V$1,0)
    ),
  "")
)</f>
        <v>←</v>
      </c>
      <c r="Q1199" cm="1">
        <f t="array" ref="Q1199">IFERROR(
  INDEX('GIR Log'!$E$2:$V$73,
    MATCH(1,
      ('GIR Log'!$A$2:$A$73=$A1199)*
      ('GIR Log'!$B$2:$B$73=$B1199)*
      ('GIR Log'!$C$2:$C$73=$C1199),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Log'!$E$2:$V$73,
    MATCH(1,
      ('Golf Log'!$A$2:$A$73=$A1200)*
      ('Golf Log'!$B$2:$B$73=$B1200)*
      ('Golf Log'!$C$2:$C$73=$C1200),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Log'!$E$2:$V$73,
    MATCH(1,
      ('Putt Log'!$A$2:$A$73=$A1200)*
      ('Putt Log'!$B$2:$B$73=$B1200)*
      ('Putt Log'!$C$2:$C$73=$C1200),
    0),
    MATCH($G1200,'Putt Log'!$E$1:$V$1,0)
  ),
"")</f>
        <v>2</v>
      </c>
      <c r="P1200" t="str" cm="1">
        <f t="array" ref="P1200">IF(K1200=3,"",
  IFERROR(
    INDEX('Fairway Log'!$E$2:$V$73,
      MATCH(1,
        ('Fairway Log'!$A$2:$A$73=$A1200)*
        ('Fairway Log'!$B$2:$B$73=$B1200)*
        ('Fairway Log'!$C$2:$C1271=$C1200),
      0),
      MATCH($G1200,'Fairway Log'!$E$1:$V$1,0)
    ),
  "")
)</f>
        <v/>
      </c>
      <c r="Q1200" cm="1">
        <f t="array" ref="Q1200">IFERROR(
  INDEX('GIR Log'!$E$2:$V$73,
    MATCH(1,
      ('GIR Log'!$A$2:$A$73=$A1200)*
      ('GIR Log'!$B$2:$B$73=$B1200)*
      ('GIR Log'!$C$2:$C$73=$C1200),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Log'!$E$2:$V$73,
    MATCH(1,
      ('Golf Log'!$A$2:$A$73=$A1201)*
      ('Golf Log'!$B$2:$B$73=$B1201)*
      ('Golf Log'!$C$2:$C$73=$C1201),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Log'!$E$2:$V$73,
    MATCH(1,
      ('Putt Log'!$A$2:$A$73=$A1201)*
      ('Putt Log'!$B$2:$B$73=$B1201)*
      ('Putt Log'!$C$2:$C$73=$C1201),
    0),
    MATCH($G1201,'Putt Log'!$E$1:$V$1,0)
  ),
"")</f>
        <v>2</v>
      </c>
      <c r="P1201" t="str" cm="1">
        <f t="array" ref="P1201">IF(K1201=3,"",
  IFERROR(
    INDEX('Fairway Log'!$E$2:$V$73,
      MATCH(1,
        ('Fairway Log'!$A$2:$A$73=$A1201)*
        ('Fairway Log'!$B$2:$B$73=$B1201)*
        ('Fairway Log'!$C$2:$C1272=$C1201),
      0),
      MATCH($G1201,'Fairway Log'!$E$1:$V$1,0)
    ),
  "")
)</f>
        <v>→</v>
      </c>
      <c r="Q1201" cm="1">
        <f t="array" ref="Q1201">IFERROR(
  INDEX('GIR Log'!$E$2:$V$73,
    MATCH(1,
      ('GIR Log'!$A$2:$A$73=$A1201)*
      ('GIR Log'!$B$2:$B$73=$B1201)*
      ('GIR Log'!$C$2:$C$73=$C1201),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Log'!$E$2:$V$73,
    MATCH(1,
      ('Golf Log'!$A$2:$A$73=$A1202)*
      ('Golf Log'!$B$2:$B$73=$B1202)*
      ('Golf Log'!$C$2:$C$73=$C1202),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Log'!$E$2:$V$73,
    MATCH(1,
      ('Putt Log'!$A$2:$A$73=$A1202)*
      ('Putt Log'!$B$2:$B$73=$B1202)*
      ('Putt Log'!$C$2:$C$73=$C1202),
    0),
    MATCH($G1202,'Putt Log'!$E$1:$V$1,0)
  ),
"")</f>
        <v>2</v>
      </c>
      <c r="P1202" t="str" cm="1">
        <f t="array" ref="P1202">IF(K1202=3,"",
  IFERROR(
    INDEX('Fairway Log'!$E$2:$V$73,
      MATCH(1,
        ('Fairway Log'!$A$2:$A$73=$A1202)*
        ('Fairway Log'!$B$2:$B$73=$B1202)*
        ('Fairway Log'!$C$2:$C1273=$C1202),
      0),
      MATCH($G1202,'Fairway Log'!$E$1:$V$1,0)
    ),
  "")
)</f>
        <v>←</v>
      </c>
      <c r="Q1202" cm="1">
        <f t="array" ref="Q1202">IFERROR(
  INDEX('GIR Log'!$E$2:$V$73,
    MATCH(1,
      ('GIR Log'!$A$2:$A$73=$A1202)*
      ('GIR Log'!$B$2:$B$73=$B1202)*
      ('GIR Log'!$C$2:$C$73=$C1202),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Log'!$E$2:$V$73,
    MATCH(1,
      ('Golf Log'!$A$2:$A$73=$A1203)*
      ('Golf Log'!$B$2:$B$73=$B1203)*
      ('Golf Log'!$C$2:$C$73=$C1203),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Log'!$E$2:$V$73,
    MATCH(1,
      ('Putt Log'!$A$2:$A$73=$A1203)*
      ('Putt Log'!$B$2:$B$73=$B1203)*
      ('Putt Log'!$C$2:$C$73=$C1203),
    0),
    MATCH($G1203,'Putt Log'!$E$1:$V$1,0)
  ),
"")</f>
        <v>2</v>
      </c>
      <c r="P1203" t="str" cm="1">
        <f t="array" ref="P1203">IF(K1203=3,"",
  IFERROR(
    INDEX('Fairway Log'!$E$2:$V$73,
      MATCH(1,
        ('Fairway Log'!$A$2:$A$73=$A1203)*
        ('Fairway Log'!$B$2:$B$73=$B1203)*
        ('Fairway Log'!$C$2:$C1274=$C1203),
      0),
      MATCH($G1203,'Fairway Log'!$E$1:$V$1,0)
    ),
  "")
)</f>
        <v/>
      </c>
      <c r="Q1203" cm="1">
        <f t="array" ref="Q1203">IFERROR(
  INDEX('GIR Log'!$E$2:$V$73,
    MATCH(1,
      ('GIR Log'!$A$2:$A$73=$A1203)*
      ('GIR Log'!$B$2:$B$73=$B1203)*
      ('GIR Log'!$C$2:$C$73=$C1203),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Log'!$E$2:$V$73,
    MATCH(1,
      ('Golf Log'!$A$2:$A$73=$A1204)*
      ('Golf Log'!$B$2:$B$73=$B1204)*
      ('Golf Log'!$C$2:$C$73=$C1204),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Log'!$E$2:$V$73,
    MATCH(1,
      ('Putt Log'!$A$2:$A$73=$A1204)*
      ('Putt Log'!$B$2:$B$73=$B1204)*
      ('Putt Log'!$C$2:$C$73=$C1204),
    0),
    MATCH($G1204,'Putt Log'!$E$1:$V$1,0)
  ),
"")</f>
        <v>2</v>
      </c>
      <c r="P1204" t="str" cm="1">
        <f t="array" ref="P1204">IF(K1204=3,"",
  IFERROR(
    INDEX('Fairway Log'!$E$2:$V$73,
      MATCH(1,
        ('Fairway Log'!$A$2:$A$73=$A1204)*
        ('Fairway Log'!$B$2:$B$73=$B1204)*
        ('Fairway Log'!$C$2:$C1275=$C1204),
      0),
      MATCH($G1204,'Fairway Log'!$E$1:$V$1,0)
    ),
  "")
)</f>
        <v>→</v>
      </c>
      <c r="Q1204" cm="1">
        <f t="array" ref="Q1204">IFERROR(
  INDEX('GIR Log'!$E$2:$V$73,
    MATCH(1,
      ('GIR Log'!$A$2:$A$73=$A1204)*
      ('GIR Log'!$B$2:$B$73=$B1204)*
      ('GIR Log'!$C$2:$C$73=$C1204),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Log'!$E$2:$V$73,
    MATCH(1,
      ('Golf Log'!$A$2:$A$73=$A1205)*
      ('Golf Log'!$B$2:$B$73=$B1205)*
      ('Golf Log'!$C$2:$C$73=$C1205),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Log'!$E$2:$V$73,
    MATCH(1,
      ('Putt Log'!$A$2:$A$73=$A1205)*
      ('Putt Log'!$B$2:$B$73=$B1205)*
      ('Putt Log'!$C$2:$C$73=$C1205),
    0),
    MATCH($G1205,'Putt Log'!$E$1:$V$1,0)
  ),
"")</f>
        <v>2</v>
      </c>
      <c r="P1205" cm="1">
        <f t="array" ref="P1205">IF(K1205=3,"",
  IFERROR(
    INDEX('Fairway Log'!$E$2:$V$73,
      MATCH(1,
        ('Fairway Log'!$A$2:$A$73=$A1205)*
        ('Fairway Log'!$B$2:$B$73=$B1205)*
        ('Fairway Log'!$C$2:$C1276=$C1205),
      0),
      MATCH($G1205,'Fairway Log'!$E$1:$V$1,0)
    ),
  "")
)</f>
        <v>1</v>
      </c>
      <c r="Q1205" cm="1">
        <f t="array" ref="Q1205">IFERROR(
  INDEX('GIR Log'!$E$2:$V$73,
    MATCH(1,
      ('GIR Log'!$A$2:$A$73=$A1205)*
      ('GIR Log'!$B$2:$B$73=$B1205)*
      ('GIR Log'!$C$2:$C$73=$C1205),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Log'!$E$2:$V$73,
    MATCH(1,
      ('Golf Log'!$A$2:$A$73=$A1206)*
      ('Golf Log'!$B$2:$B$73=$B1206)*
      ('Golf Log'!$C$2:$C$73=$C1206),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Log'!$E$2:$V$73,
    MATCH(1,
      ('Putt Log'!$A$2:$A$73=$A1206)*
      ('Putt Log'!$B$2:$B$73=$B1206)*
      ('Putt Log'!$C$2:$C$73=$C1206),
    0),
    MATCH($G1206,'Putt Log'!$E$1:$V$1,0)
  ),
"")</f>
        <v>2</v>
      </c>
      <c r="P1206" t="str" cm="1">
        <f t="array" ref="P1206">IF(K1206=3,"",
  IFERROR(
    INDEX('Fairway Log'!$E$2:$V$73,
      MATCH(1,
        ('Fairway Log'!$A$2:$A$73=$A1206)*
        ('Fairway Log'!$B$2:$B$73=$B1206)*
        ('Fairway Log'!$C$2:$C1277=$C1206),
      0),
      MATCH($G1206,'Fairway Log'!$E$1:$V$1,0)
    ),
  "")
)</f>
        <v>→</v>
      </c>
      <c r="Q1206" cm="1">
        <f t="array" ref="Q1206">IFERROR(
  INDEX('GIR Log'!$E$2:$V$73,
    MATCH(1,
      ('GIR Log'!$A$2:$A$73=$A1206)*
      ('GIR Log'!$B$2:$B$73=$B1206)*
      ('GIR Log'!$C$2:$C$73=$C1206),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Log'!$E$2:$V$73,
    MATCH(1,
      ('Golf Log'!$A$2:$A$73=$A1207)*
      ('Golf Log'!$B$2:$B$73=$B1207)*
      ('Golf Log'!$C$2:$C$73=$C1207),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Log'!$E$2:$V$73,
    MATCH(1,
      ('Putt Log'!$A$2:$A$73=$A1207)*
      ('Putt Log'!$B$2:$B$73=$B1207)*
      ('Putt Log'!$C$2:$C$73=$C1207),
    0),
    MATCH($G1207,'Putt Log'!$E$1:$V$1,0)
  ),
"")</f>
        <v>2</v>
      </c>
      <c r="P1207" cm="1">
        <f t="array" ref="P1207">IF(K1207=3,"",
  IFERROR(
    INDEX('Fairway Log'!$E$2:$V$73,
      MATCH(1,
        ('Fairway Log'!$A$2:$A$73=$A1207)*
        ('Fairway Log'!$B$2:$B$73=$B1207)*
        ('Fairway Log'!$C$2:$C1278=$C1207),
      0),
      MATCH($G1207,'Fairway Log'!$E$1:$V$1,0)
    ),
  "")
)</f>
        <v>1</v>
      </c>
      <c r="Q1207" cm="1">
        <f t="array" ref="Q1207">IFERROR(
  INDEX('GIR Log'!$E$2:$V$73,
    MATCH(1,
      ('GIR Log'!$A$2:$A$73=$A1207)*
      ('GIR Log'!$B$2:$B$73=$B1207)*
      ('GIR Log'!$C$2:$C$73=$C1207),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Log'!$E$2:$V$73,
    MATCH(1,
      ('Golf Log'!$A$2:$A$73=$A1208)*
      ('Golf Log'!$B$2:$B$73=$B1208)*
      ('Golf Log'!$C$2:$C$73=$C1208),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Log'!$E$2:$V$73,
    MATCH(1,
      ('Putt Log'!$A$2:$A$73=$A1208)*
      ('Putt Log'!$B$2:$B$73=$B1208)*
      ('Putt Log'!$C$2:$C$73=$C1208),
    0),
    MATCH($G1208,'Putt Log'!$E$1:$V$1,0)
  ),
"")</f>
        <v>1</v>
      </c>
      <c r="P1208" cm="1">
        <f t="array" ref="P1208">IF(K1208=3,"",
  IFERROR(
    INDEX('Fairway Log'!$E$2:$V$73,
      MATCH(1,
        ('Fairway Log'!$A$2:$A$73=$A1208)*
        ('Fairway Log'!$B$2:$B$73=$B1208)*
        ('Fairway Log'!$C$2:$C1279=$C1208),
      0),
      MATCH($G1208,'Fairway Log'!$E$1:$V$1,0)
    ),
  "")
)</f>
        <v>1</v>
      </c>
      <c r="Q1208" t="str" cm="1">
        <f t="array" ref="Q1208">IFERROR(
  INDEX('GIR Log'!$E$2:$V$73,
    MATCH(1,
      ('GIR Log'!$A$2:$A$73=$A1208)*
      ('GIR Log'!$B$2:$B$73=$B1208)*
      ('GIR Log'!$C$2:$C$73=$C1208),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Log'!$E$2:$V$73,
    MATCH(1,
      ('Golf Log'!$A$2:$A$73=$A1209)*
      ('Golf Log'!$B$2:$B$73=$B1209)*
      ('Golf Log'!$C$2:$C$73=$C1209),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Log'!$E$2:$V$73,
    MATCH(1,
      ('Putt Log'!$A$2:$A$73=$A1209)*
      ('Putt Log'!$B$2:$B$73=$B1209)*
      ('Putt Log'!$C$2:$C$73=$C1209),
    0),
    MATCH($G1209,'Putt Log'!$E$1:$V$1,0)
  ),
"")</f>
        <v>2</v>
      </c>
      <c r="P1209" t="str" cm="1">
        <f t="array" ref="P1209">IF(K1209=3,"",
  IFERROR(
    INDEX('Fairway Log'!$E$2:$V$73,
      MATCH(1,
        ('Fairway Log'!$A$2:$A$73=$A1209)*
        ('Fairway Log'!$B$2:$B$73=$B1209)*
        ('Fairway Log'!$C$2:$C1280=$C1209),
      0),
      MATCH($G1209,'Fairway Log'!$E$1:$V$1,0)
    ),
  "")
)</f>
        <v>→</v>
      </c>
      <c r="Q1209" cm="1">
        <f t="array" ref="Q1209">IFERROR(
  INDEX('GIR Log'!$E$2:$V$73,
    MATCH(1,
      ('GIR Log'!$A$2:$A$73=$A1209)*
      ('GIR Log'!$B$2:$B$73=$B1209)*
      ('GIR Log'!$C$2:$C$73=$C1209),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Log'!$E$2:$V$73,
    MATCH(1,
      ('Golf Log'!$A$2:$A$73=$A1210)*
      ('Golf Log'!$B$2:$B$73=$B1210)*
      ('Golf Log'!$C$2:$C$73=$C1210),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Log'!$E$2:$V$73,
    MATCH(1,
      ('Putt Log'!$A$2:$A$73=$A1210)*
      ('Putt Log'!$B$2:$B$73=$B1210)*
      ('Putt Log'!$C$2:$C$73=$C1210),
    0),
    MATCH($G1210,'Putt Log'!$E$1:$V$1,0)
  ),
"")</f>
        <v>2</v>
      </c>
      <c r="P1210" t="str" cm="1">
        <f t="array" ref="P1210">IF(K1210=3,"",
  IFERROR(
    INDEX('Fairway Log'!$E$2:$V$73,
      MATCH(1,
        ('Fairway Log'!$A$2:$A$73=$A1210)*
        ('Fairway Log'!$B$2:$B$73=$B1210)*
        ('Fairway Log'!$C$2:$C1281=$C1210),
      0),
      MATCH($G1210,'Fairway Log'!$E$1:$V$1,0)
    ),
  "")
)</f>
        <v/>
      </c>
      <c r="Q1210" t="str" cm="1">
        <f t="array" ref="Q1210">IFERROR(
  INDEX('GIR Log'!$E$2:$V$73,
    MATCH(1,
      ('GIR Log'!$A$2:$A$73=$A1210)*
      ('GIR Log'!$B$2:$B$73=$B1210)*
      ('GIR Log'!$C$2:$C$73=$C1210),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Log'!$E$2:$V$73,
    MATCH(1,
      ('Golf Log'!$A$2:$A$73=$A1211)*
      ('Golf Log'!$B$2:$B$73=$B1211)*
      ('Golf Log'!$C$2:$C$73=$C1211),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Log'!$E$2:$V$73,
    MATCH(1,
      ('Putt Log'!$A$2:$A$73=$A1211)*
      ('Putt Log'!$B$2:$B$73=$B1211)*
      ('Putt Log'!$C$2:$C$73=$C1211),
    0),
    MATCH($G1211,'Putt Log'!$E$1:$V$1,0)
  ),
"")</f>
        <v>3</v>
      </c>
      <c r="P1211" t="str" cm="1">
        <f t="array" ref="P1211">IF(K1211=3,"",
  IFERROR(
    INDEX('Fairway Log'!$E$2:$V$73,
      MATCH(1,
        ('Fairway Log'!$A$2:$A$73=$A1211)*
        ('Fairway Log'!$B$2:$B$73=$B1211)*
        ('Fairway Log'!$C$2:$C1282=$C1211),
      0),
      MATCH($G1211,'Fairway Log'!$E$1:$V$1,0)
    ),
  "")
)</f>
        <v>→</v>
      </c>
      <c r="Q1211" cm="1">
        <f t="array" ref="Q1211">IFERROR(
  INDEX('GIR Log'!$E$2:$V$73,
    MATCH(1,
      ('GIR Log'!$A$2:$A$73=$A1211)*
      ('GIR Log'!$B$2:$B$73=$B1211)*
      ('GIR Log'!$C$2:$C$73=$C1211),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Log'!$E$2:$V$73,
    MATCH(1,
      ('Golf Log'!$A$2:$A$73=$A1212)*
      ('Golf Log'!$B$2:$B$73=$B1212)*
      ('Golf Log'!$C$2:$C$73=$C1212),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Log'!$E$2:$V$73,
    MATCH(1,
      ('Putt Log'!$A$2:$A$73=$A1212)*
      ('Putt Log'!$B$2:$B$73=$B1212)*
      ('Putt Log'!$C$2:$C$73=$C1212),
    0),
    MATCH($G1212,'Putt Log'!$E$1:$V$1,0)
  ),
"")</f>
        <v>2</v>
      </c>
      <c r="P1212" cm="1">
        <f t="array" ref="P1212">IF(K1212=3,"",
  IFERROR(
    INDEX('Fairway Log'!$E$2:$V$73,
      MATCH(1,
        ('Fairway Log'!$A$2:$A$73=$A1212)*
        ('Fairway Log'!$B$2:$B$73=$B1212)*
        ('Fairway Log'!$C$2:$C1283=$C1212),
      0),
      MATCH($G1212,'Fairway Log'!$E$1:$V$1,0)
    ),
  "")
)</f>
        <v>1</v>
      </c>
      <c r="Q1212" cm="1">
        <f t="array" ref="Q1212">IFERROR(
  INDEX('GIR Log'!$E$2:$V$73,
    MATCH(1,
      ('GIR Log'!$A$2:$A$73=$A1212)*
      ('GIR Log'!$B$2:$B$73=$B1212)*
      ('GIR Log'!$C$2:$C$73=$C1212),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Log'!$E$2:$V$73,
    MATCH(1,
      ('Golf Log'!$A$2:$A$73=$A1213)*
      ('Golf Log'!$B$2:$B$73=$B1213)*
      ('Golf Log'!$C$2:$C$73=$C1213),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Log'!$E$2:$V$73,
    MATCH(1,
      ('Putt Log'!$A$2:$A$73=$A1213)*
      ('Putt Log'!$B$2:$B$73=$B1213)*
      ('Putt Log'!$C$2:$C$73=$C1213),
    0),
    MATCH($G1213,'Putt Log'!$E$1:$V$1,0)
  ),
"")</f>
        <v>2</v>
      </c>
      <c r="P1213" t="str" cm="1">
        <f t="array" ref="P1213">IF(K1213=3,"",
  IFERROR(
    INDEX('Fairway Log'!$E$2:$V$73,
      MATCH(1,
        ('Fairway Log'!$A$2:$A$73=$A1213)*
        ('Fairway Log'!$B$2:$B$73=$B1213)*
        ('Fairway Log'!$C$2:$C1284=$C1213),
      0),
      MATCH($G1213,'Fairway Log'!$E$1:$V$1,0)
    ),
  "")
)</f>
        <v>→</v>
      </c>
      <c r="Q1213" t="str" cm="1">
        <f t="array" ref="Q1213">IFERROR(
  INDEX('GIR Log'!$E$2:$V$73,
    MATCH(1,
      ('GIR Log'!$A$2:$A$73=$A1213)*
      ('GIR Log'!$B$2:$B$73=$B1213)*
      ('GIR Log'!$C$2:$C$73=$C1213),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Log'!$E$2:$V$73,
    MATCH(1,
      ('Golf Log'!$A$2:$A$73=$A1214)*
      ('Golf Log'!$B$2:$B$73=$B1214)*
      ('Golf Log'!$C$2:$C$73=$C1214),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Log'!$E$2:$V$73,
    MATCH(1,
      ('Putt Log'!$A$2:$A$73=$A1214)*
      ('Putt Log'!$B$2:$B$73=$B1214)*
      ('Putt Log'!$C$2:$C$73=$C1214),
    0),
    MATCH($G1214,'Putt Log'!$E$1:$V$1,0)
  ),
"")</f>
        <v>2</v>
      </c>
      <c r="P1214" t="str" cm="1">
        <f t="array" ref="P1214">IF(K1214=3,"",
  IFERROR(
    INDEX('Fairway Log'!$E$2:$V$73,
      MATCH(1,
        ('Fairway Log'!$A$2:$A$73=$A1214)*
        ('Fairway Log'!$B$2:$B$73=$B1214)*
        ('Fairway Log'!$C$2:$C1285=$C1214),
      0),
      MATCH($G1214,'Fairway Log'!$E$1:$V$1,0)
    ),
  "")
)</f>
        <v/>
      </c>
      <c r="Q1214" cm="1">
        <f t="array" ref="Q1214">IFERROR(
  INDEX('GIR Log'!$E$2:$V$73,
    MATCH(1,
      ('GIR Log'!$A$2:$A$73=$A1214)*
      ('GIR Log'!$B$2:$B$73=$B1214)*
      ('GIR Log'!$C$2:$C$73=$C1214),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Log'!$E$2:$V$73,
    MATCH(1,
      ('Golf Log'!$A$2:$A$73=$A1215)*
      ('Golf Log'!$B$2:$B$73=$B1215)*
      ('Golf Log'!$C$2:$C$73=$C1215),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Log'!$E$2:$V$73,
    MATCH(1,
      ('Putt Log'!$A$2:$A$73=$A1215)*
      ('Putt Log'!$B$2:$B$73=$B1215)*
      ('Putt Log'!$C$2:$C$73=$C1215),
    0),
    MATCH($G1215,'Putt Log'!$E$1:$V$1,0)
  ),
"")</f>
        <v>2</v>
      </c>
      <c r="P1215" cm="1">
        <f t="array" ref="P1215">IF(K1215=3,"",
  IFERROR(
    INDEX('Fairway Log'!$E$2:$V$73,
      MATCH(1,
        ('Fairway Log'!$A$2:$A$73=$A1215)*
        ('Fairway Log'!$B$2:$B$73=$B1215)*
        ('Fairway Log'!$C$2:$C1286=$C1215),
      0),
      MATCH($G1215,'Fairway Log'!$E$1:$V$1,0)
    ),
  "")
)</f>
        <v>1</v>
      </c>
      <c r="Q1215" cm="1">
        <f t="array" ref="Q1215">IFERROR(
  INDEX('GIR Log'!$E$2:$V$73,
    MATCH(1,
      ('GIR Log'!$A$2:$A$73=$A1215)*
      ('GIR Log'!$B$2:$B$73=$B1215)*
      ('GIR Log'!$C$2:$C$73=$C1215),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Log'!$E$2:$V$73,
    MATCH(1,
      ('Golf Log'!$A$2:$A$73=$A1216)*
      ('Golf Log'!$B$2:$B$73=$B1216)*
      ('Golf Log'!$C$2:$C$73=$C1216),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Log'!$E$2:$V$73,
    MATCH(1,
      ('Putt Log'!$A$2:$A$73=$A1216)*
      ('Putt Log'!$B$2:$B$73=$B1216)*
      ('Putt Log'!$C$2:$C$73=$C1216),
    0),
    MATCH($G1216,'Putt Log'!$E$1:$V$1,0)
  ),
"")</f>
        <v>2</v>
      </c>
      <c r="P1216" t="str" cm="1">
        <f t="array" ref="P1216">IF(K1216=3,"",
  IFERROR(
    INDEX('Fairway Log'!$E$2:$V$73,
      MATCH(1,
        ('Fairway Log'!$A$2:$A$73=$A1216)*
        ('Fairway Log'!$B$2:$B$73=$B1216)*
        ('Fairway Log'!$C$2:$C1287=$C1216),
      0),
      MATCH($G1216,'Fairway Log'!$E$1:$V$1,0)
    ),
  "")
)</f>
        <v>→</v>
      </c>
      <c r="Q1216" t="str" cm="1">
        <f t="array" ref="Q1216">IFERROR(
  INDEX('GIR Log'!$E$2:$V$73,
    MATCH(1,
      ('GIR Log'!$A$2:$A$73=$A1216)*
      ('GIR Log'!$B$2:$B$73=$B1216)*
      ('GIR Log'!$C$2:$C$73=$C1216),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Log'!$E$2:$V$73,
    MATCH(1,
      ('Golf Log'!$A$2:$A$73=$A1217)*
      ('Golf Log'!$B$2:$B$73=$B1217)*
      ('Golf Log'!$C$2:$C$73=$C1217),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Log'!$E$2:$V$73,
    MATCH(1,
      ('Putt Log'!$A$2:$A$73=$A1217)*
      ('Putt Log'!$B$2:$B$73=$B1217)*
      ('Putt Log'!$C$2:$C$73=$C1217),
    0),
    MATCH($G1217,'Putt Log'!$E$1:$V$1,0)
  ),
"")</f>
        <v>2</v>
      </c>
      <c r="P1217" t="str" cm="1">
        <f t="array" ref="P1217">IF(K1217=3,"",
  IFERROR(
    INDEX('Fairway Log'!$E$2:$V$73,
      MATCH(1,
        ('Fairway Log'!$A$2:$A$73=$A1217)*
        ('Fairway Log'!$B$2:$B$73=$B1217)*
        ('Fairway Log'!$C$2:$C1288=$C1217),
      0),
      MATCH($G1217,'Fairway Log'!$E$1:$V$1,0)
    ),
  "")
)</f>
        <v>→</v>
      </c>
      <c r="Q1217" cm="1">
        <f t="array" ref="Q1217">IFERROR(
  INDEX('GIR Log'!$E$2:$V$73,
    MATCH(1,
      ('GIR Log'!$A$2:$A$73=$A1217)*
      ('GIR Log'!$B$2:$B$73=$B1217)*
      ('GIR Log'!$C$2:$C$73=$C1217),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Log'!$E$2:$V$73,
    MATCH(1,
      ('Golf Log'!$A$2:$A$73=$A1218)*
      ('Golf Log'!$B$2:$B$73=$B1218)*
      ('Golf Log'!$C$2:$C$73=$C1218),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Log'!$E$2:$V$73,
    MATCH(1,
      ('Putt Log'!$A$2:$A$73=$A1218)*
      ('Putt Log'!$B$2:$B$73=$B1218)*
      ('Putt Log'!$C$2:$C$73=$C1218),
    0),
    MATCH($G1218,'Putt Log'!$E$1:$V$1,0)
  ),
"")</f>
        <v>1</v>
      </c>
      <c r="P1218" t="str" cm="1">
        <f t="array" ref="P1218">IF(K1218=3,"",
  IFERROR(
    INDEX('Fairway Log'!$E$2:$V$73,
      MATCH(1,
        ('Fairway Log'!$A$2:$A$73=$A1218)*
        ('Fairway Log'!$B$2:$B$73=$B1218)*
        ('Fairway Log'!$C$2:$C1289=$C1218),
      0),
      MATCH($G1218,'Fairway Log'!$E$1:$V$1,0)
    ),
  "")
)</f>
        <v/>
      </c>
      <c r="Q1218" cm="1">
        <f t="array" ref="Q1218">IFERROR(
  INDEX('GIR Log'!$E$2:$V$73,
    MATCH(1,
      ('GIR Log'!$A$2:$A$73=$A1218)*
      ('GIR Log'!$B$2:$B$73=$B1218)*
      ('GIR Log'!$C$2:$C$73=$C1218),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Log'!$E$2:$V$73,
    MATCH(1,
      ('Golf Log'!$A$2:$A$73=$A1219)*
      ('Golf Log'!$B$2:$B$73=$B1219)*
      ('Golf Log'!$C$2:$C$73=$C1219),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Log'!$E$2:$V$73,
    MATCH(1,
      ('Putt Log'!$A$2:$A$73=$A1219)*
      ('Putt Log'!$B$2:$B$73=$B1219)*
      ('Putt Log'!$C$2:$C$73=$C1219),
    0),
    MATCH($G1219,'Putt Log'!$E$1:$V$1,0)
  ),
"")</f>
        <v>2</v>
      </c>
      <c r="P1219" t="str" cm="1">
        <f t="array" ref="P1219">IF(K1219=3,"",
  IFERROR(
    INDEX('Fairway Log'!$E$2:$V$73,
      MATCH(1,
        ('Fairway Log'!$A$2:$A$73=$A1219)*
        ('Fairway Log'!$B$2:$B$73=$B1219)*
        ('Fairway Log'!$C$2:$C1290=$C1219),
      0),
      MATCH($G1219,'Fairway Log'!$E$1:$V$1,0)
    ),
  "")
)</f>
        <v>→</v>
      </c>
      <c r="Q1219" t="str" cm="1">
        <f t="array" ref="Q1219">IFERROR(
  INDEX('GIR Log'!$E$2:$V$73,
    MATCH(1,
      ('GIR Log'!$A$2:$A$73=$A1219)*
      ('GIR Log'!$B$2:$B$73=$B1219)*
      ('GIR Log'!$C$2:$C$73=$C1219),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Log'!$E$2:$V$73,
    MATCH(1,
      ('Golf Log'!$A$2:$A$73=$A1220)*
      ('Golf Log'!$B$2:$B$73=$B1220)*
      ('Golf Log'!$C$2:$C$73=$C1220),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Log'!$E$2:$V$73,
    MATCH(1,
      ('Putt Log'!$A$2:$A$73=$A1220)*
      ('Putt Log'!$B$2:$B$73=$B1220)*
      ('Putt Log'!$C$2:$C$73=$C1220),
    0),
    MATCH($G1220,'Putt Log'!$E$1:$V$1,0)
  ),
"")</f>
        <v>2</v>
      </c>
      <c r="P1220" cm="1">
        <f t="array" ref="P1220">IF(K1220=3,"",
  IFERROR(
    INDEX('Fairway Log'!$E$2:$V$73,
      MATCH(1,
        ('Fairway Log'!$A$2:$A$73=$A1220)*
        ('Fairway Log'!$B$2:$B$73=$B1220)*
        ('Fairway Log'!$C$2:$C1291=$C1220),
      0),
      MATCH($G1220,'Fairway Log'!$E$1:$V$1,0)
    ),
  "")
)</f>
        <v>1</v>
      </c>
      <c r="Q1220" cm="1">
        <f t="array" ref="Q1220">IFERROR(
  INDEX('GIR Log'!$E$2:$V$73,
    MATCH(1,
      ('GIR Log'!$A$2:$A$73=$A1220)*
      ('GIR Log'!$B$2:$B$73=$B1220)*
      ('GIR Log'!$C$2:$C$73=$C1220),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Log'!$E$2:$V$73,
    MATCH(1,
      ('Golf Log'!$A$2:$A$73=$A1221)*
      ('Golf Log'!$B$2:$B$73=$B1221)*
      ('Golf Log'!$C$2:$C$73=$C1221),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Log'!$E$2:$V$73,
    MATCH(1,
      ('Putt Log'!$A$2:$A$73=$A1221)*
      ('Putt Log'!$B$2:$B$73=$B1221)*
      ('Putt Log'!$C$2:$C$73=$C1221),
    0),
    MATCH($G1221,'Putt Log'!$E$1:$V$1,0)
  ),
"")</f>
        <v>1</v>
      </c>
      <c r="P1221" cm="1">
        <f t="array" ref="P1221">IF(K1221=3,"",
  IFERROR(
    INDEX('Fairway Log'!$E$2:$V$73,
      MATCH(1,
        ('Fairway Log'!$A$2:$A$73=$A1221)*
        ('Fairway Log'!$B$2:$B$73=$B1221)*
        ('Fairway Log'!$C$2:$C1292=$C1221),
      0),
      MATCH($G1221,'Fairway Log'!$E$1:$V$1,0)
    ),
  "")
)</f>
        <v>1</v>
      </c>
      <c r="Q1221" t="str" cm="1">
        <f t="array" ref="Q1221">IFERROR(
  INDEX('GIR Log'!$E$2:$V$73,
    MATCH(1,
      ('GIR Log'!$A$2:$A$73=$A1221)*
      ('GIR Log'!$B$2:$B$73=$B1221)*
      ('GIR Log'!$C$2:$C$73=$C1221),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Log'!$E$2:$V$73,
    MATCH(1,
      ('Golf Log'!$A$2:$A$73=$A1222)*
      ('Golf Log'!$B$2:$B$73=$B1222)*
      ('Golf Log'!$C$2:$C$73=$C1222),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Log'!$E$2:$V$73,
    MATCH(1,
      ('Putt Log'!$A$2:$A$73=$A1222)*
      ('Putt Log'!$B$2:$B$73=$B1222)*
      ('Putt Log'!$C$2:$C$73=$C1222),
    0),
    MATCH($G1222,'Putt Log'!$E$1:$V$1,0)
  ),
"")</f>
        <v>2</v>
      </c>
      <c r="P1222" t="str" cm="1">
        <f t="array" ref="P1222">IF(K1222=3,"",
  IFERROR(
    INDEX('Fairway Log'!$E$2:$V$73,
      MATCH(1,
        ('Fairway Log'!$A$2:$A$73=$A1222)*
        ('Fairway Log'!$B$2:$B$73=$B1222)*
        ('Fairway Log'!$C$2:$C1293=$C1222),
      0),
      MATCH($G1222,'Fairway Log'!$E$1:$V$1,0)
    ),
  "")
)</f>
        <v>→</v>
      </c>
      <c r="Q1222" t="str" cm="1">
        <f t="array" ref="Q1222">IFERROR(
  INDEX('GIR Log'!$E$2:$V$73,
    MATCH(1,
      ('GIR Log'!$A$2:$A$73=$A1222)*
      ('GIR Log'!$B$2:$B$73=$B1222)*
      ('GIR Log'!$C$2:$C$73=$C1222),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Log'!$E$2:$V$73,
    MATCH(1,
      ('Golf Log'!$A$2:$A$73=$A1223)*
      ('Golf Log'!$B$2:$B$73=$B1223)*
      ('Golf Log'!$C$2:$C$73=$C1223),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Log'!$E$2:$V$73,
    MATCH(1,
      ('Putt Log'!$A$2:$A$73=$A1223)*
      ('Putt Log'!$B$2:$B$73=$B1223)*
      ('Putt Log'!$C$2:$C$73=$C1223),
    0),
    MATCH($G1223,'Putt Log'!$E$1:$V$1,0)
  ),
"")</f>
        <v>2</v>
      </c>
      <c r="P1223" t="str" cm="1">
        <f t="array" ref="P1223">IF(K1223=3,"",
  IFERROR(
    INDEX('Fairway Log'!$E$2:$V$73,
      MATCH(1,
        ('Fairway Log'!$A$2:$A$73=$A1223)*
        ('Fairway Log'!$B$2:$B$73=$B1223)*
        ('Fairway Log'!$C$2:$C1294=$C1223),
      0),
      MATCH($G1223,'Fairway Log'!$E$1:$V$1,0)
    ),
  "")
)</f>
        <v>←</v>
      </c>
      <c r="Q1223" t="str" cm="1">
        <f t="array" ref="Q1223">IFERROR(
  INDEX('GIR Log'!$E$2:$V$73,
    MATCH(1,
      ('GIR Log'!$A$2:$A$73=$A1223)*
      ('GIR Log'!$B$2:$B$73=$B1223)*
      ('GIR Log'!$C$2:$C$73=$C1223),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Log'!$E$2:$V$73,
    MATCH(1,
      ('Golf Log'!$A$2:$A$73=$A1224)*
      ('Golf Log'!$B$2:$B$73=$B1224)*
      ('Golf Log'!$C$2:$C$73=$C1224),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Log'!$E$2:$V$73,
    MATCH(1,
      ('Putt Log'!$A$2:$A$73=$A1224)*
      ('Putt Log'!$B$2:$B$73=$B1224)*
      ('Putt Log'!$C$2:$C$73=$C1224),
    0),
    MATCH($G1224,'Putt Log'!$E$1:$V$1,0)
  ),
"")</f>
        <v>2</v>
      </c>
      <c r="P1224" t="str" cm="1">
        <f t="array" ref="P1224">IF(K1224=3,"",
  IFERROR(
    INDEX('Fairway Log'!$E$2:$V$73,
      MATCH(1,
        ('Fairway Log'!$A$2:$A$73=$A1224)*
        ('Fairway Log'!$B$2:$B$73=$B1224)*
        ('Fairway Log'!$C$2:$C1295=$C1224),
      0),
      MATCH($G1224,'Fairway Log'!$E$1:$V$1,0)
    ),
  "")
)</f>
        <v/>
      </c>
      <c r="Q1224" t="str" cm="1">
        <f t="array" ref="Q1224">IFERROR(
  INDEX('GIR Log'!$E$2:$V$73,
    MATCH(1,
      ('GIR Log'!$A$2:$A$73=$A1224)*
      ('GIR Log'!$B$2:$B$73=$B1224)*
      ('GIR Log'!$C$2:$C$73=$C1224),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Log'!$E$2:$V$73,
    MATCH(1,
      ('Golf Log'!$A$2:$A$73=$A1225)*
      ('Golf Log'!$B$2:$B$73=$B1225)*
      ('Golf Log'!$C$2:$C$73=$C1225),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Log'!$E$2:$V$73,
    MATCH(1,
      ('Putt Log'!$A$2:$A$73=$A1225)*
      ('Putt Log'!$B$2:$B$73=$B1225)*
      ('Putt Log'!$C$2:$C$73=$C1225),
    0),
    MATCH($G1225,'Putt Log'!$E$1:$V$1,0)
  ),
"")</f>
        <v>2</v>
      </c>
      <c r="P1225" t="str" cm="1">
        <f t="array" ref="P1225">IF(K1225=3,"",
  IFERROR(
    INDEX('Fairway Log'!$E$2:$V$73,
      MATCH(1,
        ('Fairway Log'!$A$2:$A$73=$A1225)*
        ('Fairway Log'!$B$2:$B$73=$B1225)*
        ('Fairway Log'!$C$2:$C1296=$C1225),
      0),
      MATCH($G1225,'Fairway Log'!$E$1:$V$1,0)
    ),
  "")
)</f>
        <v>→</v>
      </c>
      <c r="Q1225" t="str" cm="1">
        <f t="array" ref="Q1225">IFERROR(
  INDEX('GIR Log'!$E$2:$V$73,
    MATCH(1,
      ('GIR Log'!$A$2:$A$73=$A1225)*
      ('GIR Log'!$B$2:$B$73=$B1225)*
      ('GIR Log'!$C$2:$C$73=$C1225),
    0),
    MATCH($G1225,'GIR Log'!$E$1:$V$1,0)
  ),
"")</f>
        <v>↓</v>
      </c>
    </row>
    <row r="1226" spans="1:17" x14ac:dyDescent="0.25">
      <c r="A1226" s="92" t="s">
        <v>126</v>
      </c>
      <c r="B1226" s="2">
        <v>46164</v>
      </c>
      <c r="C1226" s="107" t="s">
        <v>6</v>
      </c>
      <c r="D1226" s="107" t="s">
        <v>75</v>
      </c>
      <c r="E1226" s="107" t="s">
        <v>36</v>
      </c>
      <c r="F1226">
        <v>89</v>
      </c>
      <c r="G1226" s="12" t="s">
        <v>47</v>
      </c>
      <c r="H1226" s="9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Log'!$E$2:$V$73,
    MATCH(1,
      ('Golf Log'!$A$2:$A$73=$A1226)*
      ('Golf Log'!$B$2:$B$73=$B1226)*
      ('Golf Log'!$C$2:$C$73=$C1226),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Log'!$E$2:$V$73,
    MATCH(1,
      ('Putt Log'!$A$2:$A$73=$A1226)*
      ('Putt Log'!$B$2:$B$73=$B1226)*
      ('Putt Log'!$C$2:$C$73=$C1226),
    0),
    MATCH($G1226,'Putt Log'!$E$1:$V$1,0)
  ),
"")</f>
        <v>2</v>
      </c>
      <c r="P1226" cm="1">
        <f t="array" ref="P1226">IF(K1226=3,"",
  IFERROR(
    INDEX('Fairway Log'!$E$2:$V$73,
      MATCH(1,
        ('Fairway Log'!$A$2:$A$73=$A1226)*
        ('Fairway Log'!$B$2:$B$73=$B1226)*
        ('Fairway Log'!$C$2:$C1297=$C1226),
      0),
      MATCH($G1226,'Fairway Log'!$E$1:$V$1,0)
    ),
  "")
)</f>
        <v>1</v>
      </c>
      <c r="Q1226" cm="1">
        <f t="array" ref="Q1226">IFERROR(
  INDEX('GIR Log'!$E$2:$V$73,
    MATCH(1,
      ('GIR Log'!$A$2:$A$73=$A1226)*
      ('GIR Log'!$B$2:$B$73=$B1226)*
      ('GIR Log'!$C$2:$C$73=$C1226),
    0),
    MATCH($G1226,'GIR Log'!$E$1:$V$1,0)
  ),
"")</f>
        <v>1</v>
      </c>
    </row>
    <row r="1227" spans="1:17" x14ac:dyDescent="0.25">
      <c r="A1227" s="92" t="s">
        <v>126</v>
      </c>
      <c r="B1227" s="2">
        <v>46164</v>
      </c>
      <c r="C1227" s="107" t="s">
        <v>6</v>
      </c>
      <c r="D1227" s="107" t="s">
        <v>75</v>
      </c>
      <c r="E1227" s="107" t="s">
        <v>36</v>
      </c>
      <c r="F1227">
        <v>89</v>
      </c>
      <c r="G1227" s="12" t="s">
        <v>48</v>
      </c>
      <c r="H1227" s="9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Log'!$E$2:$V$73,
    MATCH(1,
      ('Golf Log'!$A$2:$A$73=$A1227)*
      ('Golf Log'!$B$2:$B$73=$B1227)*
      ('Golf Log'!$C$2:$C$73=$C1227),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Log'!$E$2:$V$73,
    MATCH(1,
      ('Putt Log'!$A$2:$A$73=$A1227)*
      ('Putt Log'!$B$2:$B$73=$B1227)*
      ('Putt Log'!$C$2:$C$73=$C1227),
    0),
    MATCH($G1227,'Putt Log'!$E$1:$V$1,0)
  ),
"")</f>
        <v>2</v>
      </c>
      <c r="P1227" cm="1">
        <f t="array" ref="P1227">IF(K1227=3,"",
  IFERROR(
    INDEX('Fairway Log'!$E$2:$V$73,
      MATCH(1,
        ('Fairway Log'!$A$2:$A$73=$A1227)*
        ('Fairway Log'!$B$2:$B$73=$B1227)*
        ('Fairway Log'!$C$2:$C1298=$C1227),
      0),
      MATCH($G1227,'Fairway Log'!$E$1:$V$1,0)
    ),
  "")
)</f>
        <v>1</v>
      </c>
      <c r="Q1227" t="str" cm="1">
        <f t="array" ref="Q1227">IFERROR(
  INDEX('GIR Log'!$E$2:$V$73,
    MATCH(1,
      ('GIR Log'!$A$2:$A$73=$A1227)*
      ('GIR Log'!$B$2:$B$73=$B1227)*
      ('GIR Log'!$C$2:$C$73=$C1227),
    0),
    MATCH($G1227,'GIR Log'!$E$1:$V$1,0)
  ),
"")</f>
        <v>↓</v>
      </c>
    </row>
    <row r="1228" spans="1:17" x14ac:dyDescent="0.25">
      <c r="A1228" s="92" t="s">
        <v>126</v>
      </c>
      <c r="B1228" s="2">
        <v>46164</v>
      </c>
      <c r="C1228" s="107" t="s">
        <v>6</v>
      </c>
      <c r="D1228" s="107" t="s">
        <v>75</v>
      </c>
      <c r="E1228" s="107" t="s">
        <v>36</v>
      </c>
      <c r="F1228">
        <v>89</v>
      </c>
      <c r="G1228" s="12" t="s">
        <v>49</v>
      </c>
      <c r="H1228" s="9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Log'!$E$2:$V$73,
    MATCH(1,
      ('Golf Log'!$A$2:$A$73=$A1228)*
      ('Golf Log'!$B$2:$B$73=$B1228)*
      ('Golf Log'!$C$2:$C$73=$C1228),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Log'!$E$2:$V$73,
    MATCH(1,
      ('Putt Log'!$A$2:$A$73=$A1228)*
      ('Putt Log'!$B$2:$B$73=$B1228)*
      ('Putt Log'!$C$2:$C$73=$C1228),
    0),
    MATCH($G1228,'Putt Log'!$E$1:$V$1,0)
  ),
"")</f>
        <v>2</v>
      </c>
      <c r="P1228" t="str" cm="1">
        <f t="array" ref="P1228">IF(K1228=3,"",
  IFERROR(
    INDEX('Fairway Log'!$E$2:$V$73,
      MATCH(1,
        ('Fairway Log'!$A$2:$A$73=$A1228)*
        ('Fairway Log'!$B$2:$B$73=$B1228)*
        ('Fairway Log'!$C$2:$C1299=$C1228),
      0),
      MATCH($G1228,'Fairway Log'!$E$1:$V$1,0)
    ),
  "")
)</f>
        <v/>
      </c>
      <c r="Q1228" t="str" cm="1">
        <f t="array" ref="Q1228">IFERROR(
  INDEX('GIR Log'!$E$2:$V$73,
    MATCH(1,
      ('GIR Log'!$A$2:$A$73=$A1228)*
      ('GIR Log'!$B$2:$B$73=$B1228)*
      ('GIR Log'!$C$2:$C$73=$C1228),
    0),
    MATCH($G1228,'GIR Log'!$E$1:$V$1,0)
  ),
"")</f>
        <v>↑</v>
      </c>
    </row>
    <row r="1229" spans="1:17" x14ac:dyDescent="0.25">
      <c r="A1229" s="92" t="s">
        <v>126</v>
      </c>
      <c r="B1229" s="2">
        <v>46164</v>
      </c>
      <c r="C1229" s="107" t="s">
        <v>6</v>
      </c>
      <c r="D1229" s="107" t="s">
        <v>75</v>
      </c>
      <c r="E1229" s="107" t="s">
        <v>36</v>
      </c>
      <c r="F1229">
        <v>89</v>
      </c>
      <c r="G1229" s="12" t="s">
        <v>50</v>
      </c>
      <c r="H1229" s="9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Log'!$E$2:$V$73,
    MATCH(1,
      ('Golf Log'!$A$2:$A$73=$A1229)*
      ('Golf Log'!$B$2:$B$73=$B1229)*
      ('Golf Log'!$C$2:$C$73=$C1229),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Log'!$E$2:$V$73,
    MATCH(1,
      ('Putt Log'!$A$2:$A$73=$A1229)*
      ('Putt Log'!$B$2:$B$73=$B1229)*
      ('Putt Log'!$C$2:$C$73=$C1229),
    0),
    MATCH($G1229,'Putt Log'!$E$1:$V$1,0)
  ),
"")</f>
        <v>1</v>
      </c>
      <c r="P1229" cm="1">
        <f t="array" ref="P1229">IF(K1229=3,"",
  IFERROR(
    INDEX('Fairway Log'!$E$2:$V$73,
      MATCH(1,
        ('Fairway Log'!$A$2:$A$73=$A1229)*
        ('Fairway Log'!$B$2:$B$73=$B1229)*
        ('Fairway Log'!$C$2:$C1300=$C1229),
      0),
      MATCH($G1229,'Fairway Log'!$E$1:$V$1,0)
    ),
  "")
)</f>
        <v>1</v>
      </c>
      <c r="Q1229" t="str" cm="1">
        <f t="array" ref="Q1229">IFERROR(
  INDEX('GIR Log'!$E$2:$V$73,
    MATCH(1,
      ('GIR Log'!$A$2:$A$73=$A1229)*
      ('GIR Log'!$B$2:$B$73=$B1229)*
      ('GIR Log'!$C$2:$C$73=$C1229),
    0),
    MATCH($G1229,'GIR Log'!$E$1:$V$1,0)
  ),
"")</f>
        <v>↓</v>
      </c>
    </row>
    <row r="1230" spans="1:17" x14ac:dyDescent="0.25">
      <c r="A1230" s="92" t="s">
        <v>126</v>
      </c>
      <c r="B1230" s="2">
        <v>46164</v>
      </c>
      <c r="C1230" s="107" t="s">
        <v>6</v>
      </c>
      <c r="D1230" s="107" t="s">
        <v>75</v>
      </c>
      <c r="E1230" s="107" t="s">
        <v>36</v>
      </c>
      <c r="F1230">
        <v>89</v>
      </c>
      <c r="G1230" s="12" t="s">
        <v>51</v>
      </c>
      <c r="H1230" s="9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Log'!$E$2:$V$73,
    MATCH(1,
      ('Golf Log'!$A$2:$A$73=$A1230)*
      ('Golf Log'!$B$2:$B$73=$B1230)*
      ('Golf Log'!$C$2:$C$73=$C1230),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Log'!$E$2:$V$73,
    MATCH(1,
      ('Putt Log'!$A$2:$A$73=$A1230)*
      ('Putt Log'!$B$2:$B$73=$B1230)*
      ('Putt Log'!$C$2:$C$73=$C1230),
    0),
    MATCH($G1230,'Putt Log'!$E$1:$V$1,0)
  ),
"")</f>
        <v>2</v>
      </c>
      <c r="P1230" t="str" cm="1">
        <f t="array" ref="P1230">IF(K1230=3,"",
  IFERROR(
    INDEX('Fairway Log'!$E$2:$V$73,
      MATCH(1,
        ('Fairway Log'!$A$2:$A$73=$A1230)*
        ('Fairway Log'!$B$2:$B$73=$B1230)*
        ('Fairway Log'!$C$2:$C1301=$C1230),
      0),
      MATCH($G1230,'Fairway Log'!$E$1:$V$1,0)
    ),
  "")
)</f>
        <v/>
      </c>
      <c r="Q1230" t="str" cm="1">
        <f t="array" ref="Q1230">IFERROR(
  INDEX('GIR Log'!$E$2:$V$73,
    MATCH(1,
      ('GIR Log'!$A$2:$A$73=$A1230)*
      ('GIR Log'!$B$2:$B$73=$B1230)*
      ('GIR Log'!$C$2:$C$73=$C1230),
    0),
    MATCH($G1230,'GIR Log'!$E$1:$V$1,0)
  ),
"")</f>
        <v>↑</v>
      </c>
    </row>
    <row r="1231" spans="1:17" x14ac:dyDescent="0.25">
      <c r="A1231" s="92" t="s">
        <v>126</v>
      </c>
      <c r="B1231" s="2">
        <v>46164</v>
      </c>
      <c r="C1231" s="107" t="s">
        <v>6</v>
      </c>
      <c r="D1231" s="107" t="s">
        <v>75</v>
      </c>
      <c r="E1231" s="107" t="s">
        <v>36</v>
      </c>
      <c r="F1231">
        <v>89</v>
      </c>
      <c r="G1231" s="12" t="s">
        <v>52</v>
      </c>
      <c r="H1231" s="9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Log'!$E$2:$V$73,
    MATCH(1,
      ('Golf Log'!$A$2:$A$73=$A1231)*
      ('Golf Log'!$B$2:$B$73=$B1231)*
      ('Golf Log'!$C$2:$C$73=$C1231),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Log'!$E$2:$V$73,
    MATCH(1,
      ('Putt Log'!$A$2:$A$73=$A1231)*
      ('Putt Log'!$B$2:$B$73=$B1231)*
      ('Putt Log'!$C$2:$C$73=$C1231),
    0),
    MATCH($G1231,'Putt Log'!$E$1:$V$1,0)
  ),
"")</f>
        <v>2</v>
      </c>
      <c r="P1231" t="str" cm="1">
        <f t="array" ref="P1231">IF(K1231=3,"",
  IFERROR(
    INDEX('Fairway Log'!$E$2:$V$73,
      MATCH(1,
        ('Fairway Log'!$A$2:$A$73=$A1231)*
        ('Fairway Log'!$B$2:$B$73=$B1231)*
        ('Fairway Log'!$C$2:$C1302=$C1231),
      0),
      MATCH($G1231,'Fairway Log'!$E$1:$V$1,0)
    ),
  "")
)</f>
        <v>→</v>
      </c>
      <c r="Q1231" cm="1">
        <f t="array" ref="Q1231">IFERROR(
  INDEX('GIR Log'!$E$2:$V$73,
    MATCH(1,
      ('GIR Log'!$A$2:$A$73=$A1231)*
      ('GIR Log'!$B$2:$B$73=$B1231)*
      ('GIR Log'!$C$2:$C$73=$C1231),
    0),
    MATCH($G1231,'GIR Log'!$E$1:$V$1,0)
  ),
"")</f>
        <v>1</v>
      </c>
    </row>
    <row r="1232" spans="1:17" x14ac:dyDescent="0.25">
      <c r="A1232" s="92" t="s">
        <v>126</v>
      </c>
      <c r="B1232" s="2">
        <v>46164</v>
      </c>
      <c r="C1232" s="107" t="s">
        <v>6</v>
      </c>
      <c r="D1232" s="107" t="s">
        <v>75</v>
      </c>
      <c r="E1232" s="107" t="s">
        <v>36</v>
      </c>
      <c r="F1232">
        <v>89</v>
      </c>
      <c r="G1232" s="12" t="s">
        <v>53</v>
      </c>
      <c r="H1232" s="9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Log'!$E$2:$V$73,
    MATCH(1,
      ('Golf Log'!$A$2:$A$73=$A1232)*
      ('Golf Log'!$B$2:$B$73=$B1232)*
      ('Golf Log'!$C$2:$C$73=$C1232),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Log'!$E$2:$V$73,
    MATCH(1,
      ('Putt Log'!$A$2:$A$73=$A1232)*
      ('Putt Log'!$B$2:$B$73=$B1232)*
      ('Putt Log'!$C$2:$C$73=$C1232),
    0),
    MATCH($G1232,'Putt Log'!$E$1:$V$1,0)
  ),
"")</f>
        <v>2</v>
      </c>
      <c r="P1232" t="str" cm="1">
        <f t="array" ref="P1232">IF(K1232=3,"",
  IFERROR(
    INDEX('Fairway Log'!$E$2:$V$73,
      MATCH(1,
        ('Fairway Log'!$A$2:$A$73=$A1232)*
        ('Fairway Log'!$B$2:$B$73=$B1232)*
        ('Fairway Log'!$C$2:$C1303=$C1232),
      0),
      MATCH($G1232,'Fairway Log'!$E$1:$V$1,0)
    ),
  "")
)</f>
        <v>→</v>
      </c>
      <c r="Q1232" t="str" cm="1">
        <f t="array" ref="Q1232">IFERROR(
  INDEX('GIR Log'!$E$2:$V$73,
    MATCH(1,
      ('GIR Log'!$A$2:$A$73=$A1232)*
      ('GIR Log'!$B$2:$B$73=$B1232)*
      ('GIR Log'!$C$2:$C$73=$C1232),
    0),
    MATCH($G1232,'GIR Log'!$E$1:$V$1,0)
  ),
"")</f>
        <v>↓</v>
      </c>
    </row>
    <row r="1233" spans="1:17" x14ac:dyDescent="0.25">
      <c r="A1233" s="92" t="s">
        <v>126</v>
      </c>
      <c r="B1233" s="2">
        <v>46164</v>
      </c>
      <c r="C1233" s="107" t="s">
        <v>6</v>
      </c>
      <c r="D1233" s="107" t="s">
        <v>75</v>
      </c>
      <c r="E1233" s="107" t="s">
        <v>36</v>
      </c>
      <c r="F1233">
        <v>89</v>
      </c>
      <c r="G1233" s="12" t="s">
        <v>54</v>
      </c>
      <c r="H1233" s="9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Log'!$E$2:$V$73,
    MATCH(1,
      ('Golf Log'!$A$2:$A$73=$A1233)*
      ('Golf Log'!$B$2:$B$73=$B1233)*
      ('Golf Log'!$C$2:$C$73=$C1233),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Log'!$E$2:$V$73,
    MATCH(1,
      ('Putt Log'!$A$2:$A$73=$A1233)*
      ('Putt Log'!$B$2:$B$73=$B1233)*
      ('Putt Log'!$C$2:$C$73=$C1233),
    0),
    MATCH($G1233,'Putt Log'!$E$1:$V$1,0)
  ),
"")</f>
        <v>1</v>
      </c>
      <c r="P1233" t="str" cm="1">
        <f t="array" ref="P1233">IF(K1233=3,"",
  IFERROR(
    INDEX('Fairway Log'!$E$2:$V$73,
      MATCH(1,
        ('Fairway Log'!$A$2:$A$73=$A1233)*
        ('Fairway Log'!$B$2:$B$73=$B1233)*
        ('Fairway Log'!$C$2:$C1304=$C1233),
      0),
      MATCH($G1233,'Fairway Log'!$E$1:$V$1,0)
    ),
  "")
)</f>
        <v>→</v>
      </c>
      <c r="Q1233" t="str" cm="1">
        <f t="array" ref="Q1233">IFERROR(
  INDEX('GIR Log'!$E$2:$V$73,
    MATCH(1,
      ('GIR Log'!$A$2:$A$73=$A1233)*
      ('GIR Log'!$B$2:$B$73=$B1233)*
      ('GIR Log'!$C$2:$C$73=$C1233),
    0),
    MATCH($G1233,'GIR Log'!$E$1:$V$1,0)
  ),
"")</f>
        <v>↑</v>
      </c>
    </row>
    <row r="1234" spans="1:17" x14ac:dyDescent="0.25">
      <c r="A1234" s="92" t="s">
        <v>126</v>
      </c>
      <c r="B1234" s="2">
        <v>46164</v>
      </c>
      <c r="C1234" s="107" t="s">
        <v>6</v>
      </c>
      <c r="D1234" s="107" t="s">
        <v>75</v>
      </c>
      <c r="E1234" s="107" t="s">
        <v>36</v>
      </c>
      <c r="F1234">
        <v>89</v>
      </c>
      <c r="G1234" s="12" t="s">
        <v>55</v>
      </c>
      <c r="H1234" s="9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Log'!$E$2:$V$73,
    MATCH(1,
      ('Golf Log'!$A$2:$A$73=$A1234)*
      ('Golf Log'!$B$2:$B$73=$B1234)*
      ('Golf Log'!$C$2:$C$73=$C1234),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Log'!$E$2:$V$73,
    MATCH(1,
      ('Putt Log'!$A$2:$A$73=$A1234)*
      ('Putt Log'!$B$2:$B$73=$B1234)*
      ('Putt Log'!$C$2:$C$73=$C1234),
    0),
    MATCH($G1234,'Putt Log'!$E$1:$V$1,0)
  ),
"")</f>
        <v>2</v>
      </c>
      <c r="P1234" t="str" cm="1">
        <f t="array" ref="P1234">IF(K1234=3,"",
  IFERROR(
    INDEX('Fairway Log'!$E$2:$V$73,
      MATCH(1,
        ('Fairway Log'!$A$2:$A$73=$A1234)*
        ('Fairway Log'!$B$2:$B$73=$B1234)*
        ('Fairway Log'!$C$2:$C1305=$C1234),
      0),
      MATCH($G1234,'Fairway Log'!$E$1:$V$1,0)
    ),
  "")
)</f>
        <v>→</v>
      </c>
      <c r="Q1234" t="str" cm="1">
        <f t="array" ref="Q1234">IFERROR(
  INDEX('GIR Log'!$E$2:$V$73,
    MATCH(1,
      ('GIR Log'!$A$2:$A$73=$A1234)*
      ('GIR Log'!$B$2:$B$73=$B1234)*
      ('GIR Log'!$C$2:$C$73=$C1234),
    0),
    MATCH($G1234,'GIR Log'!$E$1:$V$1,0)
  ),
"")</f>
        <v>↓</v>
      </c>
    </row>
    <row r="1235" spans="1:17" x14ac:dyDescent="0.25">
      <c r="A1235" s="92" t="s">
        <v>126</v>
      </c>
      <c r="B1235" s="2">
        <v>46164</v>
      </c>
      <c r="C1235" s="107" t="s">
        <v>6</v>
      </c>
      <c r="D1235" s="107" t="s">
        <v>75</v>
      </c>
      <c r="E1235" s="107" t="s">
        <v>36</v>
      </c>
      <c r="F1235">
        <v>89</v>
      </c>
      <c r="G1235" s="12" t="s">
        <v>56</v>
      </c>
      <c r="H1235" s="9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Log'!$E$2:$V$73,
    MATCH(1,
      ('Golf Log'!$A$2:$A$73=$A1235)*
      ('Golf Log'!$B$2:$B$73=$B1235)*
      ('Golf Log'!$C$2:$C$73=$C1235),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Log'!$E$2:$V$73,
    MATCH(1,
      ('Putt Log'!$A$2:$A$73=$A1235)*
      ('Putt Log'!$B$2:$B$73=$B1235)*
      ('Putt Log'!$C$2:$C$73=$C1235),
    0),
    MATCH($G1235,'Putt Log'!$E$1:$V$1,0)
  ),
"")</f>
        <v>2</v>
      </c>
      <c r="P1235" cm="1">
        <f t="array" ref="P1235">IF(K1235=3,"",
  IFERROR(
    INDEX('Fairway Log'!$E$2:$V$73,
      MATCH(1,
        ('Fairway Log'!$A$2:$A$73=$A1235)*
        ('Fairway Log'!$B$2:$B$73=$B1235)*
        ('Fairway Log'!$C$2:$C1306=$C1235),
      0),
      MATCH($G1235,'Fairway Log'!$E$1:$V$1,0)
    ),
  "")
)</f>
        <v>1</v>
      </c>
      <c r="Q1235" t="str" cm="1">
        <f t="array" ref="Q1235">IFERROR(
  INDEX('GIR Log'!$E$2:$V$73,
    MATCH(1,
      ('GIR Log'!$A$2:$A$73=$A1235)*
      ('GIR Log'!$B$2:$B$73=$B1235)*
      ('GIR Log'!$C$2:$C$73=$C1235),
    0),
    MATCH($G1235,'GIR Log'!$E$1:$V$1,0)
  ),
"")</f>
        <v>↓</v>
      </c>
    </row>
    <row r="1236" spans="1:17" x14ac:dyDescent="0.25">
      <c r="A1236" s="92" t="s">
        <v>126</v>
      </c>
      <c r="B1236" s="2">
        <v>46164</v>
      </c>
      <c r="C1236" s="107" t="s">
        <v>6</v>
      </c>
      <c r="D1236" s="107" t="s">
        <v>75</v>
      </c>
      <c r="E1236" s="107" t="s">
        <v>36</v>
      </c>
      <c r="F1236">
        <v>89</v>
      </c>
      <c r="G1236" s="12" t="s">
        <v>57</v>
      </c>
      <c r="H1236" s="9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Log'!$E$2:$V$73,
    MATCH(1,
      ('Golf Log'!$A$2:$A$73=$A1236)*
      ('Golf Log'!$B$2:$B$73=$B1236)*
      ('Golf Log'!$C$2:$C$73=$C1236),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Log'!$E$2:$V$73,
    MATCH(1,
      ('Putt Log'!$A$2:$A$73=$A1236)*
      ('Putt Log'!$B$2:$B$73=$B1236)*
      ('Putt Log'!$C$2:$C$73=$C1236),
    0),
    MATCH($G1236,'Putt Log'!$E$1:$V$1,0)
  ),
"")</f>
        <v>1</v>
      </c>
      <c r="P1236" cm="1">
        <f t="array" ref="P1236">IF(K1236=3,"",
  IFERROR(
    INDEX('Fairway Log'!$E$2:$V$73,
      MATCH(1,
        ('Fairway Log'!$A$2:$A$73=$A1236)*
        ('Fairway Log'!$B$2:$B$73=$B1236)*
        ('Fairway Log'!$C$2:$C1307=$C1236),
      0),
      MATCH($G1236,'Fairway Log'!$E$1:$V$1,0)
    ),
  "")
)</f>
        <v>1</v>
      </c>
      <c r="Q1236" t="str" cm="1">
        <f t="array" ref="Q1236">IFERROR(
  INDEX('GIR Log'!$E$2:$V$73,
    MATCH(1,
      ('GIR Log'!$A$2:$A$73=$A1236)*
      ('GIR Log'!$B$2:$B$73=$B1236)*
      ('GIR Log'!$C$2:$C$73=$C1236),
    0),
    MATCH($G1236,'GIR Log'!$E$1:$V$1,0)
  ),
"")</f>
        <v>↓</v>
      </c>
    </row>
    <row r="1237" spans="1:17" x14ac:dyDescent="0.25">
      <c r="A1237" s="92" t="s">
        <v>126</v>
      </c>
      <c r="B1237" s="2">
        <v>46164</v>
      </c>
      <c r="C1237" s="107" t="s">
        <v>6</v>
      </c>
      <c r="D1237" s="107" t="s">
        <v>75</v>
      </c>
      <c r="E1237" s="107" t="s">
        <v>36</v>
      </c>
      <c r="F1237">
        <v>89</v>
      </c>
      <c r="G1237" s="12" t="s">
        <v>58</v>
      </c>
      <c r="H1237" s="9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Log'!$E$2:$V$73,
    MATCH(1,
      ('Golf Log'!$A$2:$A$73=$A1237)*
      ('Golf Log'!$B$2:$B$73=$B1237)*
      ('Golf Log'!$C$2:$C$73=$C1237),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Log'!$E$2:$V$73,
    MATCH(1,
      ('Putt Log'!$A$2:$A$73=$A1237)*
      ('Putt Log'!$B$2:$B$73=$B1237)*
      ('Putt Log'!$C$2:$C$73=$C1237),
    0),
    MATCH($G1237,'Putt Log'!$E$1:$V$1,0)
  ),
"")</f>
        <v>1</v>
      </c>
      <c r="P1237" cm="1">
        <f t="array" ref="P1237">IF(K1237=3,"",
  IFERROR(
    INDEX('Fairway Log'!$E$2:$V$73,
      MATCH(1,
        ('Fairway Log'!$A$2:$A$73=$A1237)*
        ('Fairway Log'!$B$2:$B$73=$B1237)*
        ('Fairway Log'!$C$2:$C1308=$C1237),
      0),
      MATCH($G1237,'Fairway Log'!$E$1:$V$1,0)
    ),
  "")
)</f>
        <v>1</v>
      </c>
      <c r="Q1237" t="str" cm="1">
        <f t="array" ref="Q1237">IFERROR(
  INDEX('GIR Log'!$E$2:$V$73,
    MATCH(1,
      ('GIR Log'!$A$2:$A$73=$A1237)*
      ('GIR Log'!$B$2:$B$73=$B1237)*
      ('GIR Log'!$C$2:$C$73=$C1237),
    0),
    MATCH($G1237,'GIR Log'!$E$1:$V$1,0)
  ),
"")</f>
        <v>→</v>
      </c>
    </row>
    <row r="1238" spans="1:17" x14ac:dyDescent="0.25">
      <c r="A1238" s="92" t="s">
        <v>126</v>
      </c>
      <c r="B1238" s="2">
        <v>46164</v>
      </c>
      <c r="C1238" s="107" t="s">
        <v>6</v>
      </c>
      <c r="D1238" s="107" t="s">
        <v>75</v>
      </c>
      <c r="E1238" s="107" t="s">
        <v>36</v>
      </c>
      <c r="F1238">
        <v>89</v>
      </c>
      <c r="G1238" s="12" t="s">
        <v>59</v>
      </c>
      <c r="H1238" s="9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Log'!$E$2:$V$73,
    MATCH(1,
      ('Golf Log'!$A$2:$A$73=$A1238)*
      ('Golf Log'!$B$2:$B$73=$B1238)*
      ('Golf Log'!$C$2:$C$73=$C1238),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Log'!$E$2:$V$73,
    MATCH(1,
      ('Putt Log'!$A$2:$A$73=$A1238)*
      ('Putt Log'!$B$2:$B$73=$B1238)*
      ('Putt Log'!$C$2:$C$73=$C1238),
    0),
    MATCH($G1238,'Putt Log'!$E$1:$V$1,0)
  ),
"")</f>
        <v>2</v>
      </c>
      <c r="P1238" cm="1">
        <f t="array" ref="P1238">IF(K1238=3,"",
  IFERROR(
    INDEX('Fairway Log'!$E$2:$V$73,
      MATCH(1,
        ('Fairway Log'!$A$2:$A$73=$A1238)*
        ('Fairway Log'!$B$2:$B$73=$B1238)*
        ('Fairway Log'!$C$2:$C1309=$C1238),
      0),
      MATCH($G1238,'Fairway Log'!$E$1:$V$1,0)
    ),
  "")
)</f>
        <v>1</v>
      </c>
      <c r="Q1238" t="str" cm="1">
        <f t="array" ref="Q1238">IFERROR(
  INDEX('GIR Log'!$E$2:$V$73,
    MATCH(1,
      ('GIR Log'!$A$2:$A$73=$A1238)*
      ('GIR Log'!$B$2:$B$73=$B1238)*
      ('GIR Log'!$C$2:$C$73=$C1238),
    0),
    MATCH($G1238,'GIR Log'!$E$1:$V$1,0)
  ),
"")</f>
        <v>↑</v>
      </c>
    </row>
    <row r="1239" spans="1:17" x14ac:dyDescent="0.25">
      <c r="A1239" s="92" t="s">
        <v>126</v>
      </c>
      <c r="B1239" s="2">
        <v>46164</v>
      </c>
      <c r="C1239" s="107" t="s">
        <v>6</v>
      </c>
      <c r="D1239" s="107" t="s">
        <v>75</v>
      </c>
      <c r="E1239" s="107" t="s">
        <v>36</v>
      </c>
      <c r="F1239">
        <v>89</v>
      </c>
      <c r="G1239" s="12" t="s">
        <v>60</v>
      </c>
      <c r="H1239" s="9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Log'!$E$2:$V$73,
    MATCH(1,
      ('Golf Log'!$A$2:$A$73=$A1239)*
      ('Golf Log'!$B$2:$B$73=$B1239)*
      ('Golf Log'!$C$2:$C$73=$C1239),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Log'!$E$2:$V$73,
    MATCH(1,
      ('Putt Log'!$A$2:$A$73=$A1239)*
      ('Putt Log'!$B$2:$B$73=$B1239)*
      ('Putt Log'!$C$2:$C$73=$C1239),
    0),
    MATCH($G1239,'Putt Log'!$E$1:$V$1,0)
  ),
"")</f>
        <v>2</v>
      </c>
      <c r="P1239" t="str" cm="1">
        <f t="array" ref="P1239">IF(K1239=3,"",
  IFERROR(
    INDEX('Fairway Log'!$E$2:$V$73,
      MATCH(1,
        ('Fairway Log'!$A$2:$A$73=$A1239)*
        ('Fairway Log'!$B$2:$B$73=$B1239)*
        ('Fairway Log'!$C$2:$C1310=$C1239),
      0),
      MATCH($G1239,'Fairway Log'!$E$1:$V$1,0)
    ),
  "")
)</f>
        <v/>
      </c>
      <c r="Q1239" t="str" cm="1">
        <f t="array" ref="Q1239">IFERROR(
  INDEX('GIR Log'!$E$2:$V$73,
    MATCH(1,
      ('GIR Log'!$A$2:$A$73=$A1239)*
      ('GIR Log'!$B$2:$B$73=$B1239)*
      ('GIR Log'!$C$2:$C$73=$C1239),
    0),
    MATCH($G1239,'GIR Log'!$E$1:$V$1,0)
  ),
"")</f>
        <v>→</v>
      </c>
    </row>
    <row r="1240" spans="1:17" x14ac:dyDescent="0.25">
      <c r="A1240" s="92" t="s">
        <v>126</v>
      </c>
      <c r="B1240" s="2">
        <v>46164</v>
      </c>
      <c r="C1240" s="107" t="s">
        <v>6</v>
      </c>
      <c r="D1240" s="107" t="s">
        <v>75</v>
      </c>
      <c r="E1240" s="107" t="s">
        <v>36</v>
      </c>
      <c r="F1240">
        <v>89</v>
      </c>
      <c r="G1240" s="12" t="s">
        <v>61</v>
      </c>
      <c r="H1240" s="9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Log'!$E$2:$V$73,
    MATCH(1,
      ('Golf Log'!$A$2:$A$73=$A1240)*
      ('Golf Log'!$B$2:$B$73=$B1240)*
      ('Golf Log'!$C$2:$C$73=$C1240),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Log'!$E$2:$V$73,
    MATCH(1,
      ('Putt Log'!$A$2:$A$73=$A1240)*
      ('Putt Log'!$B$2:$B$73=$B1240)*
      ('Putt Log'!$C$2:$C$73=$C1240),
    0),
    MATCH($G1240,'Putt Log'!$E$1:$V$1,0)
  ),
"")</f>
        <v>2</v>
      </c>
      <c r="P1240" t="str" cm="1">
        <f t="array" ref="P1240">IF(K1240=3,"",
  IFERROR(
    INDEX('Fairway Log'!$E$2:$V$73,
      MATCH(1,
        ('Fairway Log'!$A$2:$A$73=$A1240)*
        ('Fairway Log'!$B$2:$B$73=$B1240)*
        ('Fairway Log'!$C$2:$C1311=$C1240),
      0),
      MATCH($G1240,'Fairway Log'!$E$1:$V$1,0)
    ),
  "")
)</f>
        <v>←</v>
      </c>
      <c r="Q1240" t="str" cm="1">
        <f t="array" ref="Q1240">IFERROR(
  INDEX('GIR Log'!$E$2:$V$73,
    MATCH(1,
      ('GIR Log'!$A$2:$A$73=$A1240)*
      ('GIR Log'!$B$2:$B$73=$B1240)*
      ('GIR Log'!$C$2:$C$73=$C1240),
    0),
    MATCH($G1240,'GIR Log'!$E$1:$V$1,0)
  ),
"")</f>
        <v>↓</v>
      </c>
    </row>
    <row r="1241" spans="1:17" x14ac:dyDescent="0.25">
      <c r="A1241" s="92" t="s">
        <v>126</v>
      </c>
      <c r="B1241" s="2">
        <v>46164</v>
      </c>
      <c r="C1241" s="107" t="s">
        <v>6</v>
      </c>
      <c r="D1241" s="107" t="s">
        <v>75</v>
      </c>
      <c r="E1241" s="107" t="s">
        <v>36</v>
      </c>
      <c r="F1241">
        <v>89</v>
      </c>
      <c r="G1241" s="12" t="s">
        <v>62</v>
      </c>
      <c r="H1241" s="9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Log'!$E$2:$V$73,
    MATCH(1,
      ('Golf Log'!$A$2:$A$73=$A1241)*
      ('Golf Log'!$B$2:$B$73=$B1241)*
      ('Golf Log'!$C$2:$C$73=$C1241),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Log'!$E$2:$V$73,
    MATCH(1,
      ('Putt Log'!$A$2:$A$73=$A1241)*
      ('Putt Log'!$B$2:$B$73=$B1241)*
      ('Putt Log'!$C$2:$C$73=$C1241),
    0),
    MATCH($G1241,'Putt Log'!$E$1:$V$1,0)
  ),
"")</f>
        <v>2</v>
      </c>
      <c r="P1241" t="str" cm="1">
        <f t="array" ref="P1241">IF(K1241=3,"",
  IFERROR(
    INDEX('Fairway Log'!$E$2:$V$73,
      MATCH(1,
        ('Fairway Log'!$A$2:$A$73=$A1241)*
        ('Fairway Log'!$B$2:$B$73=$B1241)*
        ('Fairway Log'!$C$2:$C1312=$C1241),
      0),
      MATCH($G1241,'Fairway Log'!$E$1:$V$1,0)
    ),
  "")
)</f>
        <v>→</v>
      </c>
      <c r="Q1241" t="str" cm="1">
        <f t="array" ref="Q1241">IFERROR(
  INDEX('GIR Log'!$E$2:$V$73,
    MATCH(1,
      ('GIR Log'!$A$2:$A$73=$A1241)*
      ('GIR Log'!$B$2:$B$73=$B1241)*
      ('GIR Log'!$C$2:$C$73=$C1241),
    0),
    MATCH($G1241,'GIR Log'!$E$1:$V$1,0)
  ),
"")</f>
        <v>→</v>
      </c>
    </row>
    <row r="1242" spans="1:17" x14ac:dyDescent="0.25">
      <c r="A1242" s="92" t="s">
        <v>126</v>
      </c>
      <c r="B1242" s="2">
        <v>46164</v>
      </c>
      <c r="C1242" s="107" t="s">
        <v>6</v>
      </c>
      <c r="D1242" s="107" t="s">
        <v>75</v>
      </c>
      <c r="E1242" s="107" t="s">
        <v>36</v>
      </c>
      <c r="F1242">
        <v>89</v>
      </c>
      <c r="G1242" s="12" t="s">
        <v>63</v>
      </c>
      <c r="H1242" s="9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Log'!$E$2:$V$73,
    MATCH(1,
      ('Golf Log'!$A$2:$A$73=$A1242)*
      ('Golf Log'!$B$2:$B$73=$B1242)*
      ('Golf Log'!$C$2:$C$73=$C1242),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Log'!$E$2:$V$73,
    MATCH(1,
      ('Putt Log'!$A$2:$A$73=$A1242)*
      ('Putt Log'!$B$2:$B$73=$B1242)*
      ('Putt Log'!$C$2:$C$73=$C1242),
    0),
    MATCH($G1242,'Putt Log'!$E$1:$V$1,0)
  ),
"")</f>
        <v>1</v>
      </c>
      <c r="P1242" cm="1">
        <f t="array" ref="P1242">IF(K1242=3,"",
  IFERROR(
    INDEX('Fairway Log'!$E$2:$V$73,
      MATCH(1,
        ('Fairway Log'!$A$2:$A$73=$A1242)*
        ('Fairway Log'!$B$2:$B$73=$B1242)*
        ('Fairway Log'!$C$2:$C1313=$C1242),
      0),
      MATCH($G1242,'Fairway Log'!$E$1:$V$1,0)
    ),
  "")
)</f>
        <v>1</v>
      </c>
      <c r="Q1242" t="str" cm="1">
        <f t="array" ref="Q1242">IFERROR(
  INDEX('GIR Log'!$E$2:$V$73,
    MATCH(1,
      ('GIR Log'!$A$2:$A$73=$A1242)*
      ('GIR Log'!$B$2:$B$73=$B1242)*
      ('GIR Log'!$C$2:$C$73=$C1242),
    0),
    MATCH($G1242,'GIR Log'!$E$1:$V$1,0)
  ),
"")</f>
        <v>↓</v>
      </c>
    </row>
    <row r="1243" spans="1:17" x14ac:dyDescent="0.25">
      <c r="A1243" s="92" t="s">
        <v>126</v>
      </c>
      <c r="B1243" s="2">
        <v>46164</v>
      </c>
      <c r="C1243" s="107" t="s">
        <v>6</v>
      </c>
      <c r="D1243" s="107" t="s">
        <v>75</v>
      </c>
      <c r="E1243" s="107" t="s">
        <v>36</v>
      </c>
      <c r="F1243">
        <v>89</v>
      </c>
      <c r="G1243" s="12" t="s">
        <v>64</v>
      </c>
      <c r="H1243" s="9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Log'!$E$2:$V$73,
    MATCH(1,
      ('Golf Log'!$A$2:$A$73=$A1243)*
      ('Golf Log'!$B$2:$B$73=$B1243)*
      ('Golf Log'!$C$2:$C$73=$C1243),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Log'!$E$2:$V$73,
    MATCH(1,
      ('Putt Log'!$A$2:$A$73=$A1243)*
      ('Putt Log'!$B$2:$B$73=$B1243)*
      ('Putt Log'!$C$2:$C$73=$C1243),
    0),
    MATCH($G1243,'Putt Log'!$E$1:$V$1,0)
  ),
"")</f>
        <v>2</v>
      </c>
      <c r="P1243" cm="1">
        <f t="array" ref="P1243">IF(K1243=3,"",
  IFERROR(
    INDEX('Fairway Log'!$E$2:$V$73,
      MATCH(1,
        ('Fairway Log'!$A$2:$A$73=$A1243)*
        ('Fairway Log'!$B$2:$B$73=$B1243)*
        ('Fairway Log'!$C$2:$C1314=$C1243),
      0),
      MATCH($G1243,'Fairway Log'!$E$1:$V$1,0)
    ),
  "")
)</f>
        <v>1</v>
      </c>
      <c r="Q1243" t="str" cm="1">
        <f t="array" ref="Q1243">IFERROR(
  INDEX('GIR Log'!$E$2:$V$73,
    MATCH(1,
      ('GIR Log'!$A$2:$A$73=$A1243)*
      ('GIR Log'!$B$2:$B$73=$B1243)*
      ('GIR Log'!$C$2:$C$73=$C1243),
    0),
    MATCH($G1243,'GIR Log'!$E$1:$V$1,0)
  ),
"")</f>
        <v>←</v>
      </c>
    </row>
    <row r="1244" spans="1:17" x14ac:dyDescent="0.25">
      <c r="A1244" s="117" t="s">
        <v>126</v>
      </c>
      <c r="B1244" s="2">
        <v>46173</v>
      </c>
      <c r="C1244" s="117" t="s">
        <v>3</v>
      </c>
      <c r="D1244" s="117" t="s">
        <v>3</v>
      </c>
      <c r="E1244" s="117" t="s">
        <v>36</v>
      </c>
      <c r="F1244">
        <v>85</v>
      </c>
      <c r="G1244" s="12" t="s">
        <v>47</v>
      </c>
      <c r="H1244" s="9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Log'!$E$2:$V$73,
    MATCH(1,
      ('Golf Log'!$A$2:$A$73=$A1244)*
      ('Golf Log'!$B$2:$B$73=$B1244)*
      ('Golf Log'!$C$2:$C$73=$C1244),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Log'!$E$2:$V$73,
    MATCH(1,
      ('Putt Log'!$A$2:$A$73=$A1244)*
      ('Putt Log'!$B$2:$B$73=$B1244)*
      ('Putt Log'!$C$2:$C$73=$C1244),
    0),
    MATCH($G1244,'Putt Log'!$E$1:$V$1,0)
  ),
"")</f>
        <v>2</v>
      </c>
      <c r="P1244" cm="1">
        <f t="array" ref="P1244">IF(K1244=3,"",
  IFERROR(
    INDEX('Fairway Log'!$E$2:$V$73,
      MATCH(1,
        ('Fairway Log'!$A$2:$A$73=$A1244)*
        ('Fairway Log'!$B$2:$B$73=$B1244)*
        ('Fairway Log'!$C$2:$C1315=$C1244),
      0),
      MATCH($G1244,'Fairway Log'!$E$1:$V$1,0)
    ),
  "")
)</f>
        <v>1</v>
      </c>
      <c r="Q1244" t="str" cm="1">
        <f t="array" ref="Q1244">IFERROR(
  INDEX('GIR Log'!$E$2:$V$73,
    MATCH(1,
      ('GIR Log'!$A$2:$A$73=$A1244)*
      ('GIR Log'!$B$2:$B$73=$B1244)*
      ('GIR Log'!$C$2:$C$73=$C1244),
    0),
    MATCH($G1244,'GIR Log'!$E$1:$V$1,0)
  ),
"")</f>
        <v>↓</v>
      </c>
    </row>
    <row r="1245" spans="1:17" x14ac:dyDescent="0.25">
      <c r="A1245" s="117" t="s">
        <v>126</v>
      </c>
      <c r="B1245" s="2">
        <v>46173</v>
      </c>
      <c r="C1245" s="117" t="s">
        <v>3</v>
      </c>
      <c r="D1245" s="117" t="s">
        <v>3</v>
      </c>
      <c r="E1245" s="117" t="s">
        <v>36</v>
      </c>
      <c r="F1245">
        <v>85</v>
      </c>
      <c r="G1245" s="12" t="s">
        <v>48</v>
      </c>
      <c r="H1245" s="9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Log'!$E$2:$V$73,
    MATCH(1,
      ('Golf Log'!$A$2:$A$73=$A1245)*
      ('Golf Log'!$B$2:$B$73=$B1245)*
      ('Golf Log'!$C$2:$C$73=$C1245),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Log'!$E$2:$V$73,
    MATCH(1,
      ('Putt Log'!$A$2:$A$73=$A1245)*
      ('Putt Log'!$B$2:$B$73=$B1245)*
      ('Putt Log'!$C$2:$C$73=$C1245),
    0),
    MATCH($G1245,'Putt Log'!$E$1:$V$1,0)
  ),
"")</f>
        <v>2</v>
      </c>
      <c r="P1245" t="str" cm="1">
        <f t="array" ref="P1245">IF(K1245=3,"",
  IFERROR(
    INDEX('Fairway Log'!$E$2:$V$73,
      MATCH(1,
        ('Fairway Log'!$A$2:$A$73=$A1245)*
        ('Fairway Log'!$B$2:$B$73=$B1245)*
        ('Fairway Log'!$C$2:$C1316=$C1245),
      0),
      MATCH($G1245,'Fairway Log'!$E$1:$V$1,0)
    ),
  "")
)</f>
        <v>←</v>
      </c>
      <c r="Q1245" cm="1">
        <f t="array" ref="Q1245">IFERROR(
  INDEX('GIR Log'!$E$2:$V$73,
    MATCH(1,
      ('GIR Log'!$A$2:$A$73=$A1245)*
      ('GIR Log'!$B$2:$B$73=$B1245)*
      ('GIR Log'!$C$2:$C$73=$C1245),
    0),
    MATCH($G1245,'GIR Log'!$E$1:$V$1,0)
  ),
"")</f>
        <v>1</v>
      </c>
    </row>
    <row r="1246" spans="1:17" x14ac:dyDescent="0.25">
      <c r="A1246" s="117" t="s">
        <v>126</v>
      </c>
      <c r="B1246" s="2">
        <v>46173</v>
      </c>
      <c r="C1246" s="117" t="s">
        <v>3</v>
      </c>
      <c r="D1246" s="117" t="s">
        <v>3</v>
      </c>
      <c r="E1246" s="117" t="s">
        <v>36</v>
      </c>
      <c r="F1246">
        <v>85</v>
      </c>
      <c r="G1246" s="12" t="s">
        <v>49</v>
      </c>
      <c r="H1246" s="9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Log'!$E$2:$V$73,
    MATCH(1,
      ('Golf Log'!$A$2:$A$73=$A1246)*
      ('Golf Log'!$B$2:$B$73=$B1246)*
      ('Golf Log'!$C$2:$C$73=$C1246),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Log'!$E$2:$V$73,
    MATCH(1,
      ('Putt Log'!$A$2:$A$73=$A1246)*
      ('Putt Log'!$B$2:$B$73=$B1246)*
      ('Putt Log'!$C$2:$C$73=$C1246),
    0),
    MATCH($G1246,'Putt Log'!$E$1:$V$1,0)
  ),
"")</f>
        <v>2</v>
      </c>
      <c r="P1246" t="str" cm="1">
        <f t="array" ref="P1246">IF(K1246=3,"",
  IFERROR(
    INDEX('Fairway Log'!$E$2:$V$73,
      MATCH(1,
        ('Fairway Log'!$A$2:$A$73=$A1246)*
        ('Fairway Log'!$B$2:$B$73=$B1246)*
        ('Fairway Log'!$C$2:$C1317=$C1246),
      0),
      MATCH($G1246,'Fairway Log'!$E$1:$V$1,0)
    ),
  "")
)</f>
        <v/>
      </c>
      <c r="Q1246" t="str" cm="1">
        <f t="array" ref="Q1246">IFERROR(
  INDEX('GIR Log'!$E$2:$V$73,
    MATCH(1,
      ('GIR Log'!$A$2:$A$73=$A1246)*
      ('GIR Log'!$B$2:$B$73=$B1246)*
      ('GIR Log'!$C$2:$C$73=$C1246),
    0),
    MATCH($G1246,'GIR Log'!$E$1:$V$1,0)
  ),
"")</f>
        <v>↓</v>
      </c>
    </row>
    <row r="1247" spans="1:17" x14ac:dyDescent="0.25">
      <c r="A1247" s="117" t="s">
        <v>126</v>
      </c>
      <c r="B1247" s="2">
        <v>46173</v>
      </c>
      <c r="C1247" s="117" t="s">
        <v>3</v>
      </c>
      <c r="D1247" s="117" t="s">
        <v>3</v>
      </c>
      <c r="E1247" s="117" t="s">
        <v>36</v>
      </c>
      <c r="F1247">
        <v>85</v>
      </c>
      <c r="G1247" s="12" t="s">
        <v>50</v>
      </c>
      <c r="H1247" s="9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Log'!$E$2:$V$73,
    MATCH(1,
      ('Golf Log'!$A$2:$A$73=$A1247)*
      ('Golf Log'!$B$2:$B$73=$B1247)*
      ('Golf Log'!$C$2:$C$73=$C1247),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Log'!$E$2:$V$73,
    MATCH(1,
      ('Putt Log'!$A$2:$A$73=$A1247)*
      ('Putt Log'!$B$2:$B$73=$B1247)*
      ('Putt Log'!$C$2:$C$73=$C1247),
    0),
    MATCH($G1247,'Putt Log'!$E$1:$V$1,0)
  ),
"")</f>
        <v>2</v>
      </c>
      <c r="P1247" t="str" cm="1">
        <f t="array" ref="P1247">IF(K1247=3,"",
  IFERROR(
    INDEX('Fairway Log'!$E$2:$V$73,
      MATCH(1,
        ('Fairway Log'!$A$2:$A$73=$A1247)*
        ('Fairway Log'!$B$2:$B$73=$B1247)*
        ('Fairway Log'!$C$2:$C1318=$C1247),
      0),
      MATCH($G1247,'Fairway Log'!$E$1:$V$1,0)
    ),
  "")
)</f>
        <v>→</v>
      </c>
      <c r="Q1247" cm="1">
        <f t="array" ref="Q1247">IFERROR(
  INDEX('GIR Log'!$E$2:$V$73,
    MATCH(1,
      ('GIR Log'!$A$2:$A$73=$A1247)*
      ('GIR Log'!$B$2:$B$73=$B1247)*
      ('GIR Log'!$C$2:$C$73=$C1247),
    0),
    MATCH($G1247,'GIR Log'!$E$1:$V$1,0)
  ),
"")</f>
        <v>1</v>
      </c>
    </row>
    <row r="1248" spans="1:17" x14ac:dyDescent="0.25">
      <c r="A1248" s="117" t="s">
        <v>126</v>
      </c>
      <c r="B1248" s="2">
        <v>46173</v>
      </c>
      <c r="C1248" s="117" t="s">
        <v>3</v>
      </c>
      <c r="D1248" s="117" t="s">
        <v>3</v>
      </c>
      <c r="E1248" s="117" t="s">
        <v>36</v>
      </c>
      <c r="F1248">
        <v>85</v>
      </c>
      <c r="G1248" s="12" t="s">
        <v>51</v>
      </c>
      <c r="H1248" s="9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Log'!$E$2:$V$73,
    MATCH(1,
      ('Golf Log'!$A$2:$A$73=$A1248)*
      ('Golf Log'!$B$2:$B$73=$B1248)*
      ('Golf Log'!$C$2:$C$73=$C1248),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Log'!$E$2:$V$73,
    MATCH(1,
      ('Putt Log'!$A$2:$A$73=$A1248)*
      ('Putt Log'!$B$2:$B$73=$B1248)*
      ('Putt Log'!$C$2:$C$73=$C1248),
    0),
    MATCH($G1248,'Putt Log'!$E$1:$V$1,0)
  ),
"")</f>
        <v>2</v>
      </c>
      <c r="P1248" cm="1">
        <f t="array" ref="P1248">IF(K1248=3,"",
  IFERROR(
    INDEX('Fairway Log'!$E$2:$V$73,
      MATCH(1,
        ('Fairway Log'!$A$2:$A$73=$A1248)*
        ('Fairway Log'!$B$2:$B$73=$B1248)*
        ('Fairway Log'!$C$2:$C1319=$C1248),
      0),
      MATCH($G1248,'Fairway Log'!$E$1:$V$1,0)
    ),
  "")
)</f>
        <v>1</v>
      </c>
      <c r="Q1248" t="str" cm="1">
        <f t="array" ref="Q1248">IFERROR(
  INDEX('GIR Log'!$E$2:$V$73,
    MATCH(1,
      ('GIR Log'!$A$2:$A$73=$A1248)*
      ('GIR Log'!$B$2:$B$73=$B1248)*
      ('GIR Log'!$C$2:$C$73=$C1248),
    0),
    MATCH($G1248,'GIR Log'!$E$1:$V$1,0)
  ),
"")</f>
        <v>↑</v>
      </c>
    </row>
    <row r="1249" spans="1:17" x14ac:dyDescent="0.25">
      <c r="A1249" s="117" t="s">
        <v>126</v>
      </c>
      <c r="B1249" s="2">
        <v>46173</v>
      </c>
      <c r="C1249" s="117" t="s">
        <v>3</v>
      </c>
      <c r="D1249" s="117" t="s">
        <v>3</v>
      </c>
      <c r="E1249" s="117" t="s">
        <v>36</v>
      </c>
      <c r="F1249">
        <v>85</v>
      </c>
      <c r="G1249" s="12" t="s">
        <v>52</v>
      </c>
      <c r="H1249" s="9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Log'!$E$2:$V$73,
    MATCH(1,
      ('Golf Log'!$A$2:$A$73=$A1249)*
      ('Golf Log'!$B$2:$B$73=$B1249)*
      ('Golf Log'!$C$2:$C$73=$C1249),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Log'!$E$2:$V$73,
    MATCH(1,
      ('Putt Log'!$A$2:$A$73=$A1249)*
      ('Putt Log'!$B$2:$B$73=$B1249)*
      ('Putt Log'!$C$2:$C$73=$C1249),
    0),
    MATCH($G1249,'Putt Log'!$E$1:$V$1,0)
  ),
"")</f>
        <v>1</v>
      </c>
      <c r="P1249" t="str" cm="1">
        <f t="array" ref="P1249">IF(K1249=3,"",
  IFERROR(
    INDEX('Fairway Log'!$E$2:$V$73,
      MATCH(1,
        ('Fairway Log'!$A$2:$A$73=$A1249)*
        ('Fairway Log'!$B$2:$B$73=$B1249)*
        ('Fairway Log'!$C$2:$C1320=$C1249),
      0),
      MATCH($G1249,'Fairway Log'!$E$1:$V$1,0)
    ),
  "")
)</f>
        <v/>
      </c>
      <c r="Q1249" t="str" cm="1">
        <f t="array" ref="Q1249">IFERROR(
  INDEX('GIR Log'!$E$2:$V$73,
    MATCH(1,
      ('GIR Log'!$A$2:$A$73=$A1249)*
      ('GIR Log'!$B$2:$B$73=$B1249)*
      ('GIR Log'!$C$2:$C$73=$C1249),
    0),
    MATCH($G1249,'GIR Log'!$E$1:$V$1,0)
  ),
"")</f>
        <v>→</v>
      </c>
    </row>
    <row r="1250" spans="1:17" x14ac:dyDescent="0.25">
      <c r="A1250" s="117" t="s">
        <v>126</v>
      </c>
      <c r="B1250" s="2">
        <v>46173</v>
      </c>
      <c r="C1250" s="117" t="s">
        <v>3</v>
      </c>
      <c r="D1250" s="117" t="s">
        <v>3</v>
      </c>
      <c r="E1250" s="117" t="s">
        <v>36</v>
      </c>
      <c r="F1250">
        <v>85</v>
      </c>
      <c r="G1250" s="12" t="s">
        <v>53</v>
      </c>
      <c r="H1250" s="9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Log'!$E$2:$V$73,
    MATCH(1,
      ('Golf Log'!$A$2:$A$73=$A1250)*
      ('Golf Log'!$B$2:$B$73=$B1250)*
      ('Golf Log'!$C$2:$C$73=$C1250),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Log'!$E$2:$V$73,
    MATCH(1,
      ('Putt Log'!$A$2:$A$73=$A1250)*
      ('Putt Log'!$B$2:$B$73=$B1250)*
      ('Putt Log'!$C$2:$C$73=$C1250),
    0),
    MATCH($G1250,'Putt Log'!$E$1:$V$1,0)
  ),
"")</f>
        <v>2</v>
      </c>
      <c r="P1250" cm="1">
        <f t="array" ref="P1250">IF(K1250=3,"",
  IFERROR(
    INDEX('Fairway Log'!$E$2:$V$73,
      MATCH(1,
        ('Fairway Log'!$A$2:$A$73=$A1250)*
        ('Fairway Log'!$B$2:$B$73=$B1250)*
        ('Fairway Log'!$C$2:$C1321=$C1250),
      0),
      MATCH($G1250,'Fairway Log'!$E$1:$V$1,0)
    ),
  "")
)</f>
        <v>1</v>
      </c>
      <c r="Q1250" t="str" cm="1">
        <f t="array" ref="Q1250">IFERROR(
  INDEX('GIR Log'!$E$2:$V$73,
    MATCH(1,
      ('GIR Log'!$A$2:$A$73=$A1250)*
      ('GIR Log'!$B$2:$B$73=$B1250)*
      ('GIR Log'!$C$2:$C$73=$C1250),
    0),
    MATCH($G1250,'GIR Log'!$E$1:$V$1,0)
  ),
"")</f>
        <v>↑</v>
      </c>
    </row>
    <row r="1251" spans="1:17" x14ac:dyDescent="0.25">
      <c r="A1251" s="117" t="s">
        <v>126</v>
      </c>
      <c r="B1251" s="2">
        <v>46173</v>
      </c>
      <c r="C1251" s="117" t="s">
        <v>3</v>
      </c>
      <c r="D1251" s="117" t="s">
        <v>3</v>
      </c>
      <c r="E1251" s="117" t="s">
        <v>36</v>
      </c>
      <c r="F1251">
        <v>85</v>
      </c>
      <c r="G1251" s="12" t="s">
        <v>54</v>
      </c>
      <c r="H1251" s="9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Log'!$E$2:$V$73,
    MATCH(1,
      ('Golf Log'!$A$2:$A$73=$A1251)*
      ('Golf Log'!$B$2:$B$73=$B1251)*
      ('Golf Log'!$C$2:$C$73=$C1251),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Log'!$E$2:$V$73,
    MATCH(1,
      ('Putt Log'!$A$2:$A$73=$A1251)*
      ('Putt Log'!$B$2:$B$73=$B1251)*
      ('Putt Log'!$C$2:$C$73=$C1251),
    0),
    MATCH($G1251,'Putt Log'!$E$1:$V$1,0)
  ),
"")</f>
        <v>2</v>
      </c>
      <c r="P1251" t="str" cm="1">
        <f t="array" ref="P1251">IF(K1251=3,"",
  IFERROR(
    INDEX('Fairway Log'!$E$2:$V$73,
      MATCH(1,
        ('Fairway Log'!$A$2:$A$73=$A1251)*
        ('Fairway Log'!$B$2:$B$73=$B1251)*
        ('Fairway Log'!$C$2:$C1322=$C1251),
      0),
      MATCH($G1251,'Fairway Log'!$E$1:$V$1,0)
    ),
  "")
)</f>
        <v>→</v>
      </c>
      <c r="Q1251" cm="1">
        <f t="array" ref="Q1251">IFERROR(
  INDEX('GIR Log'!$E$2:$V$73,
    MATCH(1,
      ('GIR Log'!$A$2:$A$73=$A1251)*
      ('GIR Log'!$B$2:$B$73=$B1251)*
      ('GIR Log'!$C$2:$C$73=$C1251),
    0),
    MATCH($G1251,'GIR Log'!$E$1:$V$1,0)
  ),
"")</f>
        <v>1</v>
      </c>
    </row>
    <row r="1252" spans="1:17" x14ac:dyDescent="0.25">
      <c r="A1252" s="117" t="s">
        <v>126</v>
      </c>
      <c r="B1252" s="2">
        <v>46173</v>
      </c>
      <c r="C1252" s="117" t="s">
        <v>3</v>
      </c>
      <c r="D1252" s="117" t="s">
        <v>3</v>
      </c>
      <c r="E1252" s="117" t="s">
        <v>36</v>
      </c>
      <c r="F1252">
        <v>85</v>
      </c>
      <c r="G1252" s="12" t="s">
        <v>55</v>
      </c>
      <c r="H1252" s="9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Log'!$E$2:$V$73,
    MATCH(1,
      ('Golf Log'!$A$2:$A$73=$A1252)*
      ('Golf Log'!$B$2:$B$73=$B1252)*
      ('Golf Log'!$C$2:$C$73=$C1252),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Log'!$E$2:$V$73,
    MATCH(1,
      ('Putt Log'!$A$2:$A$73=$A1252)*
      ('Putt Log'!$B$2:$B$73=$B1252)*
      ('Putt Log'!$C$2:$C$73=$C1252),
    0),
    MATCH($G1252,'Putt Log'!$E$1:$V$1,0)
  ),
"")</f>
        <v>2</v>
      </c>
      <c r="P1252" t="str" cm="1">
        <f t="array" ref="P1252">IF(K1252=3,"",
  IFERROR(
    INDEX('Fairway Log'!$E$2:$V$73,
      MATCH(1,
        ('Fairway Log'!$A$2:$A$73=$A1252)*
        ('Fairway Log'!$B$2:$B$73=$B1252)*
        ('Fairway Log'!$C$2:$C1323=$C1252),
      0),
      MATCH($G1252,'Fairway Log'!$E$1:$V$1,0)
    ),
  "")
)</f>
        <v>→</v>
      </c>
      <c r="Q1252" t="str" cm="1">
        <f t="array" ref="Q1252">IFERROR(
  INDEX('GIR Log'!$E$2:$V$73,
    MATCH(1,
      ('GIR Log'!$A$2:$A$73=$A1252)*
      ('GIR Log'!$B$2:$B$73=$B1252)*
      ('GIR Log'!$C$2:$C$73=$C1252),
    0),
    MATCH($G1252,'GIR Log'!$E$1:$V$1,0)
  ),
"")</f>
        <v>↑</v>
      </c>
    </row>
    <row r="1253" spans="1:17" x14ac:dyDescent="0.25">
      <c r="A1253" s="117" t="s">
        <v>126</v>
      </c>
      <c r="B1253" s="2">
        <v>46173</v>
      </c>
      <c r="C1253" s="117" t="s">
        <v>3</v>
      </c>
      <c r="D1253" s="117" t="s">
        <v>3</v>
      </c>
      <c r="E1253" s="117" t="s">
        <v>36</v>
      </c>
      <c r="F1253">
        <v>85</v>
      </c>
      <c r="G1253" s="12" t="s">
        <v>56</v>
      </c>
      <c r="H1253" s="9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Log'!$E$2:$V$73,
    MATCH(1,
      ('Golf Log'!$A$2:$A$73=$A1253)*
      ('Golf Log'!$B$2:$B$73=$B1253)*
      ('Golf Log'!$C$2:$C$73=$C1253),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Log'!$E$2:$V$73,
    MATCH(1,
      ('Putt Log'!$A$2:$A$73=$A1253)*
      ('Putt Log'!$B$2:$B$73=$B1253)*
      ('Putt Log'!$C$2:$C$73=$C1253),
    0),
    MATCH($G1253,'Putt Log'!$E$1:$V$1,0)
  ),
"")</f>
        <v>1</v>
      </c>
      <c r="P1253" t="str" cm="1">
        <f t="array" ref="P1253">IF(K1253=3,"",
  IFERROR(
    INDEX('Fairway Log'!$E$2:$V$73,
      MATCH(1,
        ('Fairway Log'!$A$2:$A$73=$A1253)*
        ('Fairway Log'!$B$2:$B$73=$B1253)*
        ('Fairway Log'!$C$2:$C1324=$C1253),
      0),
      MATCH($G1253,'Fairway Log'!$E$1:$V$1,0)
    ),
  "")
)</f>
        <v>←</v>
      </c>
      <c r="Q1253" t="str" cm="1">
        <f t="array" ref="Q1253">IFERROR(
  INDEX('GIR Log'!$E$2:$V$73,
    MATCH(1,
      ('GIR Log'!$A$2:$A$73=$A1253)*
      ('GIR Log'!$B$2:$B$73=$B1253)*
      ('GIR Log'!$C$2:$C$73=$C1253),
    0),
    MATCH($G1253,'GIR Log'!$E$1:$V$1,0)
  ),
"")</f>
        <v>↓</v>
      </c>
    </row>
    <row r="1254" spans="1:17" x14ac:dyDescent="0.25">
      <c r="A1254" s="117" t="s">
        <v>126</v>
      </c>
      <c r="B1254" s="2">
        <v>46173</v>
      </c>
      <c r="C1254" s="117" t="s">
        <v>3</v>
      </c>
      <c r="D1254" s="117" t="s">
        <v>3</v>
      </c>
      <c r="E1254" s="117" t="s">
        <v>36</v>
      </c>
      <c r="F1254">
        <v>85</v>
      </c>
      <c r="G1254" s="12" t="s">
        <v>57</v>
      </c>
      <c r="H1254" s="9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Log'!$E$2:$V$73,
    MATCH(1,
      ('Golf Log'!$A$2:$A$73=$A1254)*
      ('Golf Log'!$B$2:$B$73=$B1254)*
      ('Golf Log'!$C$2:$C$73=$C1254),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Log'!$E$2:$V$73,
    MATCH(1,
      ('Putt Log'!$A$2:$A$73=$A1254)*
      ('Putt Log'!$B$2:$B$73=$B1254)*
      ('Putt Log'!$C$2:$C$73=$C1254),
    0),
    MATCH($G1254,'Putt Log'!$E$1:$V$1,0)
  ),
"")</f>
        <v>2</v>
      </c>
      <c r="P1254" t="str" cm="1">
        <f t="array" ref="P1254">IF(K1254=3,"",
  IFERROR(
    INDEX('Fairway Log'!$E$2:$V$73,
      MATCH(1,
        ('Fairway Log'!$A$2:$A$73=$A1254)*
        ('Fairway Log'!$B$2:$B$73=$B1254)*
        ('Fairway Log'!$C$2:$C1325=$C1254),
      0),
      MATCH($G1254,'Fairway Log'!$E$1:$V$1,0)
    ),
  "")
)</f>
        <v/>
      </c>
      <c r="Q1254" t="str" cm="1">
        <f t="array" ref="Q1254">IFERROR(
  INDEX('GIR Log'!$E$2:$V$73,
    MATCH(1,
      ('GIR Log'!$A$2:$A$73=$A1254)*
      ('GIR Log'!$B$2:$B$73=$B1254)*
      ('GIR Log'!$C$2:$C$73=$C1254),
    0),
    MATCH($G1254,'GIR Log'!$E$1:$V$1,0)
  ),
"")</f>
        <v>↓</v>
      </c>
    </row>
    <row r="1255" spans="1:17" x14ac:dyDescent="0.25">
      <c r="A1255" s="117" t="s">
        <v>126</v>
      </c>
      <c r="B1255" s="2">
        <v>46173</v>
      </c>
      <c r="C1255" s="117" t="s">
        <v>3</v>
      </c>
      <c r="D1255" s="117" t="s">
        <v>3</v>
      </c>
      <c r="E1255" s="117" t="s">
        <v>36</v>
      </c>
      <c r="F1255">
        <v>85</v>
      </c>
      <c r="G1255" s="12" t="s">
        <v>58</v>
      </c>
      <c r="H1255" s="9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Log'!$E$2:$V$73,
    MATCH(1,
      ('Golf Log'!$A$2:$A$73=$A1255)*
      ('Golf Log'!$B$2:$B$73=$B1255)*
      ('Golf Log'!$C$2:$C$73=$C1255),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Log'!$E$2:$V$73,
    MATCH(1,
      ('Putt Log'!$A$2:$A$73=$A1255)*
      ('Putt Log'!$B$2:$B$73=$B1255)*
      ('Putt Log'!$C$2:$C$73=$C1255),
    0),
    MATCH($G1255,'Putt Log'!$E$1:$V$1,0)
  ),
"")</f>
        <v>2</v>
      </c>
      <c r="P1255" t="str" cm="1">
        <f t="array" ref="P1255">IF(K1255=3,"",
  IFERROR(
    INDEX('Fairway Log'!$E$2:$V$73,
      MATCH(1,
        ('Fairway Log'!$A$2:$A$73=$A1255)*
        ('Fairway Log'!$B$2:$B$73=$B1255)*
        ('Fairway Log'!$C$2:$C1326=$C1255),
      0),
      MATCH($G1255,'Fairway Log'!$E$1:$V$1,0)
    ),
  "")
)</f>
        <v>↑</v>
      </c>
      <c r="Q1255" cm="1">
        <f t="array" ref="Q1255">IFERROR(
  INDEX('GIR Log'!$E$2:$V$73,
    MATCH(1,
      ('GIR Log'!$A$2:$A$73=$A1255)*
      ('GIR Log'!$B$2:$B$73=$B1255)*
      ('GIR Log'!$C$2:$C$73=$C1255),
    0),
    MATCH($G1255,'GIR Log'!$E$1:$V$1,0)
  ),
"")</f>
        <v>1</v>
      </c>
    </row>
    <row r="1256" spans="1:17" x14ac:dyDescent="0.25">
      <c r="A1256" s="117" t="s">
        <v>126</v>
      </c>
      <c r="B1256" s="2">
        <v>46173</v>
      </c>
      <c r="C1256" s="117" t="s">
        <v>3</v>
      </c>
      <c r="D1256" s="117" t="s">
        <v>3</v>
      </c>
      <c r="E1256" s="117" t="s">
        <v>36</v>
      </c>
      <c r="F1256">
        <v>85</v>
      </c>
      <c r="G1256" s="12" t="s">
        <v>59</v>
      </c>
      <c r="H1256" s="9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Log'!$E$2:$V$73,
    MATCH(1,
      ('Golf Log'!$A$2:$A$73=$A1256)*
      ('Golf Log'!$B$2:$B$73=$B1256)*
      ('Golf Log'!$C$2:$C$73=$C1256),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Log'!$E$2:$V$73,
    MATCH(1,
      ('Putt Log'!$A$2:$A$73=$A1256)*
      ('Putt Log'!$B$2:$B$73=$B1256)*
      ('Putt Log'!$C$2:$C$73=$C1256),
    0),
    MATCH($G1256,'Putt Log'!$E$1:$V$1,0)
  ),
"")</f>
        <v>3</v>
      </c>
      <c r="P1256" cm="1">
        <f t="array" ref="P1256">IF(K1256=3,"",
  IFERROR(
    INDEX('Fairway Log'!$E$2:$V$73,
      MATCH(1,
        ('Fairway Log'!$A$2:$A$73=$A1256)*
        ('Fairway Log'!$B$2:$B$73=$B1256)*
        ('Fairway Log'!$C$2:$C1327=$C1256),
      0),
      MATCH($G1256,'Fairway Log'!$E$1:$V$1,0)
    ),
  "")
)</f>
        <v>1</v>
      </c>
      <c r="Q1256" t="str" cm="1">
        <f t="array" ref="Q1256">IFERROR(
  INDEX('GIR Log'!$E$2:$V$73,
    MATCH(1,
      ('GIR Log'!$A$2:$A$73=$A1256)*
      ('GIR Log'!$B$2:$B$73=$B1256)*
      ('GIR Log'!$C$2:$C$73=$C1256),
    0),
    MATCH($G1256,'GIR Log'!$E$1:$V$1,0)
  ),
"")</f>
        <v>NC</v>
      </c>
    </row>
    <row r="1257" spans="1:17" x14ac:dyDescent="0.25">
      <c r="A1257" s="117" t="s">
        <v>126</v>
      </c>
      <c r="B1257" s="2">
        <v>46173</v>
      </c>
      <c r="C1257" s="117" t="s">
        <v>3</v>
      </c>
      <c r="D1257" s="117" t="s">
        <v>3</v>
      </c>
      <c r="E1257" s="117" t="s">
        <v>36</v>
      </c>
      <c r="F1257">
        <v>85</v>
      </c>
      <c r="G1257" s="12" t="s">
        <v>60</v>
      </c>
      <c r="H1257" s="9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Log'!$E$2:$V$73,
    MATCH(1,
      ('Golf Log'!$A$2:$A$73=$A1257)*
      ('Golf Log'!$B$2:$B$73=$B1257)*
      ('Golf Log'!$C$2:$C$73=$C1257),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Log'!$E$2:$V$73,
    MATCH(1,
      ('Putt Log'!$A$2:$A$73=$A1257)*
      ('Putt Log'!$B$2:$B$73=$B1257)*
      ('Putt Log'!$C$2:$C$73=$C1257),
    0),
    MATCH($G1257,'Putt Log'!$E$1:$V$1,0)
  ),
"")</f>
        <v>1</v>
      </c>
      <c r="P1257" t="str" cm="1">
        <f t="array" ref="P1257">IF(K1257=3,"",
  IFERROR(
    INDEX('Fairway Log'!$E$2:$V$73,
      MATCH(1,
        ('Fairway Log'!$A$2:$A$73=$A1257)*
        ('Fairway Log'!$B$2:$B$73=$B1257)*
        ('Fairway Log'!$C$2:$C1328=$C1257),
      0),
      MATCH($G1257,'Fairway Log'!$E$1:$V$1,0)
    ),
  "")
)</f>
        <v>→</v>
      </c>
      <c r="Q1257" t="str" cm="1">
        <f t="array" ref="Q1257">IFERROR(
  INDEX('GIR Log'!$E$2:$V$73,
    MATCH(1,
      ('GIR Log'!$A$2:$A$73=$A1257)*
      ('GIR Log'!$B$2:$B$73=$B1257)*
      ('GIR Log'!$C$2:$C$73=$C1257),
    0),
    MATCH($G1257,'GIR Log'!$E$1:$V$1,0)
  ),
"")</f>
        <v>↓</v>
      </c>
    </row>
    <row r="1258" spans="1:17" x14ac:dyDescent="0.25">
      <c r="A1258" s="117" t="s">
        <v>126</v>
      </c>
      <c r="B1258" s="2">
        <v>46173</v>
      </c>
      <c r="C1258" s="117" t="s">
        <v>3</v>
      </c>
      <c r="D1258" s="117" t="s">
        <v>3</v>
      </c>
      <c r="E1258" s="117" t="s">
        <v>36</v>
      </c>
      <c r="F1258">
        <v>85</v>
      </c>
      <c r="G1258" s="12" t="s">
        <v>61</v>
      </c>
      <c r="H1258" s="9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Log'!$E$2:$V$73,
    MATCH(1,
      ('Golf Log'!$A$2:$A$73=$A1258)*
      ('Golf Log'!$B$2:$B$73=$B1258)*
      ('Golf Log'!$C$2:$C$73=$C1258),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Log'!$E$2:$V$73,
    MATCH(1,
      ('Putt Log'!$A$2:$A$73=$A1258)*
      ('Putt Log'!$B$2:$B$73=$B1258)*
      ('Putt Log'!$C$2:$C$73=$C1258),
    0),
    MATCH($G1258,'Putt Log'!$E$1:$V$1,0)
  ),
"")</f>
        <v>2</v>
      </c>
      <c r="P1258" t="str" cm="1">
        <f t="array" ref="P1258">IF(K1258=3,"",
  IFERROR(
    INDEX('Fairway Log'!$E$2:$V$73,
      MATCH(1,
        ('Fairway Log'!$A$2:$A$73=$A1258)*
        ('Fairway Log'!$B$2:$B$73=$B1258)*
        ('Fairway Log'!$C$2:$C1329=$C1258),
      0),
      MATCH($G1258,'Fairway Log'!$E$1:$V$1,0)
    ),
  "")
)</f>
        <v/>
      </c>
      <c r="Q1258" t="str" cm="1">
        <f t="array" ref="Q1258">IFERROR(
  INDEX('GIR Log'!$E$2:$V$73,
    MATCH(1,
      ('GIR Log'!$A$2:$A$73=$A1258)*
      ('GIR Log'!$B$2:$B$73=$B1258)*
      ('GIR Log'!$C$2:$C$73=$C1258),
    0),
    MATCH($G1258,'GIR Log'!$E$1:$V$1,0)
  ),
"")</f>
        <v>↓</v>
      </c>
    </row>
    <row r="1259" spans="1:17" x14ac:dyDescent="0.25">
      <c r="A1259" s="117" t="s">
        <v>126</v>
      </c>
      <c r="B1259" s="2">
        <v>46173</v>
      </c>
      <c r="C1259" s="117" t="s">
        <v>3</v>
      </c>
      <c r="D1259" s="117" t="s">
        <v>3</v>
      </c>
      <c r="E1259" s="117" t="s">
        <v>36</v>
      </c>
      <c r="F1259">
        <v>85</v>
      </c>
      <c r="G1259" s="12" t="s">
        <v>62</v>
      </c>
      <c r="H1259" s="9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Log'!$E$2:$V$73,
    MATCH(1,
      ('Golf Log'!$A$2:$A$73=$A1259)*
      ('Golf Log'!$B$2:$B$73=$B1259)*
      ('Golf Log'!$C$2:$C$73=$C1259),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Log'!$E$2:$V$73,
    MATCH(1,
      ('Putt Log'!$A$2:$A$73=$A1259)*
      ('Putt Log'!$B$2:$B$73=$B1259)*
      ('Putt Log'!$C$2:$C$73=$C1259),
    0),
    MATCH($G1259,'Putt Log'!$E$1:$V$1,0)
  ),
"")</f>
        <v>2</v>
      </c>
      <c r="P1259" cm="1">
        <f t="array" ref="P1259">IF(K1259=3,"",
  IFERROR(
    INDEX('Fairway Log'!$E$2:$V$73,
      MATCH(1,
        ('Fairway Log'!$A$2:$A$73=$A1259)*
        ('Fairway Log'!$B$2:$B$73=$B1259)*
        ('Fairway Log'!$C$2:$C1330=$C1259),
      0),
      MATCH($G1259,'Fairway Log'!$E$1:$V$1,0)
    ),
  "")
)</f>
        <v>1</v>
      </c>
      <c r="Q1259" t="str" cm="1">
        <f t="array" ref="Q1259">IFERROR(
  INDEX('GIR Log'!$E$2:$V$73,
    MATCH(1,
      ('GIR Log'!$A$2:$A$73=$A1259)*
      ('GIR Log'!$B$2:$B$73=$B1259)*
      ('GIR Log'!$C$2:$C$73=$C1259),
    0),
    MATCH($G1259,'GIR Log'!$E$1:$V$1,0)
  ),
"")</f>
        <v>←</v>
      </c>
    </row>
    <row r="1260" spans="1:17" x14ac:dyDescent="0.25">
      <c r="A1260" s="117" t="s">
        <v>126</v>
      </c>
      <c r="B1260" s="2">
        <v>46173</v>
      </c>
      <c r="C1260" s="117" t="s">
        <v>3</v>
      </c>
      <c r="D1260" s="117" t="s">
        <v>3</v>
      </c>
      <c r="E1260" s="117" t="s">
        <v>36</v>
      </c>
      <c r="F1260">
        <v>85</v>
      </c>
      <c r="G1260" s="12" t="s">
        <v>63</v>
      </c>
      <c r="H1260" s="9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Log'!$E$2:$V$73,
    MATCH(1,
      ('Golf Log'!$A$2:$A$73=$A1260)*
      ('Golf Log'!$B$2:$B$73=$B1260)*
      ('Golf Log'!$C$2:$C$73=$C1260),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Log'!$E$2:$V$73,
    MATCH(1,
      ('Putt Log'!$A$2:$A$73=$A1260)*
      ('Putt Log'!$B$2:$B$73=$B1260)*
      ('Putt Log'!$C$2:$C$73=$C1260),
    0),
    MATCH($G1260,'Putt Log'!$E$1:$V$1,0)
  ),
"")</f>
        <v>3</v>
      </c>
      <c r="P1260" t="str" cm="1">
        <f t="array" ref="P1260">IF(K1260=3,"",
  IFERROR(
    INDEX('Fairway Log'!$E$2:$V$73,
      MATCH(1,
        ('Fairway Log'!$A$2:$A$73=$A1260)*
        ('Fairway Log'!$B$2:$B$73=$B1260)*
        ('Fairway Log'!$C$2:$C1331=$C1260),
      0),
      MATCH($G1260,'Fairway Log'!$E$1:$V$1,0)
    ),
  "")
)</f>
        <v>←</v>
      </c>
      <c r="Q1260" cm="1">
        <f t="array" ref="Q1260">IFERROR(
  INDEX('GIR Log'!$E$2:$V$73,
    MATCH(1,
      ('GIR Log'!$A$2:$A$73=$A1260)*
      ('GIR Log'!$B$2:$B$73=$B1260)*
      ('GIR Log'!$C$2:$C$73=$C1260),
    0),
    MATCH($G1260,'GIR Log'!$E$1:$V$1,0)
  ),
"")</f>
        <v>1</v>
      </c>
    </row>
    <row r="1261" spans="1:17" x14ac:dyDescent="0.25">
      <c r="A1261" s="117" t="s">
        <v>126</v>
      </c>
      <c r="B1261" s="2">
        <v>46173</v>
      </c>
      <c r="C1261" s="117" t="s">
        <v>3</v>
      </c>
      <c r="D1261" s="117" t="s">
        <v>3</v>
      </c>
      <c r="E1261" s="117" t="s">
        <v>36</v>
      </c>
      <c r="F1261">
        <v>85</v>
      </c>
      <c r="G1261" s="12" t="s">
        <v>64</v>
      </c>
      <c r="H1261" s="9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Log'!$E$2:$V$73,
    MATCH(1,
      ('Golf Log'!$A$2:$A$73=$A1261)*
      ('Golf Log'!$B$2:$B$73=$B1261)*
      ('Golf Log'!$C$2:$C$73=$C1261),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Log'!$E$2:$V$73,
    MATCH(1,
      ('Putt Log'!$A$2:$A$73=$A1261)*
      ('Putt Log'!$B$2:$B$73=$B1261)*
      ('Putt Log'!$C$2:$C$73=$C1261),
    0),
    MATCH($G1261,'Putt Log'!$E$1:$V$1,0)
  ),
"")</f>
        <v>2</v>
      </c>
      <c r="P1261" t="str" cm="1">
        <f t="array" ref="P1261">IF(K1261=3,"",
  IFERROR(
    INDEX('Fairway Log'!$E$2:$V$73,
      MATCH(1,
        ('Fairway Log'!$A$2:$A$73=$A1261)*
        ('Fairway Log'!$B$2:$B$73=$B1261)*
        ('Fairway Log'!$C$2:$C1332=$C1261),
      0),
      MATCH($G1261,'Fairway Log'!$E$1:$V$1,0)
    ),
  "")
)</f>
        <v>→</v>
      </c>
      <c r="Q1261" t="str" cm="1">
        <f t="array" ref="Q1261">IFERROR(
  INDEX('GIR Log'!$E$2:$V$73,
    MATCH(1,
      ('GIR Log'!$A$2:$A$73=$A1261)*
      ('GIR Log'!$B$2:$B$73=$B1261)*
      ('GIR Log'!$C$2:$C$73=$C1261),
    0),
    MATCH($G1261,'GIR Log'!$E$1:$V$1,0)
  ),
"")</f>
        <v>←</v>
      </c>
    </row>
    <row r="1262" spans="1:17" x14ac:dyDescent="0.25">
      <c r="A1262" s="117" t="s">
        <v>130</v>
      </c>
      <c r="B1262" s="2">
        <v>46173</v>
      </c>
      <c r="C1262" s="117" t="s">
        <v>3</v>
      </c>
      <c r="D1262" s="117" t="s">
        <v>3</v>
      </c>
      <c r="E1262" s="117" t="s">
        <v>36</v>
      </c>
      <c r="F1262">
        <v>93</v>
      </c>
      <c r="G1262" s="12" t="s">
        <v>47</v>
      </c>
      <c r="H1262" s="9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Log'!$E$2:$V$73,
    MATCH(1,
      ('Golf Log'!$A$2:$A$73=$A1262)*
      ('Golf Log'!$B$2:$B$73=$B1262)*
      ('Golf Log'!$C$2:$C$73=$C1262),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Log'!$E$2:$V$73,
    MATCH(1,
      ('Putt Log'!$A$2:$A$73=$A1262)*
      ('Putt Log'!$B$2:$B$73=$B1262)*
      ('Putt Log'!$C$2:$C$73=$C1262),
    0),
    MATCH($G1262,'Putt Log'!$E$1:$V$1,0)
  ),
"")</f>
        <v>2</v>
      </c>
      <c r="P1262" cm="1">
        <f t="array" ref="P1262">IF(K1262=3,"",
  IFERROR(
    INDEX('Fairway Log'!$E$2:$V$73,
      MATCH(1,
        ('Fairway Log'!$A$2:$A$73=$A1262)*
        ('Fairway Log'!$B$2:$B$73=$B1262)*
        ('Fairway Log'!$C$2:$C1333=$C1262),
      0),
      MATCH($G1262,'Fairway Log'!$E$1:$V$1,0)
    ),
  "")
)</f>
        <v>1</v>
      </c>
      <c r="Q1262" t="str" cm="1">
        <f t="array" ref="Q1262">IFERROR(
  INDEX('GIR Log'!$E$2:$V$73,
    MATCH(1,
      ('GIR Log'!$A$2:$A$73=$A1262)*
      ('GIR Log'!$B$2:$B$73=$B1262)*
      ('GIR Log'!$C$2:$C$73=$C1262),
    0),
    MATCH($G1262,'GIR Log'!$E$1:$V$1,0)
  ),
"")</f>
        <v>↓</v>
      </c>
    </row>
    <row r="1263" spans="1:17" x14ac:dyDescent="0.25">
      <c r="A1263" s="117" t="s">
        <v>130</v>
      </c>
      <c r="B1263" s="2">
        <v>46173</v>
      </c>
      <c r="C1263" s="117" t="s">
        <v>3</v>
      </c>
      <c r="D1263" s="117" t="s">
        <v>3</v>
      </c>
      <c r="E1263" s="117" t="s">
        <v>36</v>
      </c>
      <c r="F1263">
        <v>93</v>
      </c>
      <c r="G1263" s="12" t="s">
        <v>48</v>
      </c>
      <c r="H1263" s="9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Log'!$E$2:$V$73,
    MATCH(1,
      ('Golf Log'!$A$2:$A$73=$A1263)*
      ('Golf Log'!$B$2:$B$73=$B1263)*
      ('Golf Log'!$C$2:$C$73=$C1263),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Log'!$E$2:$V$73,
    MATCH(1,
      ('Putt Log'!$A$2:$A$73=$A1263)*
      ('Putt Log'!$B$2:$B$73=$B1263)*
      ('Putt Log'!$C$2:$C$73=$C1263),
    0),
    MATCH($G1263,'Putt Log'!$E$1:$V$1,0)
  ),
"")</f>
        <v>2</v>
      </c>
      <c r="P1263" t="str" cm="1">
        <f t="array" ref="P1263">IF(K1263=3,"",
  IFERROR(
    INDEX('Fairway Log'!$E$2:$V$73,
      MATCH(1,
        ('Fairway Log'!$A$2:$A$73=$A1263)*
        ('Fairway Log'!$B$2:$B$73=$B1263)*
        ('Fairway Log'!$C$2:$C1334=$C1263),
      0),
      MATCH($G1263,'Fairway Log'!$E$1:$V$1,0)
    ),
  "")
)</f>
        <v>→</v>
      </c>
      <c r="Q1263" t="str" cm="1">
        <f t="array" ref="Q1263">IFERROR(
  INDEX('GIR Log'!$E$2:$V$73,
    MATCH(1,
      ('GIR Log'!$A$2:$A$73=$A1263)*
      ('GIR Log'!$B$2:$B$73=$B1263)*
      ('GIR Log'!$C$2:$C$73=$C1263),
    0),
    MATCH($G1263,'GIR Log'!$E$1:$V$1,0)
  ),
"")</f>
        <v>←</v>
      </c>
    </row>
    <row r="1264" spans="1:17" x14ac:dyDescent="0.25">
      <c r="A1264" s="117" t="s">
        <v>130</v>
      </c>
      <c r="B1264" s="2">
        <v>46173</v>
      </c>
      <c r="C1264" s="117" t="s">
        <v>3</v>
      </c>
      <c r="D1264" s="117" t="s">
        <v>3</v>
      </c>
      <c r="E1264" s="117" t="s">
        <v>36</v>
      </c>
      <c r="F1264">
        <v>93</v>
      </c>
      <c r="G1264" s="12" t="s">
        <v>49</v>
      </c>
      <c r="H1264" s="9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Log'!$E$2:$V$73,
    MATCH(1,
      ('Golf Log'!$A$2:$A$73=$A1264)*
      ('Golf Log'!$B$2:$B$73=$B1264)*
      ('Golf Log'!$C$2:$C$73=$C1264),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Log'!$E$2:$V$73,
    MATCH(1,
      ('Putt Log'!$A$2:$A$73=$A1264)*
      ('Putt Log'!$B$2:$B$73=$B1264)*
      ('Putt Log'!$C$2:$C$73=$C1264),
    0),
    MATCH($G1264,'Putt Log'!$E$1:$V$1,0)
  ),
"")</f>
        <v>1</v>
      </c>
      <c r="P1264" t="str" cm="1">
        <f t="array" ref="P1264">IF(K1264=3,"",
  IFERROR(
    INDEX('Fairway Log'!$E$2:$V$73,
      MATCH(1,
        ('Fairway Log'!$A$2:$A$73=$A1264)*
        ('Fairway Log'!$B$2:$B$73=$B1264)*
        ('Fairway Log'!$C$2:$C1335=$C1264),
      0),
      MATCH($G1264,'Fairway Log'!$E$1:$V$1,0)
    ),
  "")
)</f>
        <v/>
      </c>
      <c r="Q1264" t="str" cm="1">
        <f t="array" ref="Q1264">IFERROR(
  INDEX('GIR Log'!$E$2:$V$73,
    MATCH(1,
      ('GIR Log'!$A$2:$A$73=$A1264)*
      ('GIR Log'!$B$2:$B$73=$B1264)*
      ('GIR Log'!$C$2:$C$73=$C1264),
    0),
    MATCH($G1264,'GIR Log'!$E$1:$V$1,0)
  ),
"")</f>
        <v>↑</v>
      </c>
    </row>
    <row r="1265" spans="1:17" x14ac:dyDescent="0.25">
      <c r="A1265" s="117" t="s">
        <v>130</v>
      </c>
      <c r="B1265" s="2">
        <v>46173</v>
      </c>
      <c r="C1265" s="117" t="s">
        <v>3</v>
      </c>
      <c r="D1265" s="117" t="s">
        <v>3</v>
      </c>
      <c r="E1265" s="117" t="s">
        <v>36</v>
      </c>
      <c r="F1265">
        <v>93</v>
      </c>
      <c r="G1265" s="12" t="s">
        <v>50</v>
      </c>
      <c r="H1265" s="9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Log'!$E$2:$V$73,
    MATCH(1,
      ('Golf Log'!$A$2:$A$73=$A1265)*
      ('Golf Log'!$B$2:$B$73=$B1265)*
      ('Golf Log'!$C$2:$C$73=$C1265),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Log'!$E$2:$V$73,
    MATCH(1,
      ('Putt Log'!$A$2:$A$73=$A1265)*
      ('Putt Log'!$B$2:$B$73=$B1265)*
      ('Putt Log'!$C$2:$C$73=$C1265),
    0),
    MATCH($G1265,'Putt Log'!$E$1:$V$1,0)
  ),
"")</f>
        <v>2</v>
      </c>
      <c r="P1265" t="str" cm="1">
        <f t="array" ref="P1265">IF(K1265=3,"",
  IFERROR(
    INDEX('Fairway Log'!$E$2:$V$73,
      MATCH(1,
        ('Fairway Log'!$A$2:$A$73=$A1265)*
        ('Fairway Log'!$B$2:$B$73=$B1265)*
        ('Fairway Log'!$C$2:$C1336=$C1265),
      0),
      MATCH($G1265,'Fairway Log'!$E$1:$V$1,0)
    ),
  "")
)</f>
        <v>←</v>
      </c>
      <c r="Q1265" t="str" cm="1">
        <f t="array" ref="Q1265">IFERROR(
  INDEX('GIR Log'!$E$2:$V$73,
    MATCH(1,
      ('GIR Log'!$A$2:$A$73=$A1265)*
      ('GIR Log'!$B$2:$B$73=$B1265)*
      ('GIR Log'!$C$2:$C$73=$C1265),
    0),
    MATCH($G1265,'GIR Log'!$E$1:$V$1,0)
  ),
"")</f>
        <v>NC</v>
      </c>
    </row>
    <row r="1266" spans="1:17" x14ac:dyDescent="0.25">
      <c r="A1266" s="117" t="s">
        <v>130</v>
      </c>
      <c r="B1266" s="2">
        <v>46173</v>
      </c>
      <c r="C1266" s="117" t="s">
        <v>3</v>
      </c>
      <c r="D1266" s="117" t="s">
        <v>3</v>
      </c>
      <c r="E1266" s="117" t="s">
        <v>36</v>
      </c>
      <c r="F1266">
        <v>93</v>
      </c>
      <c r="G1266" s="12" t="s">
        <v>51</v>
      </c>
      <c r="H1266" s="9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Log'!$E$2:$V$73,
    MATCH(1,
      ('Golf Log'!$A$2:$A$73=$A1266)*
      ('Golf Log'!$B$2:$B$73=$B1266)*
      ('Golf Log'!$C$2:$C$73=$C1266),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Log'!$E$2:$V$73,
    MATCH(1,
      ('Putt Log'!$A$2:$A$73=$A1266)*
      ('Putt Log'!$B$2:$B$73=$B1266)*
      ('Putt Log'!$C$2:$C$73=$C1266),
    0),
    MATCH($G1266,'Putt Log'!$E$1:$V$1,0)
  ),
"")</f>
        <v>1</v>
      </c>
      <c r="P1266" t="str" cm="1">
        <f t="array" ref="P1266">IF(K1266=3,"",
  IFERROR(
    INDEX('Fairway Log'!$E$2:$V$73,
      MATCH(1,
        ('Fairway Log'!$A$2:$A$73=$A1266)*
        ('Fairway Log'!$B$2:$B$73=$B1266)*
        ('Fairway Log'!$C$2:$C1337=$C1266),
      0),
      MATCH($G1266,'Fairway Log'!$E$1:$V$1,0)
    ),
  "")
)</f>
        <v>↑</v>
      </c>
      <c r="Q1266" t="str" cm="1">
        <f t="array" ref="Q1266">IFERROR(
  INDEX('GIR Log'!$E$2:$V$73,
    MATCH(1,
      ('GIR Log'!$A$2:$A$73=$A1266)*
      ('GIR Log'!$B$2:$B$73=$B1266)*
      ('GIR Log'!$C$2:$C$73=$C1266),
    0),
    MATCH($G1266,'GIR Log'!$E$1:$V$1,0)
  ),
"")</f>
        <v>↓</v>
      </c>
    </row>
    <row r="1267" spans="1:17" x14ac:dyDescent="0.25">
      <c r="A1267" s="117" t="s">
        <v>130</v>
      </c>
      <c r="B1267" s="2">
        <v>46173</v>
      </c>
      <c r="C1267" s="117" t="s">
        <v>3</v>
      </c>
      <c r="D1267" s="117" t="s">
        <v>3</v>
      </c>
      <c r="E1267" s="117" t="s">
        <v>36</v>
      </c>
      <c r="F1267">
        <v>93</v>
      </c>
      <c r="G1267" s="12" t="s">
        <v>52</v>
      </c>
      <c r="H1267" s="9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Log'!$E$2:$V$73,
    MATCH(1,
      ('Golf Log'!$A$2:$A$73=$A1267)*
      ('Golf Log'!$B$2:$B$73=$B1267)*
      ('Golf Log'!$C$2:$C$73=$C1267),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Log'!$E$2:$V$73,
    MATCH(1,
      ('Putt Log'!$A$2:$A$73=$A1267)*
      ('Putt Log'!$B$2:$B$73=$B1267)*
      ('Putt Log'!$C$2:$C$73=$C1267),
    0),
    MATCH($G1267,'Putt Log'!$E$1:$V$1,0)
  ),
"")</f>
        <v>1</v>
      </c>
      <c r="P1267" t="str" cm="1">
        <f t="array" ref="P1267">IF(K1267=3,"",
  IFERROR(
    INDEX('Fairway Log'!$E$2:$V$73,
      MATCH(1,
        ('Fairway Log'!$A$2:$A$73=$A1267)*
        ('Fairway Log'!$B$2:$B$73=$B1267)*
        ('Fairway Log'!$C$2:$C1338=$C1267),
      0),
      MATCH($G1267,'Fairway Log'!$E$1:$V$1,0)
    ),
  "")
)</f>
        <v/>
      </c>
      <c r="Q1267" t="str" cm="1">
        <f t="array" ref="Q1267">IFERROR(
  INDEX('GIR Log'!$E$2:$V$73,
    MATCH(1,
      ('GIR Log'!$A$2:$A$73=$A1267)*
      ('GIR Log'!$B$2:$B$73=$B1267)*
      ('GIR Log'!$C$2:$C$73=$C1267),
    0),
    MATCH($G1267,'GIR Log'!$E$1:$V$1,0)
  ),
"")</f>
        <v>←</v>
      </c>
    </row>
    <row r="1268" spans="1:17" x14ac:dyDescent="0.25">
      <c r="A1268" s="117" t="s">
        <v>130</v>
      </c>
      <c r="B1268" s="2">
        <v>46173</v>
      </c>
      <c r="C1268" s="117" t="s">
        <v>3</v>
      </c>
      <c r="D1268" s="117" t="s">
        <v>3</v>
      </c>
      <c r="E1268" s="117" t="s">
        <v>36</v>
      </c>
      <c r="F1268">
        <v>93</v>
      </c>
      <c r="G1268" s="12" t="s">
        <v>53</v>
      </c>
      <c r="H1268" s="9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Log'!$E$2:$V$73,
    MATCH(1,
      ('Golf Log'!$A$2:$A$73=$A1268)*
      ('Golf Log'!$B$2:$B$73=$B1268)*
      ('Golf Log'!$C$2:$C$73=$C1268),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Log'!$E$2:$V$73,
    MATCH(1,
      ('Putt Log'!$A$2:$A$73=$A1268)*
      ('Putt Log'!$B$2:$B$73=$B1268)*
      ('Putt Log'!$C$2:$C$73=$C1268),
    0),
    MATCH($G1268,'Putt Log'!$E$1:$V$1,0)
  ),
"")</f>
        <v>2</v>
      </c>
      <c r="P1268" t="str" cm="1">
        <f t="array" ref="P1268">IF(K1268=3,"",
  IFERROR(
    INDEX('Fairway Log'!$E$2:$V$73,
      MATCH(1,
        ('Fairway Log'!$A$2:$A$73=$A1268)*
        ('Fairway Log'!$B$2:$B$73=$B1268)*
        ('Fairway Log'!$C$2:$C1339=$C1268),
      0),
      MATCH($G1268,'Fairway Log'!$E$1:$V$1,0)
    ),
  "")
)</f>
        <v>←</v>
      </c>
      <c r="Q1268" t="str" cm="1">
        <f t="array" ref="Q1268">IFERROR(
  INDEX('GIR Log'!$E$2:$V$73,
    MATCH(1,
      ('GIR Log'!$A$2:$A$73=$A1268)*
      ('GIR Log'!$B$2:$B$73=$B1268)*
      ('GIR Log'!$C$2:$C$73=$C1268),
    0),
    MATCH($G1268,'GIR Log'!$E$1:$V$1,0)
  ),
"")</f>
        <v>↓</v>
      </c>
    </row>
    <row r="1269" spans="1:17" x14ac:dyDescent="0.25">
      <c r="A1269" s="117" t="s">
        <v>130</v>
      </c>
      <c r="B1269" s="2">
        <v>46173</v>
      </c>
      <c r="C1269" s="117" t="s">
        <v>3</v>
      </c>
      <c r="D1269" s="117" t="s">
        <v>3</v>
      </c>
      <c r="E1269" s="117" t="s">
        <v>36</v>
      </c>
      <c r="F1269">
        <v>93</v>
      </c>
      <c r="G1269" s="12" t="s">
        <v>54</v>
      </c>
      <c r="H1269" s="9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Log'!$E$2:$V$73,
    MATCH(1,
      ('Golf Log'!$A$2:$A$73=$A1269)*
      ('Golf Log'!$B$2:$B$73=$B1269)*
      ('Golf Log'!$C$2:$C$73=$C1269),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Log'!$E$2:$V$73,
    MATCH(1,
      ('Putt Log'!$A$2:$A$73=$A1269)*
      ('Putt Log'!$B$2:$B$73=$B1269)*
      ('Putt Log'!$C$2:$C$73=$C1269),
    0),
    MATCH($G1269,'Putt Log'!$E$1:$V$1,0)
  ),
"")</f>
        <v>3</v>
      </c>
      <c r="P1269" t="str" cm="1">
        <f t="array" ref="P1269">IF(K1269=3,"",
  IFERROR(
    INDEX('Fairway Log'!$E$2:$V$73,
      MATCH(1,
        ('Fairway Log'!$A$2:$A$73=$A1269)*
        ('Fairway Log'!$B$2:$B$73=$B1269)*
        ('Fairway Log'!$C$2:$C1340=$C1269),
      0),
      MATCH($G1269,'Fairway Log'!$E$1:$V$1,0)
    ),
  "")
)</f>
        <v>←</v>
      </c>
      <c r="Q1269" t="str" cm="1">
        <f t="array" ref="Q1269">IFERROR(
  INDEX('GIR Log'!$E$2:$V$73,
    MATCH(1,
      ('GIR Log'!$A$2:$A$73=$A1269)*
      ('GIR Log'!$B$2:$B$73=$B1269)*
      ('GIR Log'!$C$2:$C$73=$C1269),
    0),
    MATCH($G1269,'GIR Log'!$E$1:$V$1,0)
  ),
"")</f>
        <v>NC</v>
      </c>
    </row>
    <row r="1270" spans="1:17" x14ac:dyDescent="0.25">
      <c r="A1270" s="117" t="s">
        <v>130</v>
      </c>
      <c r="B1270" s="2">
        <v>46173</v>
      </c>
      <c r="C1270" s="117" t="s">
        <v>3</v>
      </c>
      <c r="D1270" s="117" t="s">
        <v>3</v>
      </c>
      <c r="E1270" s="117" t="s">
        <v>36</v>
      </c>
      <c r="F1270">
        <v>93</v>
      </c>
      <c r="G1270" s="12" t="s">
        <v>55</v>
      </c>
      <c r="H1270" s="9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Log'!$E$2:$V$73,
    MATCH(1,
      ('Golf Log'!$A$2:$A$73=$A1270)*
      ('Golf Log'!$B$2:$B$73=$B1270)*
      ('Golf Log'!$C$2:$C$73=$C1270),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Log'!$E$2:$V$73,
    MATCH(1,
      ('Putt Log'!$A$2:$A$73=$A1270)*
      ('Putt Log'!$B$2:$B$73=$B1270)*
      ('Putt Log'!$C$2:$C$73=$C1270),
    0),
    MATCH($G1270,'Putt Log'!$E$1:$V$1,0)
  ),
"")</f>
        <v>2</v>
      </c>
      <c r="P1270" t="str" cm="1">
        <f t="array" ref="P1270">IF(K1270=3,"",
  IFERROR(
    INDEX('Fairway Log'!$E$2:$V$73,
      MATCH(1,
        ('Fairway Log'!$A$2:$A$73=$A1270)*
        ('Fairway Log'!$B$2:$B$73=$B1270)*
        ('Fairway Log'!$C$2:$C1341=$C1270),
      0),
      MATCH($G1270,'Fairway Log'!$E$1:$V$1,0)
    ),
  "")
)</f>
        <v>→</v>
      </c>
      <c r="Q1270" t="str" cm="1">
        <f t="array" ref="Q1270">IFERROR(
  INDEX('GIR Log'!$E$2:$V$73,
    MATCH(1,
      ('GIR Log'!$A$2:$A$73=$A1270)*
      ('GIR Log'!$B$2:$B$73=$B1270)*
      ('GIR Log'!$C$2:$C$73=$C1270),
    0),
    MATCH($G1270,'GIR Log'!$E$1:$V$1,0)
  ),
"")</f>
        <v>↓</v>
      </c>
    </row>
    <row r="1271" spans="1:17" x14ac:dyDescent="0.25">
      <c r="A1271" s="117" t="s">
        <v>130</v>
      </c>
      <c r="B1271" s="2">
        <v>46173</v>
      </c>
      <c r="C1271" s="117" t="s">
        <v>3</v>
      </c>
      <c r="D1271" s="117" t="s">
        <v>3</v>
      </c>
      <c r="E1271" s="117" t="s">
        <v>36</v>
      </c>
      <c r="F1271">
        <v>93</v>
      </c>
      <c r="G1271" s="12" t="s">
        <v>56</v>
      </c>
      <c r="H1271" s="9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Log'!$E$2:$V$73,
    MATCH(1,
      ('Golf Log'!$A$2:$A$73=$A1271)*
      ('Golf Log'!$B$2:$B$73=$B1271)*
      ('Golf Log'!$C$2:$C$73=$C1271),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Log'!$E$2:$V$73,
    MATCH(1,
      ('Putt Log'!$A$2:$A$73=$A1271)*
      ('Putt Log'!$B$2:$B$73=$B1271)*
      ('Putt Log'!$C$2:$C$73=$C1271),
    0),
    MATCH($G1271,'Putt Log'!$E$1:$V$1,0)
  ),
"")</f>
        <v>1</v>
      </c>
      <c r="P1271" t="str" cm="1">
        <f t="array" ref="P1271">IF(K1271=3,"",
  IFERROR(
    INDEX('Fairway Log'!$E$2:$V$73,
      MATCH(1,
        ('Fairway Log'!$A$2:$A$73=$A1271)*
        ('Fairway Log'!$B$2:$B$73=$B1271)*
        ('Fairway Log'!$C$2:$C1342=$C1271),
      0),
      MATCH($G1271,'Fairway Log'!$E$1:$V$1,0)
    ),
  "")
)</f>
        <v>←</v>
      </c>
      <c r="Q1271" t="str" cm="1">
        <f t="array" ref="Q1271">IFERROR(
  INDEX('GIR Log'!$E$2:$V$73,
    MATCH(1,
      ('GIR Log'!$A$2:$A$73=$A1271)*
      ('GIR Log'!$B$2:$B$73=$B1271)*
      ('GIR Log'!$C$2:$C$73=$C1271),
    0),
    MATCH($G1271,'GIR Log'!$E$1:$V$1,0)
  ),
"")</f>
        <v>NC</v>
      </c>
    </row>
    <row r="1272" spans="1:17" x14ac:dyDescent="0.25">
      <c r="A1272" s="117" t="s">
        <v>130</v>
      </c>
      <c r="B1272" s="2">
        <v>46173</v>
      </c>
      <c r="C1272" s="117" t="s">
        <v>3</v>
      </c>
      <c r="D1272" s="117" t="s">
        <v>3</v>
      </c>
      <c r="E1272" s="117" t="s">
        <v>36</v>
      </c>
      <c r="F1272">
        <v>93</v>
      </c>
      <c r="G1272" s="12" t="s">
        <v>57</v>
      </c>
      <c r="H1272" s="9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Log'!$E$2:$V$73,
    MATCH(1,
      ('Golf Log'!$A$2:$A$73=$A1272)*
      ('Golf Log'!$B$2:$B$73=$B1272)*
      ('Golf Log'!$C$2:$C$73=$C1272),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Log'!$E$2:$V$73,
    MATCH(1,
      ('Putt Log'!$A$2:$A$73=$A1272)*
      ('Putt Log'!$B$2:$B$73=$B1272)*
      ('Putt Log'!$C$2:$C$73=$C1272),
    0),
    MATCH($G1272,'Putt Log'!$E$1:$V$1,0)
  ),
"")</f>
        <v>1</v>
      </c>
      <c r="P1272" t="str" cm="1">
        <f t="array" ref="P1272">IF(K1272=3,"",
  IFERROR(
    INDEX('Fairway Log'!$E$2:$V$73,
      MATCH(1,
        ('Fairway Log'!$A$2:$A$73=$A1272)*
        ('Fairway Log'!$B$2:$B$73=$B1272)*
        ('Fairway Log'!$C$2:$C1343=$C1272),
      0),
      MATCH($G1272,'Fairway Log'!$E$1:$V$1,0)
    ),
  "")
)</f>
        <v/>
      </c>
      <c r="Q1272" t="str" cm="1">
        <f t="array" ref="Q1272">IFERROR(
  INDEX('GIR Log'!$E$2:$V$73,
    MATCH(1,
      ('GIR Log'!$A$2:$A$73=$A1272)*
      ('GIR Log'!$B$2:$B$73=$B1272)*
      ('GIR Log'!$C$2:$C$73=$C1272),
    0),
    MATCH($G1272,'GIR Log'!$E$1:$V$1,0)
  ),
"")</f>
        <v>↓</v>
      </c>
    </row>
    <row r="1273" spans="1:17" x14ac:dyDescent="0.25">
      <c r="A1273" s="117" t="s">
        <v>130</v>
      </c>
      <c r="B1273" s="2">
        <v>46173</v>
      </c>
      <c r="C1273" s="117" t="s">
        <v>3</v>
      </c>
      <c r="D1273" s="117" t="s">
        <v>3</v>
      </c>
      <c r="E1273" s="117" t="s">
        <v>36</v>
      </c>
      <c r="F1273">
        <v>93</v>
      </c>
      <c r="G1273" s="12" t="s">
        <v>58</v>
      </c>
      <c r="H1273" s="9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Log'!$E$2:$V$73,
    MATCH(1,
      ('Golf Log'!$A$2:$A$73=$A1273)*
      ('Golf Log'!$B$2:$B$73=$B1273)*
      ('Golf Log'!$C$2:$C$73=$C1273),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Log'!$E$2:$V$73,
    MATCH(1,
      ('Putt Log'!$A$2:$A$73=$A1273)*
      ('Putt Log'!$B$2:$B$73=$B1273)*
      ('Putt Log'!$C$2:$C$73=$C1273),
    0),
    MATCH($G1273,'Putt Log'!$E$1:$V$1,0)
  ),
"")</f>
        <v>2</v>
      </c>
      <c r="P1273" t="str" cm="1">
        <f t="array" ref="P1273">IF(K1273=3,"",
  IFERROR(
    INDEX('Fairway Log'!$E$2:$V$73,
      MATCH(1,
        ('Fairway Log'!$A$2:$A$73=$A1273)*
        ('Fairway Log'!$B$2:$B$73=$B1273)*
        ('Fairway Log'!$C$2:$C1344=$C1273),
      0),
      MATCH($G1273,'Fairway Log'!$E$1:$V$1,0)
    ),
  "")
)</f>
        <v>↑</v>
      </c>
      <c r="Q1273" cm="1">
        <f t="array" ref="Q1273">IFERROR(
  INDEX('GIR Log'!$E$2:$V$73,
    MATCH(1,
      ('GIR Log'!$A$2:$A$73=$A1273)*
      ('GIR Log'!$B$2:$B$73=$B1273)*
      ('GIR Log'!$C$2:$C$73=$C1273),
    0),
    MATCH($G1273,'GIR Log'!$E$1:$V$1,0)
  ),
"")</f>
        <v>1</v>
      </c>
    </row>
    <row r="1274" spans="1:17" x14ac:dyDescent="0.25">
      <c r="A1274" s="117" t="s">
        <v>130</v>
      </c>
      <c r="B1274" s="2">
        <v>46173</v>
      </c>
      <c r="C1274" s="117" t="s">
        <v>3</v>
      </c>
      <c r="D1274" s="117" t="s">
        <v>3</v>
      </c>
      <c r="E1274" s="117" t="s">
        <v>36</v>
      </c>
      <c r="F1274">
        <v>93</v>
      </c>
      <c r="G1274" s="12" t="s">
        <v>59</v>
      </c>
      <c r="H1274" s="9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Log'!$E$2:$V$73,
    MATCH(1,
      ('Golf Log'!$A$2:$A$73=$A1274)*
      ('Golf Log'!$B$2:$B$73=$B1274)*
      ('Golf Log'!$C$2:$C$73=$C1274),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Log'!$E$2:$V$73,
    MATCH(1,
      ('Putt Log'!$A$2:$A$73=$A1274)*
      ('Putt Log'!$B$2:$B$73=$B1274)*
      ('Putt Log'!$C$2:$C$73=$C1274),
    0),
    MATCH($G1274,'Putt Log'!$E$1:$V$1,0)
  ),
"")</f>
        <v>3</v>
      </c>
      <c r="P1274" t="str" cm="1">
        <f t="array" ref="P1274">IF(K1274=3,"",
  IFERROR(
    INDEX('Fairway Log'!$E$2:$V$73,
      MATCH(1,
        ('Fairway Log'!$A$2:$A$73=$A1274)*
        ('Fairway Log'!$B$2:$B$73=$B1274)*
        ('Fairway Log'!$C$2:$C1345=$C1274),
      0),
      MATCH($G1274,'Fairway Log'!$E$1:$V$1,0)
    ),
  "")
)</f>
        <v>←</v>
      </c>
      <c r="Q1274" t="str" cm="1">
        <f t="array" ref="Q1274">IFERROR(
  INDEX('GIR Log'!$E$2:$V$73,
    MATCH(1,
      ('GIR Log'!$A$2:$A$73=$A1274)*
      ('GIR Log'!$B$2:$B$73=$B1274)*
      ('GIR Log'!$C$2:$C$73=$C1274),
    0),
    MATCH($G1274,'GIR Log'!$E$1:$V$1,0)
  ),
"")</f>
        <v>NC</v>
      </c>
    </row>
    <row r="1275" spans="1:17" x14ac:dyDescent="0.25">
      <c r="A1275" s="117" t="s">
        <v>130</v>
      </c>
      <c r="B1275" s="2">
        <v>46173</v>
      </c>
      <c r="C1275" s="117" t="s">
        <v>3</v>
      </c>
      <c r="D1275" s="117" t="s">
        <v>3</v>
      </c>
      <c r="E1275" s="117" t="s">
        <v>36</v>
      </c>
      <c r="F1275">
        <v>93</v>
      </c>
      <c r="G1275" s="12" t="s">
        <v>60</v>
      </c>
      <c r="H1275" s="9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Log'!$E$2:$V$73,
    MATCH(1,
      ('Golf Log'!$A$2:$A$73=$A1275)*
      ('Golf Log'!$B$2:$B$73=$B1275)*
      ('Golf Log'!$C$2:$C$73=$C1275),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Log'!$E$2:$V$73,
    MATCH(1,
      ('Putt Log'!$A$2:$A$73=$A1275)*
      ('Putt Log'!$B$2:$B$73=$B1275)*
      ('Putt Log'!$C$2:$C$73=$C1275),
    0),
    MATCH($G1275,'Putt Log'!$E$1:$V$1,0)
  ),
"")</f>
        <v>2</v>
      </c>
      <c r="P1275" cm="1">
        <f t="array" ref="P1275">IF(K1275=3,"",
  IFERROR(
    INDEX('Fairway Log'!$E$2:$V$73,
      MATCH(1,
        ('Fairway Log'!$A$2:$A$73=$A1275)*
        ('Fairway Log'!$B$2:$B$73=$B1275)*
        ('Fairway Log'!$C$2:$C1346=$C1275),
      0),
      MATCH($G1275,'Fairway Log'!$E$1:$V$1,0)
    ),
  "")
)</f>
        <v>1</v>
      </c>
      <c r="Q1275" t="str" cm="1">
        <f t="array" ref="Q1275">IFERROR(
  INDEX('GIR Log'!$E$2:$V$73,
    MATCH(1,
      ('GIR Log'!$A$2:$A$73=$A1275)*
      ('GIR Log'!$B$2:$B$73=$B1275)*
      ('GIR Log'!$C$2:$C$73=$C1275),
    0),
    MATCH($G1275,'GIR Log'!$E$1:$V$1,0)
  ),
"")</f>
        <v>↑</v>
      </c>
    </row>
    <row r="1276" spans="1:17" x14ac:dyDescent="0.25">
      <c r="A1276" s="117" t="s">
        <v>130</v>
      </c>
      <c r="B1276" s="2">
        <v>46173</v>
      </c>
      <c r="C1276" s="117" t="s">
        <v>3</v>
      </c>
      <c r="D1276" s="117" t="s">
        <v>3</v>
      </c>
      <c r="E1276" s="117" t="s">
        <v>36</v>
      </c>
      <c r="F1276">
        <v>93</v>
      </c>
      <c r="G1276" s="12" t="s">
        <v>61</v>
      </c>
      <c r="H1276" s="9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Log'!$E$2:$V$73,
    MATCH(1,
      ('Golf Log'!$A$2:$A$73=$A1276)*
      ('Golf Log'!$B$2:$B$73=$B1276)*
      ('Golf Log'!$C$2:$C$73=$C1276),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Log'!$E$2:$V$73,
    MATCH(1,
      ('Putt Log'!$A$2:$A$73=$A1276)*
      ('Putt Log'!$B$2:$B$73=$B1276)*
      ('Putt Log'!$C$2:$C$73=$C1276),
    0),
    MATCH($G1276,'Putt Log'!$E$1:$V$1,0)
  ),
"")</f>
        <v>2</v>
      </c>
      <c r="P1276" t="str" cm="1">
        <f t="array" ref="P1276">IF(K1276=3,"",
  IFERROR(
    INDEX('Fairway Log'!$E$2:$V$73,
      MATCH(1,
        ('Fairway Log'!$A$2:$A$73=$A1276)*
        ('Fairway Log'!$B$2:$B$73=$B1276)*
        ('Fairway Log'!$C$2:$C1347=$C1276),
      0),
      MATCH($G1276,'Fairway Log'!$E$1:$V$1,0)
    ),
  "")
)</f>
        <v/>
      </c>
      <c r="Q1276" t="str" cm="1">
        <f t="array" ref="Q1276">IFERROR(
  INDEX('GIR Log'!$E$2:$V$73,
    MATCH(1,
      ('GIR Log'!$A$2:$A$73=$A1276)*
      ('GIR Log'!$B$2:$B$73=$B1276)*
      ('GIR Log'!$C$2:$C$73=$C1276),
    0),
    MATCH($G1276,'GIR Log'!$E$1:$V$1,0)
  ),
"")</f>
        <v>←</v>
      </c>
    </row>
    <row r="1277" spans="1:17" x14ac:dyDescent="0.25">
      <c r="A1277" s="117" t="s">
        <v>130</v>
      </c>
      <c r="B1277" s="2">
        <v>46173</v>
      </c>
      <c r="C1277" s="117" t="s">
        <v>3</v>
      </c>
      <c r="D1277" s="117" t="s">
        <v>3</v>
      </c>
      <c r="E1277" s="117" t="s">
        <v>36</v>
      </c>
      <c r="F1277">
        <v>93</v>
      </c>
      <c r="G1277" s="12" t="s">
        <v>62</v>
      </c>
      <c r="H1277" s="9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Log'!$E$2:$V$73,
    MATCH(1,
      ('Golf Log'!$A$2:$A$73=$A1277)*
      ('Golf Log'!$B$2:$B$73=$B1277)*
      ('Golf Log'!$C$2:$C$73=$C1277),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Log'!$E$2:$V$73,
    MATCH(1,
      ('Putt Log'!$A$2:$A$73=$A1277)*
      ('Putt Log'!$B$2:$B$73=$B1277)*
      ('Putt Log'!$C$2:$C$73=$C1277),
    0),
    MATCH($G1277,'Putt Log'!$E$1:$V$1,0)
  ),
"")</f>
        <v>2</v>
      </c>
      <c r="P1277" cm="1">
        <f t="array" ref="P1277">IF(K1277=3,"",
  IFERROR(
    INDEX('Fairway Log'!$E$2:$V$73,
      MATCH(1,
        ('Fairway Log'!$A$2:$A$73=$A1277)*
        ('Fairway Log'!$B$2:$B$73=$B1277)*
        ('Fairway Log'!$C$2:$C1348=$C1277),
      0),
      MATCH($G1277,'Fairway Log'!$E$1:$V$1,0)
    ),
  "")
)</f>
        <v>1</v>
      </c>
      <c r="Q1277" t="str" cm="1">
        <f t="array" ref="Q1277">IFERROR(
  INDEX('GIR Log'!$E$2:$V$73,
    MATCH(1,
      ('GIR Log'!$A$2:$A$73=$A1277)*
      ('GIR Log'!$B$2:$B$73=$B1277)*
      ('GIR Log'!$C$2:$C$73=$C1277),
    0),
    MATCH($G1277,'GIR Log'!$E$1:$V$1,0)
  ),
"")</f>
        <v>NC</v>
      </c>
    </row>
    <row r="1278" spans="1:17" x14ac:dyDescent="0.25">
      <c r="A1278" s="117" t="s">
        <v>130</v>
      </c>
      <c r="B1278" s="2">
        <v>46173</v>
      </c>
      <c r="C1278" s="117" t="s">
        <v>3</v>
      </c>
      <c r="D1278" s="117" t="s">
        <v>3</v>
      </c>
      <c r="E1278" s="117" t="s">
        <v>36</v>
      </c>
      <c r="F1278">
        <v>93</v>
      </c>
      <c r="G1278" s="12" t="s">
        <v>63</v>
      </c>
      <c r="H1278" s="9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Log'!$E$2:$V$73,
    MATCH(1,
      ('Golf Log'!$A$2:$A$73=$A1278)*
      ('Golf Log'!$B$2:$B$73=$B1278)*
      ('Golf Log'!$C$2:$C$73=$C1278),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Log'!$E$2:$V$73,
    MATCH(1,
      ('Putt Log'!$A$2:$A$73=$A1278)*
      ('Putt Log'!$B$2:$B$73=$B1278)*
      ('Putt Log'!$C$2:$C$73=$C1278),
    0),
    MATCH($G1278,'Putt Log'!$E$1:$V$1,0)
  ),
"")</f>
        <v>2</v>
      </c>
      <c r="P1278" t="str" cm="1">
        <f t="array" ref="P1278">IF(K1278=3,"",
  IFERROR(
    INDEX('Fairway Log'!$E$2:$V$73,
      MATCH(1,
        ('Fairway Log'!$A$2:$A$73=$A1278)*
        ('Fairway Log'!$B$2:$B$73=$B1278)*
        ('Fairway Log'!$C$2:$C1349=$C1278),
      0),
      MATCH($G1278,'Fairway Log'!$E$1:$V$1,0)
    ),
  "")
)</f>
        <v>↓</v>
      </c>
      <c r="Q1278" t="str" cm="1">
        <f t="array" ref="Q1278">IFERROR(
  INDEX('GIR Log'!$E$2:$V$73,
    MATCH(1,
      ('GIR Log'!$A$2:$A$73=$A1278)*
      ('GIR Log'!$B$2:$B$73=$B1278)*
      ('GIR Log'!$C$2:$C$73=$C1278),
    0),
    MATCH($G1278,'GIR Log'!$E$1:$V$1,0)
  ),
"")</f>
        <v>NC</v>
      </c>
    </row>
    <row r="1279" spans="1:17" x14ac:dyDescent="0.25">
      <c r="A1279" s="117" t="s">
        <v>130</v>
      </c>
      <c r="B1279" s="2">
        <v>46173</v>
      </c>
      <c r="C1279" s="117" t="s">
        <v>3</v>
      </c>
      <c r="D1279" s="117" t="s">
        <v>3</v>
      </c>
      <c r="E1279" s="117" t="s">
        <v>36</v>
      </c>
      <c r="F1279">
        <v>93</v>
      </c>
      <c r="G1279" s="12" t="s">
        <v>64</v>
      </c>
      <c r="H1279" s="9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Log'!$E$2:$V$73,
    MATCH(1,
      ('Golf Log'!$A$2:$A$73=$A1279)*
      ('Golf Log'!$B$2:$B$73=$B1279)*
      ('Golf Log'!$C$2:$C$73=$C1279),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Log'!$E$2:$V$73,
    MATCH(1,
      ('Putt Log'!$A$2:$A$73=$A1279)*
      ('Putt Log'!$B$2:$B$73=$B1279)*
      ('Putt Log'!$C$2:$C$73=$C1279),
    0),
    MATCH($G1279,'Putt Log'!$E$1:$V$1,0)
  ),
"")</f>
        <v>2</v>
      </c>
      <c r="P1279" t="str" cm="1">
        <f t="array" ref="P1279">IF(K1279=3,"",
  IFERROR(
    INDEX('Fairway Log'!$E$2:$V$73,
      MATCH(1,
        ('Fairway Log'!$A$2:$A$73=$A1279)*
        ('Fairway Log'!$B$2:$B$73=$B1279)*
        ('Fairway Log'!$C$2:$C1350=$C1279),
      0),
      MATCH($G1279,'Fairway Log'!$E$1:$V$1,0)
    ),
  "")
)</f>
        <v>↓</v>
      </c>
      <c r="Q1279" t="str" cm="1">
        <f t="array" ref="Q1279">IFERROR(
  INDEX('GIR Log'!$E$2:$V$73,
    MATCH(1,
      ('GIR Log'!$A$2:$A$73=$A1279)*
      ('GIR Log'!$B$2:$B$73=$B1279)*
      ('GIR Log'!$C$2:$C$73=$C1279),
    0),
    MATCH($G1279,'GIR Log'!$E$1:$V$1,0)
  ),
"")</f>
        <v>NC</v>
      </c>
    </row>
    <row r="1280" spans="1:17" x14ac:dyDescent="0.25">
      <c r="A1280" s="51"/>
      <c r="H1280" s="9"/>
    </row>
    <row r="1281" spans="1:8" x14ac:dyDescent="0.25">
      <c r="A1281" s="51"/>
      <c r="H1281" s="9"/>
    </row>
    <row r="1282" spans="1:8" x14ac:dyDescent="0.25">
      <c r="A1282" s="51"/>
      <c r="H1282" s="9"/>
    </row>
    <row r="1283" spans="1:8" x14ac:dyDescent="0.25">
      <c r="A1283" s="51"/>
      <c r="H1283" s="9"/>
    </row>
    <row r="1284" spans="1:8" x14ac:dyDescent="0.25">
      <c r="A1284" s="51"/>
      <c r="H1284" s="9"/>
    </row>
    <row r="1285" spans="1:8" x14ac:dyDescent="0.25">
      <c r="A1285" s="51"/>
      <c r="H1285" s="9"/>
    </row>
    <row r="1286" spans="1:8" x14ac:dyDescent="0.25">
      <c r="A1286" s="51"/>
      <c r="H1286" s="9"/>
    </row>
    <row r="1287" spans="1:8" x14ac:dyDescent="0.25">
      <c r="A1287" s="51"/>
      <c r="H1287" s="9"/>
    </row>
    <row r="1288" spans="1:8" x14ac:dyDescent="0.25">
      <c r="A1288" s="51"/>
      <c r="H1288" s="9"/>
    </row>
    <row r="1289" spans="1:8" x14ac:dyDescent="0.25">
      <c r="A1289" s="51"/>
      <c r="H1289" s="9"/>
    </row>
    <row r="1290" spans="1:8" x14ac:dyDescent="0.25">
      <c r="A1290" s="51"/>
      <c r="H1290" s="9"/>
    </row>
    <row r="1291" spans="1:8" x14ac:dyDescent="0.25">
      <c r="A1291" s="51"/>
      <c r="H1291" s="9"/>
    </row>
    <row r="1292" spans="1:8" x14ac:dyDescent="0.25">
      <c r="A1292" s="51"/>
      <c r="H1292" s="9"/>
    </row>
    <row r="1293" spans="1:8" x14ac:dyDescent="0.25">
      <c r="A1293" s="51"/>
      <c r="H1293" s="9"/>
    </row>
    <row r="1294" spans="1:8" x14ac:dyDescent="0.25">
      <c r="A1294" s="51"/>
      <c r="H1294" s="9"/>
    </row>
    <row r="1295" spans="1:8" x14ac:dyDescent="0.25">
      <c r="A1295" s="51"/>
      <c r="H1295" s="9"/>
    </row>
    <row r="1296" spans="1:8" x14ac:dyDescent="0.25">
      <c r="A1296" s="51"/>
      <c r="H1296" s="9"/>
    </row>
    <row r="1297" spans="1:8" x14ac:dyDescent="0.25">
      <c r="A1297" s="51"/>
      <c r="H1297" s="9"/>
    </row>
  </sheetData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D58" workbookViewId="0">
      <selection activeCell="Y73" sqref="Y73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SUM('Golf Log'!$E70:$V70)</f>
        <v>82</v>
      </c>
      <c r="E70" s="92">
        <v>4</v>
      </c>
      <c r="F70" s="92">
        <v>4</v>
      </c>
      <c r="G70" s="92">
        <v>4</v>
      </c>
      <c r="H70" s="92">
        <v>6</v>
      </c>
      <c r="I70" s="92">
        <v>4</v>
      </c>
      <c r="J70" s="92">
        <v>6</v>
      </c>
      <c r="K70" s="92">
        <v>3</v>
      </c>
      <c r="L70" s="92">
        <v>5</v>
      </c>
      <c r="M70" s="92">
        <v>5</v>
      </c>
      <c r="N70" s="92">
        <v>4</v>
      </c>
      <c r="O70" s="92">
        <v>2</v>
      </c>
      <c r="P70" s="92">
        <v>6</v>
      </c>
      <c r="Q70" s="92">
        <v>4</v>
      </c>
      <c r="R70" s="92">
        <v>5</v>
      </c>
      <c r="S70" s="92">
        <v>5</v>
      </c>
      <c r="T70" s="92">
        <v>6</v>
      </c>
      <c r="U70" s="92">
        <v>4</v>
      </c>
      <c r="V70" s="92">
        <v>5</v>
      </c>
      <c r="W70" s="92">
        <v>34</v>
      </c>
      <c r="X70" s="92">
        <v>5</v>
      </c>
      <c r="Y70" s="92">
        <v>8</v>
      </c>
      <c r="Z70" s="102" cm="1">
        <f t="array" ref="Z70">SUMPRODUCT((_xlfn.XLOOKUP(C70, 'Course Stats'!A:A, 'Course Stats'!G:X)=3)*(E70:V70)) / COUNTIF(_xlfn.XLOOKUP(C70, 'Course Stats'!A:A, 'Course Stats'!G:X), 3)</f>
        <v>3.25</v>
      </c>
      <c r="AA70" s="102" cm="1">
        <f t="array" ref="AA70">SUMPRODUCT((_xlfn.XLOOKUP(C70, 'Course Stats'!A:A, 'Course Stats'!G:X)=4)*(E70:V70)) / COUNTIF(_xlfn.XLOOKUP(C70, 'Course Stats'!A:A, 'Course Stats'!G:X), 4)</f>
        <v>4.5999999999999996</v>
      </c>
      <c r="AB70" s="102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SUM('Golf Log'!$E71:$V71)</f>
        <v>89</v>
      </c>
      <c r="E71" s="107">
        <v>5</v>
      </c>
      <c r="F71" s="107">
        <v>6</v>
      </c>
      <c r="G71" s="107">
        <v>4</v>
      </c>
      <c r="H71" s="107">
        <v>5</v>
      </c>
      <c r="I71" s="107">
        <v>4</v>
      </c>
      <c r="J71" s="107">
        <v>4</v>
      </c>
      <c r="K71" s="107">
        <v>6</v>
      </c>
      <c r="L71" s="107">
        <v>4</v>
      </c>
      <c r="M71" s="107">
        <v>6</v>
      </c>
      <c r="N71" s="107">
        <v>6</v>
      </c>
      <c r="O71" s="107">
        <v>4</v>
      </c>
      <c r="P71" s="107">
        <v>5</v>
      </c>
      <c r="Q71" s="107">
        <v>5</v>
      </c>
      <c r="R71" s="107">
        <v>4</v>
      </c>
      <c r="S71" s="107">
        <v>6</v>
      </c>
      <c r="T71" s="107">
        <v>5</v>
      </c>
      <c r="U71" s="107">
        <v>5</v>
      </c>
      <c r="V71" s="107">
        <v>5</v>
      </c>
      <c r="W71" s="107">
        <v>31</v>
      </c>
      <c r="X71" s="107">
        <v>9</v>
      </c>
      <c r="Y71" s="107">
        <v>2</v>
      </c>
      <c r="Z71" s="113" cm="1">
        <f t="array" ref="Z71">SUMPRODUCT((_xlfn.XLOOKUP(C71, 'Course Stats'!A:A, 'Course Stats'!G:X)=3)*(E71:V71)) / COUNTIF(_xlfn.XLOOKUP(C71, 'Course Stats'!A:A, 'Course Stats'!G:X), 3)</f>
        <v>4</v>
      </c>
      <c r="AA71" s="113" cm="1">
        <f t="array" ref="AA71">SUMPRODUCT((_xlfn.XLOOKUP(C71, 'Course Stats'!A:A, 'Course Stats'!G:X)=4)*(E71:V71)) / COUNTIF(_xlfn.XLOOKUP(C71, 'Course Stats'!A:A, 'Course Stats'!G:X), 4)</f>
        <v>5.166666666666667</v>
      </c>
      <c r="AB71" s="113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SUM('Golf Log'!$E72:$V72)</f>
        <v>85</v>
      </c>
      <c r="E72" s="117">
        <v>5</v>
      </c>
      <c r="F72" s="117">
        <v>4</v>
      </c>
      <c r="G72" s="117">
        <v>4</v>
      </c>
      <c r="H72" s="117">
        <v>4</v>
      </c>
      <c r="I72" s="117">
        <v>5</v>
      </c>
      <c r="J72" s="117">
        <v>4</v>
      </c>
      <c r="K72" s="117">
        <v>6</v>
      </c>
      <c r="L72" s="117">
        <v>4</v>
      </c>
      <c r="M72" s="117">
        <v>6</v>
      </c>
      <c r="N72" s="117">
        <v>5</v>
      </c>
      <c r="O72" s="117">
        <v>4</v>
      </c>
      <c r="P72" s="117">
        <v>4</v>
      </c>
      <c r="Q72" s="117">
        <v>7</v>
      </c>
      <c r="R72" s="117">
        <v>4</v>
      </c>
      <c r="S72" s="117">
        <v>4</v>
      </c>
      <c r="T72" s="117">
        <v>5</v>
      </c>
      <c r="U72" s="117">
        <v>5</v>
      </c>
      <c r="V72" s="117">
        <v>5</v>
      </c>
      <c r="W72" s="117">
        <v>35</v>
      </c>
      <c r="X72" s="117">
        <v>5</v>
      </c>
      <c r="Y72" s="117">
        <v>5</v>
      </c>
      <c r="Z72" s="123" cm="1">
        <f t="array" ref="Z72">SUMPRODUCT((_xlfn.XLOOKUP(C72, 'Course Stats'!A:A, 'Course Stats'!G:X)=3)*(E72:V72)) / COUNTIF(_xlfn.XLOOKUP(C72, 'Course Stats'!A:A, 'Course Stats'!G:X), 3)</f>
        <v>4</v>
      </c>
      <c r="AA72" s="123" cm="1">
        <f t="array" ref="AA72">SUMPRODUCT((_xlfn.XLOOKUP(C72, 'Course Stats'!A:A, 'Course Stats'!G:X)=4)*(E72:V72)) / COUNTIF(_xlfn.XLOOKUP(C72, 'Course Stats'!A:A, 'Course Stats'!G:X), 4)</f>
        <v>4.5454545454545459</v>
      </c>
      <c r="AB72" s="123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SUM('Golf Log'!$E73:$V73)</f>
        <v>93</v>
      </c>
      <c r="E73" s="117">
        <v>5</v>
      </c>
      <c r="F73" s="117">
        <v>5</v>
      </c>
      <c r="G73" s="117">
        <v>3</v>
      </c>
      <c r="H73" s="117">
        <v>6</v>
      </c>
      <c r="I73" s="117">
        <v>5</v>
      </c>
      <c r="J73" s="117">
        <v>5</v>
      </c>
      <c r="K73" s="117">
        <v>8</v>
      </c>
      <c r="L73" s="117">
        <v>6</v>
      </c>
      <c r="M73" s="117">
        <v>7</v>
      </c>
      <c r="N73" s="117">
        <v>4</v>
      </c>
      <c r="O73" s="117">
        <v>3</v>
      </c>
      <c r="P73" s="117">
        <v>4</v>
      </c>
      <c r="Q73" s="117">
        <v>8</v>
      </c>
      <c r="R73" s="117">
        <v>5</v>
      </c>
      <c r="S73" s="117">
        <v>4</v>
      </c>
      <c r="T73" s="117">
        <v>5</v>
      </c>
      <c r="U73" s="117">
        <v>5</v>
      </c>
      <c r="V73" s="117">
        <v>5</v>
      </c>
      <c r="W73" s="117">
        <v>33</v>
      </c>
      <c r="X73" s="117">
        <v>3</v>
      </c>
      <c r="Y73" s="117">
        <v>1</v>
      </c>
      <c r="Z73" s="123" cm="1">
        <f t="array" ref="Z73">SUMPRODUCT((_xlfn.XLOOKUP(C73, 'Course Stats'!A:A, 'Course Stats'!G:X)=3)*(E73:V73)) / COUNTIF(_xlfn.XLOOKUP(C73, 'Course Stats'!A:A, 'Course Stats'!G:X), 3)</f>
        <v>3.75</v>
      </c>
      <c r="AA73" s="123" cm="1">
        <f t="array" ref="AA73">SUMPRODUCT((_xlfn.XLOOKUP(C73, 'Course Stats'!A:A, 'Course Stats'!G:X)=4)*(E73:V73)) / COUNTIF(_xlfn.XLOOKUP(C73, 'Course Stats'!A:A, 'Course Stats'!G:X), 4)</f>
        <v>5</v>
      </c>
      <c r="AB73" s="123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35"/>
      <c r="B74" s="38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9"/>
      <c r="AA74" s="39"/>
      <c r="AB74" s="39"/>
    </row>
    <row r="75" spans="1:28" x14ac:dyDescent="0.25">
      <c r="A75" s="35"/>
      <c r="B75" s="38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9"/>
      <c r="AA75" s="39"/>
      <c r="AB75" s="39"/>
    </row>
    <row r="76" spans="1:28" x14ac:dyDescent="0.25">
      <c r="A76" s="20" t="s">
        <v>125</v>
      </c>
      <c r="B76" s="32" t="s">
        <v>19</v>
      </c>
      <c r="C76" s="26" t="s">
        <v>24</v>
      </c>
      <c r="D76" s="26" t="s">
        <v>20</v>
      </c>
      <c r="E76" s="26" t="s">
        <v>47</v>
      </c>
      <c r="F76" s="26" t="s">
        <v>48</v>
      </c>
      <c r="G76" s="26" t="s">
        <v>49</v>
      </c>
      <c r="H76" s="26" t="s">
        <v>50</v>
      </c>
      <c r="I76" s="33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8" x14ac:dyDescent="0.25">
      <c r="A77" s="20" t="s">
        <v>126</v>
      </c>
      <c r="B77" s="30">
        <v>45457</v>
      </c>
      <c r="C77" s="20" t="s">
        <v>38</v>
      </c>
      <c r="D77" s="20">
        <f>SUM('Golf Log'!$E77:$M77)</f>
        <v>44</v>
      </c>
      <c r="E77" s="20">
        <v>6</v>
      </c>
      <c r="F77" s="20">
        <v>5</v>
      </c>
      <c r="G77" s="20">
        <v>4</v>
      </c>
      <c r="H77" s="20">
        <v>5</v>
      </c>
      <c r="I77" s="20">
        <v>4</v>
      </c>
      <c r="J77" s="20">
        <v>3</v>
      </c>
      <c r="K77" s="20">
        <v>5</v>
      </c>
      <c r="L77" s="20">
        <v>6</v>
      </c>
      <c r="M77" s="20">
        <v>6</v>
      </c>
      <c r="Z77" s="5"/>
      <c r="AA77" s="5"/>
      <c r="AB77" s="5"/>
    </row>
    <row r="78" spans="1:28" x14ac:dyDescent="0.25">
      <c r="A78" s="20" t="s">
        <v>126</v>
      </c>
      <c r="B78" s="30">
        <v>45454</v>
      </c>
      <c r="C78" s="20" t="s">
        <v>5</v>
      </c>
      <c r="D78" s="20">
        <f>SUM('Golf Log'!$E78:$M78)</f>
        <v>47</v>
      </c>
      <c r="E78" s="20">
        <v>6</v>
      </c>
      <c r="F78" s="20">
        <v>5</v>
      </c>
      <c r="G78" s="20">
        <v>5</v>
      </c>
      <c r="H78" s="20">
        <v>6</v>
      </c>
      <c r="I78" s="20">
        <v>5</v>
      </c>
      <c r="J78" s="20">
        <v>5</v>
      </c>
      <c r="K78" s="20">
        <v>4</v>
      </c>
      <c r="L78" s="20">
        <v>6</v>
      </c>
      <c r="M78" s="20">
        <v>5</v>
      </c>
      <c r="Z78" s="5"/>
      <c r="AA78" s="5"/>
      <c r="AB78" s="5"/>
    </row>
    <row r="79" spans="1:28" x14ac:dyDescent="0.25">
      <c r="B79" s="31"/>
      <c r="I79" s="2"/>
    </row>
    <row r="80" spans="1:28" x14ac:dyDescent="0.25">
      <c r="B80" s="31"/>
      <c r="I80" s="2"/>
    </row>
    <row r="81" spans="2:9" x14ac:dyDescent="0.25">
      <c r="B81" s="31"/>
      <c r="I81" s="2"/>
    </row>
    <row r="82" spans="2:9" x14ac:dyDescent="0.25">
      <c r="B82" s="31"/>
      <c r="I82" s="2"/>
    </row>
    <row r="83" spans="2:9" x14ac:dyDescent="0.25">
      <c r="B83" s="31"/>
      <c r="I83" s="2"/>
    </row>
    <row r="84" spans="2:9" x14ac:dyDescent="0.25">
      <c r="B84" s="31"/>
      <c r="I84" s="2"/>
    </row>
    <row r="85" spans="2:9" x14ac:dyDescent="0.25">
      <c r="B85" s="31"/>
      <c r="I85" s="2"/>
    </row>
    <row r="86" spans="2:9" x14ac:dyDescent="0.25">
      <c r="B86" s="31"/>
      <c r="I86" s="2"/>
    </row>
    <row r="87" spans="2:9" x14ac:dyDescent="0.25">
      <c r="B87" s="31"/>
      <c r="I87" s="2"/>
    </row>
    <row r="88" spans="2:9" x14ac:dyDescent="0.25">
      <c r="B88" s="31"/>
      <c r="I88" s="2"/>
    </row>
    <row r="89" spans="2:9" x14ac:dyDescent="0.25">
      <c r="B89" s="31"/>
      <c r="I89" s="2"/>
    </row>
    <row r="90" spans="2:9" x14ac:dyDescent="0.25">
      <c r="B90" s="31"/>
      <c r="I90" s="2"/>
    </row>
    <row r="91" spans="2:9" x14ac:dyDescent="0.25">
      <c r="B91" s="31"/>
      <c r="I91" s="2"/>
    </row>
    <row r="92" spans="2:9" x14ac:dyDescent="0.25">
      <c r="B92" s="31"/>
      <c r="I92" s="2"/>
    </row>
    <row r="93" spans="2:9" x14ac:dyDescent="0.25">
      <c r="B93" s="31"/>
      <c r="I93" s="2"/>
    </row>
    <row r="94" spans="2:9" x14ac:dyDescent="0.25">
      <c r="B94" s="31"/>
      <c r="I94" s="2"/>
    </row>
    <row r="95" spans="2:9" x14ac:dyDescent="0.25">
      <c r="B95" s="31"/>
      <c r="I95" s="2"/>
    </row>
    <row r="96" spans="2:9" x14ac:dyDescent="0.25">
      <c r="B96" s="31"/>
      <c r="I96" s="2"/>
    </row>
    <row r="97" spans="2:9" x14ac:dyDescent="0.25">
      <c r="B97" s="31"/>
      <c r="I97" s="2"/>
    </row>
    <row r="98" spans="2:9" x14ac:dyDescent="0.25">
      <c r="B98" s="31"/>
      <c r="I98" s="2"/>
    </row>
    <row r="99" spans="2:9" x14ac:dyDescent="0.25">
      <c r="B99" s="31"/>
      <c r="I99" s="2"/>
    </row>
  </sheetData>
  <phoneticPr fontId="23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77"/>
  <sheetViews>
    <sheetView topLeftCell="A49" workbookViewId="0">
      <selection activeCell="A72" sqref="A72:C73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SUM('Putt Log'!$E70:$V70)</f>
        <v>34</v>
      </c>
      <c r="E70" s="92">
        <v>1</v>
      </c>
      <c r="F70" s="92">
        <v>2</v>
      </c>
      <c r="G70" s="92">
        <v>2</v>
      </c>
      <c r="H70" s="92">
        <v>3</v>
      </c>
      <c r="I70" s="92">
        <v>2</v>
      </c>
      <c r="J70" s="92">
        <v>2</v>
      </c>
      <c r="K70" s="92">
        <v>2</v>
      </c>
      <c r="L70" s="92">
        <v>2</v>
      </c>
      <c r="M70" s="92">
        <v>2</v>
      </c>
      <c r="N70" s="92">
        <v>2</v>
      </c>
      <c r="O70" s="92">
        <v>1</v>
      </c>
      <c r="P70" s="92">
        <v>2</v>
      </c>
      <c r="Q70" s="92">
        <v>2</v>
      </c>
      <c r="R70" s="92">
        <v>1</v>
      </c>
      <c r="S70" s="92">
        <v>2</v>
      </c>
      <c r="T70" s="92">
        <v>2</v>
      </c>
      <c r="U70" s="92">
        <v>2</v>
      </c>
      <c r="V70" s="92">
        <v>2</v>
      </c>
      <c r="W70" s="94">
        <v>34</v>
      </c>
      <c r="X70" s="94">
        <v>5</v>
      </c>
      <c r="Y70" s="94">
        <v>8</v>
      </c>
      <c r="Z70" s="102" cm="1">
        <f t="array" ref="Z70">SUMPRODUCT((_xlfn.XLOOKUP(C70, 'Course Stats'!A:A, 'Course Stats'!G:X)=3)*(E70:V70)) / COUNTIF(_xlfn.XLOOKUP(C70, 'Course Stats'!A:A, 'Course Stats'!G:X), 3)</f>
        <v>1.75</v>
      </c>
      <c r="AA70" s="102" cm="1">
        <f t="array" ref="AA70">SUMPRODUCT((_xlfn.XLOOKUP(C70, 'Course Stats'!A:A, 'Course Stats'!G:X)=4)*(E70:V70)) / COUNTIF(_xlfn.XLOOKUP(C70, 'Course Stats'!A:A, 'Course Stats'!G:X), 4)</f>
        <v>1.8</v>
      </c>
      <c r="AB70" s="102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SUM('Putt Log'!$E71:$V71)</f>
        <v>31</v>
      </c>
      <c r="E71" s="107">
        <v>2</v>
      </c>
      <c r="F71" s="107">
        <v>2</v>
      </c>
      <c r="G71" s="107">
        <v>2</v>
      </c>
      <c r="H71" s="107">
        <v>1</v>
      </c>
      <c r="I71" s="107">
        <v>2</v>
      </c>
      <c r="J71" s="107">
        <v>2</v>
      </c>
      <c r="K71" s="107">
        <v>2</v>
      </c>
      <c r="L71" s="107">
        <v>1</v>
      </c>
      <c r="M71" s="107">
        <v>2</v>
      </c>
      <c r="N71" s="107">
        <v>2</v>
      </c>
      <c r="O71" s="107">
        <v>1</v>
      </c>
      <c r="P71" s="107">
        <v>1</v>
      </c>
      <c r="Q71" s="107">
        <v>2</v>
      </c>
      <c r="R71" s="107">
        <v>2</v>
      </c>
      <c r="S71" s="107">
        <v>2</v>
      </c>
      <c r="T71" s="107">
        <v>2</v>
      </c>
      <c r="U71" s="107">
        <v>1</v>
      </c>
      <c r="V71" s="107">
        <v>2</v>
      </c>
      <c r="W71" s="109">
        <v>31</v>
      </c>
      <c r="X71" s="109">
        <v>9</v>
      </c>
      <c r="Y71" s="109">
        <v>2</v>
      </c>
      <c r="Z71" s="113" cm="1">
        <f t="array" ref="Z71">SUMPRODUCT((_xlfn.XLOOKUP(C71, 'Course Stats'!A:A, 'Course Stats'!G:X)=3)*(E71:V71)) / COUNTIF(_xlfn.XLOOKUP(C71, 'Course Stats'!A:A, 'Course Stats'!G:X), 3)</f>
        <v>2</v>
      </c>
      <c r="AA71" s="113" cm="1">
        <f t="array" ref="AA71">SUMPRODUCT((_xlfn.XLOOKUP(C71, 'Course Stats'!A:A, 'Course Stats'!G:X)=4)*(E71:V71)) / COUNTIF(_xlfn.XLOOKUP(C71, 'Course Stats'!A:A, 'Course Stats'!G:X), 4)</f>
        <v>1.75</v>
      </c>
      <c r="AB71" s="113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SUM('Putt Log'!$E72:$V72)</f>
        <v>35</v>
      </c>
      <c r="E72" s="117">
        <v>2</v>
      </c>
      <c r="F72" s="117">
        <v>2</v>
      </c>
      <c r="G72" s="117">
        <v>2</v>
      </c>
      <c r="H72" s="117">
        <v>2</v>
      </c>
      <c r="I72" s="117">
        <v>2</v>
      </c>
      <c r="J72" s="117">
        <v>1</v>
      </c>
      <c r="K72" s="117">
        <v>2</v>
      </c>
      <c r="L72" s="117">
        <v>2</v>
      </c>
      <c r="M72" s="117">
        <v>2</v>
      </c>
      <c r="N72" s="117">
        <v>1</v>
      </c>
      <c r="O72" s="117">
        <v>2</v>
      </c>
      <c r="P72" s="117">
        <v>2</v>
      </c>
      <c r="Q72" s="117">
        <v>3</v>
      </c>
      <c r="R72" s="117">
        <v>1</v>
      </c>
      <c r="S72" s="117">
        <v>2</v>
      </c>
      <c r="T72" s="117">
        <v>2</v>
      </c>
      <c r="U72" s="117">
        <v>3</v>
      </c>
      <c r="V72" s="117">
        <v>2</v>
      </c>
      <c r="W72" s="119">
        <v>35</v>
      </c>
      <c r="X72" s="119">
        <v>5</v>
      </c>
      <c r="Y72" s="119">
        <v>5</v>
      </c>
      <c r="Z72" s="123" cm="1">
        <f t="array" ref="Z72">SUMPRODUCT((_xlfn.XLOOKUP(C72, 'Course Stats'!A:A, 'Course Stats'!G:X)=3)*(E72:V72)) / COUNTIF(_xlfn.XLOOKUP(C72, 'Course Stats'!A:A, 'Course Stats'!G:X), 3)</f>
        <v>1.75</v>
      </c>
      <c r="AA72" s="123" cm="1">
        <f t="array" ref="AA72">SUMPRODUCT((_xlfn.XLOOKUP(C72, 'Course Stats'!A:A, 'Course Stats'!G:X)=4)*(E72:V72)) / COUNTIF(_xlfn.XLOOKUP(C72, 'Course Stats'!A:A, 'Course Stats'!G:X), 4)</f>
        <v>1.9090909090909092</v>
      </c>
      <c r="AB72" s="123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SUM('Putt Log'!$E73:$V73)</f>
        <v>33</v>
      </c>
      <c r="E73" s="117">
        <v>2</v>
      </c>
      <c r="F73" s="117">
        <v>2</v>
      </c>
      <c r="G73" s="117">
        <v>1</v>
      </c>
      <c r="H73" s="117">
        <v>2</v>
      </c>
      <c r="I73" s="117">
        <v>1</v>
      </c>
      <c r="J73" s="117">
        <v>1</v>
      </c>
      <c r="K73" s="117">
        <v>2</v>
      </c>
      <c r="L73" s="117">
        <v>3</v>
      </c>
      <c r="M73" s="117">
        <v>2</v>
      </c>
      <c r="N73" s="117">
        <v>1</v>
      </c>
      <c r="O73" s="117">
        <v>1</v>
      </c>
      <c r="P73" s="117">
        <v>2</v>
      </c>
      <c r="Q73" s="117">
        <v>3</v>
      </c>
      <c r="R73" s="117">
        <v>2</v>
      </c>
      <c r="S73" s="117">
        <v>2</v>
      </c>
      <c r="T73" s="117">
        <v>2</v>
      </c>
      <c r="U73" s="117">
        <v>2</v>
      </c>
      <c r="V73" s="117">
        <v>2</v>
      </c>
      <c r="W73" s="119">
        <v>33</v>
      </c>
      <c r="X73" s="119">
        <v>3</v>
      </c>
      <c r="Y73" s="119">
        <v>1</v>
      </c>
      <c r="Z73" s="123" cm="1">
        <f t="array" ref="Z73">SUMPRODUCT((_xlfn.XLOOKUP(C73, 'Course Stats'!A:A, 'Course Stats'!G:X)=3)*(E73:V73)) / COUNTIF(_xlfn.XLOOKUP(C73, 'Course Stats'!A:A, 'Course Stats'!G:X), 3)</f>
        <v>1.25</v>
      </c>
      <c r="AA73" s="123" cm="1">
        <f t="array" ref="AA73">SUMPRODUCT((_xlfn.XLOOKUP(C73, 'Course Stats'!A:A, 'Course Stats'!G:X)=4)*(E73:V73)) / COUNTIF(_xlfn.XLOOKUP(C73, 'Course Stats'!A:A, 'Course Stats'!G:X), 4)</f>
        <v>1.9090909090909092</v>
      </c>
      <c r="AB73" s="123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35"/>
      <c r="B74" s="40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7"/>
      <c r="X74" s="37"/>
      <c r="Y74" s="37"/>
      <c r="Z74" s="39"/>
      <c r="AA74" s="39"/>
      <c r="AB74" s="39"/>
    </row>
    <row r="75" spans="1:28" x14ac:dyDescent="0.25">
      <c r="A75" s="20" t="s">
        <v>125</v>
      </c>
      <c r="B75" s="26" t="s">
        <v>19</v>
      </c>
      <c r="C75" s="26" t="s">
        <v>24</v>
      </c>
      <c r="D75" s="26" t="s">
        <v>0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8" x14ac:dyDescent="0.25">
      <c r="A76" s="20" t="s">
        <v>126</v>
      </c>
      <c r="B76" s="27">
        <v>45457</v>
      </c>
      <c r="C76" s="20" t="s">
        <v>38</v>
      </c>
      <c r="D76" s="20">
        <f>SUM('Putt Log'!$E76:$M76)</f>
        <v>16</v>
      </c>
      <c r="E76" s="20">
        <v>3</v>
      </c>
      <c r="F76" s="20">
        <v>2</v>
      </c>
      <c r="G76" s="20">
        <v>1</v>
      </c>
      <c r="H76" s="20">
        <v>2</v>
      </c>
      <c r="I76" s="20">
        <v>1</v>
      </c>
      <c r="J76" s="20">
        <v>1</v>
      </c>
      <c r="K76" s="20">
        <v>2</v>
      </c>
      <c r="L76" s="20">
        <v>2</v>
      </c>
      <c r="M76" s="20">
        <v>2</v>
      </c>
    </row>
    <row r="77" spans="1:28" x14ac:dyDescent="0.25">
      <c r="A77" s="20" t="s">
        <v>126</v>
      </c>
      <c r="B77" s="27">
        <v>45454</v>
      </c>
      <c r="C77" s="20" t="s">
        <v>5</v>
      </c>
      <c r="D77" s="20">
        <f>SUM('Putt Log'!$E77:$M77)</f>
        <v>14</v>
      </c>
      <c r="E77" s="20">
        <v>2</v>
      </c>
      <c r="F77" s="20">
        <v>1</v>
      </c>
      <c r="G77" s="20">
        <v>2</v>
      </c>
      <c r="H77" s="20">
        <v>2</v>
      </c>
      <c r="I77" s="20">
        <v>1</v>
      </c>
      <c r="J77" s="20">
        <v>1</v>
      </c>
      <c r="K77" s="20">
        <v>1</v>
      </c>
      <c r="L77" s="20">
        <v>2</v>
      </c>
      <c r="M77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77"/>
  <sheetViews>
    <sheetView topLeftCell="A46" workbookViewId="0">
      <selection activeCell="A72" sqref="A72:C73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SUM('Fairway Log'!$E70:$V70)</f>
        <v>5</v>
      </c>
      <c r="E70" s="103">
        <v>1</v>
      </c>
      <c r="F70" s="61" t="s">
        <v>135</v>
      </c>
      <c r="G70" s="103"/>
      <c r="H70" s="61" t="s">
        <v>135</v>
      </c>
      <c r="I70" s="103">
        <v>1</v>
      </c>
      <c r="J70" s="87" t="s">
        <v>135</v>
      </c>
      <c r="K70" s="103"/>
      <c r="L70" s="103">
        <v>1</v>
      </c>
      <c r="M70" s="87" t="s">
        <v>135</v>
      </c>
      <c r="N70" s="87" t="s">
        <v>135</v>
      </c>
      <c r="O70" s="103"/>
      <c r="P70" s="87" t="s">
        <v>135</v>
      </c>
      <c r="Q70" s="103">
        <v>1</v>
      </c>
      <c r="R70" s="103">
        <v>1</v>
      </c>
      <c r="S70" s="87" t="s">
        <v>135</v>
      </c>
      <c r="T70" s="87" t="s">
        <v>139</v>
      </c>
      <c r="U70" s="103"/>
      <c r="V70" s="87" t="s">
        <v>135</v>
      </c>
      <c r="W70" s="104">
        <f>IFERROR(COUNTIF('Fairway Log'!$E70:$V70,1)/COUNTA('Fairway Log'!$E70:$V70),"")</f>
        <v>0.35714285714285715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SUM('Fairway Log'!$E71:$V71)</f>
        <v>9</v>
      </c>
      <c r="E71" s="114">
        <v>1</v>
      </c>
      <c r="F71" s="114">
        <v>1</v>
      </c>
      <c r="G71" s="114"/>
      <c r="H71" s="114">
        <v>1</v>
      </c>
      <c r="I71" s="114"/>
      <c r="J71" s="87" t="s">
        <v>135</v>
      </c>
      <c r="K71" s="87" t="s">
        <v>135</v>
      </c>
      <c r="L71" s="87" t="s">
        <v>135</v>
      </c>
      <c r="M71" s="87" t="s">
        <v>135</v>
      </c>
      <c r="N71" s="114">
        <v>1</v>
      </c>
      <c r="O71" s="114">
        <v>1</v>
      </c>
      <c r="P71" s="114">
        <v>1</v>
      </c>
      <c r="Q71" s="114">
        <v>1</v>
      </c>
      <c r="R71" s="114"/>
      <c r="S71" s="87" t="s">
        <v>139</v>
      </c>
      <c r="T71" s="87" t="s">
        <v>135</v>
      </c>
      <c r="U71" s="114">
        <v>1</v>
      </c>
      <c r="V71" s="114">
        <v>1</v>
      </c>
      <c r="W71" s="115">
        <f>IFERROR(COUNTIF('Fairway Log'!$E71:$V71,1)/COUNTA('Fairway Log'!$E71:$V71),"")</f>
        <v>0.6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SUM('Fairway Log'!$E72:$V72)</f>
        <v>5</v>
      </c>
      <c r="E72" s="124">
        <v>1</v>
      </c>
      <c r="F72" s="87" t="s">
        <v>139</v>
      </c>
      <c r="G72" s="124"/>
      <c r="H72" s="61" t="s">
        <v>135</v>
      </c>
      <c r="I72" s="124">
        <v>1</v>
      </c>
      <c r="J72" s="124"/>
      <c r="K72" s="124">
        <v>1</v>
      </c>
      <c r="L72" s="87" t="s">
        <v>135</v>
      </c>
      <c r="M72" s="87" t="s">
        <v>135</v>
      </c>
      <c r="N72" s="87" t="s">
        <v>139</v>
      </c>
      <c r="O72" s="124"/>
      <c r="P72" s="61" t="s">
        <v>138</v>
      </c>
      <c r="Q72" s="124">
        <v>1</v>
      </c>
      <c r="R72" s="87" t="s">
        <v>135</v>
      </c>
      <c r="S72" s="124"/>
      <c r="T72" s="124">
        <v>1</v>
      </c>
      <c r="U72" s="87" t="s">
        <v>139</v>
      </c>
      <c r="V72" s="87" t="s">
        <v>135</v>
      </c>
      <c r="W72" s="125">
        <f>IFERROR(COUNTIF('Fairway Log'!$E72:$V72,1)/COUNTA('Fairway Log'!$E72:$V72),"")</f>
        <v>0.35714285714285715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SUM('Fairway Log'!$E73:$V73)</f>
        <v>3</v>
      </c>
      <c r="E73" s="87">
        <v>1</v>
      </c>
      <c r="F73" s="61" t="s">
        <v>135</v>
      </c>
      <c r="G73" s="124"/>
      <c r="H73" s="87" t="s">
        <v>139</v>
      </c>
      <c r="I73" s="87" t="s">
        <v>138</v>
      </c>
      <c r="J73" s="124"/>
      <c r="K73" s="87" t="s">
        <v>139</v>
      </c>
      <c r="L73" s="87" t="s">
        <v>139</v>
      </c>
      <c r="M73" s="87" t="s">
        <v>135</v>
      </c>
      <c r="N73" s="87" t="s">
        <v>139</v>
      </c>
      <c r="O73" s="124"/>
      <c r="P73" s="61" t="s">
        <v>138</v>
      </c>
      <c r="Q73" s="87" t="s">
        <v>139</v>
      </c>
      <c r="R73" s="124">
        <v>1</v>
      </c>
      <c r="S73" s="124"/>
      <c r="T73" s="124">
        <v>1</v>
      </c>
      <c r="U73" s="124" t="s">
        <v>136</v>
      </c>
      <c r="V73" s="124" t="s">
        <v>136</v>
      </c>
      <c r="W73" s="125">
        <f>IFERROR(COUNTIF('Fairway Log'!$E73:$V73,1)/COUNTA('Fairway Log'!$E73:$V73),"")</f>
        <v>0.21428571428571427</v>
      </c>
    </row>
    <row r="74" spans="1:23" x14ac:dyDescent="0.25">
      <c r="A74" s="35"/>
      <c r="B74" s="36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31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  <c r="O75" s="87" t="s">
        <v>135</v>
      </c>
      <c r="P75" s="87" t="s">
        <v>139</v>
      </c>
      <c r="Q75" s="88" t="s">
        <v>136</v>
      </c>
      <c r="R75" s="87" t="s">
        <v>138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SUM('Fairway Log'!$E76:$M76)</f>
        <v>5</v>
      </c>
      <c r="E76" s="20">
        <v>1</v>
      </c>
      <c r="F76" s="20">
        <v>1</v>
      </c>
      <c r="G76" s="20"/>
      <c r="H76" s="20">
        <v>1</v>
      </c>
      <c r="I76" s="20">
        <v>1</v>
      </c>
      <c r="J76" s="20"/>
      <c r="K76" s="20">
        <v>1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SUM('Fairway Log'!$E77:$M77)</f>
        <v>1</v>
      </c>
      <c r="E77" s="20">
        <v>0</v>
      </c>
      <c r="F77" s="20">
        <v>0</v>
      </c>
      <c r="G77" s="20"/>
      <c r="H77" s="20">
        <v>0</v>
      </c>
      <c r="I77" s="20">
        <v>0</v>
      </c>
      <c r="J77" s="20">
        <v>0</v>
      </c>
      <c r="K77" s="20"/>
      <c r="L77" s="20">
        <v>0</v>
      </c>
      <c r="M77" s="20">
        <v>1</v>
      </c>
    </row>
  </sheetData>
  <phoneticPr fontId="23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77"/>
  <sheetViews>
    <sheetView topLeftCell="A55" workbookViewId="0">
      <selection activeCell="A73" sqref="A73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SUM('GIR Log'!$E70:$V70)</f>
        <v>8</v>
      </c>
      <c r="E70" s="60" t="s">
        <v>139</v>
      </c>
      <c r="F70" s="103">
        <v>1</v>
      </c>
      <c r="G70" s="103" t="s">
        <v>144</v>
      </c>
      <c r="H70" s="103">
        <v>1</v>
      </c>
      <c r="I70" s="103">
        <v>1</v>
      </c>
      <c r="J70" s="103" t="s">
        <v>137</v>
      </c>
      <c r="K70" s="103">
        <v>1</v>
      </c>
      <c r="L70" s="103">
        <v>1</v>
      </c>
      <c r="M70" s="60" t="s">
        <v>138</v>
      </c>
      <c r="N70" s="103">
        <v>1</v>
      </c>
      <c r="O70" s="103">
        <v>1</v>
      </c>
      <c r="P70" s="60" t="s">
        <v>139</v>
      </c>
      <c r="Q70" s="103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04">
        <f>IFERROR('GIR Log'!$D70/COUNTA('GIR Log'!$E70:$V70),0)</f>
        <v>0.44444444444444442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SUM('GIR Log'!$E71:$V71)</f>
        <v>2</v>
      </c>
      <c r="E71" s="114">
        <v>1</v>
      </c>
      <c r="F71" s="60" t="s">
        <v>136</v>
      </c>
      <c r="G71" s="60" t="s">
        <v>138</v>
      </c>
      <c r="H71" s="60" t="s">
        <v>136</v>
      </c>
      <c r="I71" s="60" t="s">
        <v>138</v>
      </c>
      <c r="J71" s="114">
        <v>1</v>
      </c>
      <c r="K71" s="60" t="s">
        <v>136</v>
      </c>
      <c r="L71" s="60" t="s">
        <v>138</v>
      </c>
      <c r="M71" s="60" t="s">
        <v>136</v>
      </c>
      <c r="N71" s="60" t="s">
        <v>136</v>
      </c>
      <c r="O71" s="60" t="s">
        <v>136</v>
      </c>
      <c r="P71" s="60" t="s">
        <v>135</v>
      </c>
      <c r="Q71" s="60" t="s">
        <v>138</v>
      </c>
      <c r="R71" s="60" t="s">
        <v>135</v>
      </c>
      <c r="S71" s="60" t="s">
        <v>136</v>
      </c>
      <c r="T71" s="60" t="s">
        <v>135</v>
      </c>
      <c r="U71" s="60" t="s">
        <v>136</v>
      </c>
      <c r="V71" s="63" t="s">
        <v>139</v>
      </c>
      <c r="W71" s="115">
        <f>IFERROR('GIR Log'!$D71/COUNTA('GIR Log'!$E71:$V71),0)</f>
        <v>0.1111111111111111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SUM('GIR Log'!$E72:$V72)</f>
        <v>5</v>
      </c>
      <c r="E72" s="60" t="s">
        <v>136</v>
      </c>
      <c r="F72" s="124">
        <v>1</v>
      </c>
      <c r="G72" s="60" t="s">
        <v>136</v>
      </c>
      <c r="H72" s="124">
        <v>1</v>
      </c>
      <c r="I72" s="60" t="s">
        <v>138</v>
      </c>
      <c r="J72" s="60" t="s">
        <v>135</v>
      </c>
      <c r="K72" s="60" t="s">
        <v>138</v>
      </c>
      <c r="L72" s="124">
        <v>1</v>
      </c>
      <c r="M72" s="60" t="s">
        <v>138</v>
      </c>
      <c r="N72" s="60" t="s">
        <v>136</v>
      </c>
      <c r="O72" s="60" t="s">
        <v>136</v>
      </c>
      <c r="P72" s="124">
        <v>1</v>
      </c>
      <c r="Q72" s="124" t="s">
        <v>137</v>
      </c>
      <c r="R72" s="60" t="s">
        <v>136</v>
      </c>
      <c r="S72" s="60" t="s">
        <v>136</v>
      </c>
      <c r="T72" s="63" t="s">
        <v>139</v>
      </c>
      <c r="U72" s="124">
        <v>1</v>
      </c>
      <c r="V72" s="63" t="s">
        <v>139</v>
      </c>
      <c r="W72" s="125">
        <f>IFERROR('GIR Log'!$D72/COUNTA('GIR Log'!$E72:$V72),0)</f>
        <v>0.27777777777777779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SUM('GIR Log'!$E73:$V73)</f>
        <v>1</v>
      </c>
      <c r="E73" s="60" t="s">
        <v>136</v>
      </c>
      <c r="F73" s="60" t="s">
        <v>139</v>
      </c>
      <c r="G73" s="60" t="s">
        <v>138</v>
      </c>
      <c r="H73" s="124" t="s">
        <v>137</v>
      </c>
      <c r="I73" s="60" t="s">
        <v>136</v>
      </c>
      <c r="J73" s="60" t="s">
        <v>139</v>
      </c>
      <c r="K73" s="60" t="s">
        <v>136</v>
      </c>
      <c r="L73" s="124" t="s">
        <v>137</v>
      </c>
      <c r="M73" s="60" t="s">
        <v>136</v>
      </c>
      <c r="N73" s="124" t="s">
        <v>137</v>
      </c>
      <c r="O73" s="60" t="s">
        <v>136</v>
      </c>
      <c r="P73" s="124">
        <v>1</v>
      </c>
      <c r="Q73" s="124" t="s">
        <v>137</v>
      </c>
      <c r="R73" s="60" t="s">
        <v>138</v>
      </c>
      <c r="S73" s="63" t="s">
        <v>139</v>
      </c>
      <c r="T73" s="124" t="s">
        <v>137</v>
      </c>
      <c r="U73" s="124" t="s">
        <v>137</v>
      </c>
      <c r="V73" s="124" t="s">
        <v>137</v>
      </c>
      <c r="W73" s="125">
        <f>IFERROR('GIR Log'!$D73/COUNTA('GIR Log'!$E73:$V73),0)</f>
        <v>5.5555555555555552E-2</v>
      </c>
    </row>
    <row r="74" spans="1:23" x14ac:dyDescent="0.25">
      <c r="A74" s="51"/>
      <c r="B74" s="52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SUM('GIR Log'!$E76:$M76)</f>
        <v>1</v>
      </c>
      <c r="E76" s="20">
        <v>1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SUM('GIR Log'!$E77:$M77)</f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4"/>
  <sheetViews>
    <sheetView workbookViewId="0">
      <selection activeCell="X24" sqref="X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35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35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68" t="s">
        <v>36</v>
      </c>
      <c r="C24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</sheetData>
  <phoneticPr fontId="2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4"/>
  <sheetViews>
    <sheetView topLeftCell="A1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4"/>
  <sheetViews>
    <sheetView topLeftCell="A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</sheetData>
  <phoneticPr fontId="23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327"/>
  <sheetViews>
    <sheetView tabSelected="1" zoomScale="90" zoomScaleNormal="90" workbookViewId="0">
      <selection activeCell="W4" sqref="W4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5" t="s">
        <v>126</v>
      </c>
      <c r="B1089" s="10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5" t="s">
        <v>126</v>
      </c>
      <c r="B1090" s="10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5" t="s">
        <v>126</v>
      </c>
      <c r="B1091" s="10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5" t="s">
        <v>126</v>
      </c>
      <c r="B1092" s="10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5" t="s">
        <v>126</v>
      </c>
      <c r="B1093" s="10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5" t="s">
        <v>126</v>
      </c>
      <c r="B1094" s="10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5" t="s">
        <v>126</v>
      </c>
      <c r="B1095" s="10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5" t="s">
        <v>126</v>
      </c>
      <c r="B1096" s="10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5" t="s">
        <v>126</v>
      </c>
      <c r="B1097" s="10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5" t="s">
        <v>126</v>
      </c>
      <c r="B1098" s="10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5" t="s">
        <v>126</v>
      </c>
      <c r="B1099" s="10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5" t="s">
        <v>126</v>
      </c>
      <c r="B1100" s="10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5" t="s">
        <v>126</v>
      </c>
      <c r="B1101" s="10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5" t="s">
        <v>126</v>
      </c>
      <c r="B1102" s="10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5" t="s">
        <v>126</v>
      </c>
      <c r="B1103" s="10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5" t="s">
        <v>126</v>
      </c>
      <c r="B1104" s="10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5" t="s">
        <v>126</v>
      </c>
      <c r="B1105" s="10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5" t="s">
        <v>126</v>
      </c>
      <c r="B1106" s="10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5" t="s">
        <v>126</v>
      </c>
      <c r="B1107" s="10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5" t="s">
        <v>126</v>
      </c>
      <c r="B1108" s="10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5" t="s">
        <v>126</v>
      </c>
      <c r="B1109" s="10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5" t="s">
        <v>126</v>
      </c>
      <c r="B1110" s="10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5" t="s">
        <v>126</v>
      </c>
      <c r="B1111" s="10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5" t="s">
        <v>126</v>
      </c>
      <c r="B1112" s="10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5" t="s">
        <v>126</v>
      </c>
      <c r="B1113" s="10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5" t="s">
        <v>126</v>
      </c>
      <c r="B1114" s="10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5" t="s">
        <v>126</v>
      </c>
      <c r="B1115" s="10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5" t="s">
        <v>126</v>
      </c>
      <c r="B1116" s="10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5" t="s">
        <v>126</v>
      </c>
      <c r="B1117" s="10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5" t="s">
        <v>126</v>
      </c>
      <c r="B1118" s="10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5" t="s">
        <v>126</v>
      </c>
      <c r="B1119" s="10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5" t="s">
        <v>126</v>
      </c>
      <c r="B1120" s="10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5" t="s">
        <v>126</v>
      </c>
      <c r="B1121" s="10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5" t="s">
        <v>126</v>
      </c>
      <c r="B1122" s="10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5" t="s">
        <v>126</v>
      </c>
      <c r="B1123" s="10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5" t="s">
        <v>126</v>
      </c>
      <c r="B1124" s="10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5" t="s">
        <v>126</v>
      </c>
      <c r="B1125" s="10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5" t="s">
        <v>126</v>
      </c>
      <c r="B1126" s="10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5" t="s">
        <v>126</v>
      </c>
      <c r="B1127" s="10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5" t="s">
        <v>126</v>
      </c>
      <c r="B1128" s="10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5" t="s">
        <v>126</v>
      </c>
      <c r="B1129" s="10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5" t="s">
        <v>126</v>
      </c>
      <c r="B1130" s="10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5" t="s">
        <v>126</v>
      </c>
      <c r="B1131" s="10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5" t="s">
        <v>126</v>
      </c>
      <c r="B1132" s="10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5" t="s">
        <v>126</v>
      </c>
      <c r="B1133" s="10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5" t="s">
        <v>126</v>
      </c>
      <c r="B1134" s="10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5" t="s">
        <v>126</v>
      </c>
      <c r="B1135" s="10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5" t="s">
        <v>126</v>
      </c>
      <c r="B1136" s="10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5" t="s">
        <v>126</v>
      </c>
      <c r="B1137" s="10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5" t="s">
        <v>126</v>
      </c>
      <c r="B1138" s="10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5" t="s">
        <v>126</v>
      </c>
      <c r="B1139" s="10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5" t="s">
        <v>126</v>
      </c>
      <c r="B1140" s="10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5" t="s">
        <v>126</v>
      </c>
      <c r="B1141" s="10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5" t="s">
        <v>126</v>
      </c>
      <c r="B1142" s="10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5" t="s">
        <v>126</v>
      </c>
      <c r="B1143" s="10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5" t="s">
        <v>126</v>
      </c>
      <c r="B1144" s="10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5" t="s">
        <v>126</v>
      </c>
      <c r="B1145" s="10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5" t="s">
        <v>126</v>
      </c>
      <c r="B1146" s="10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5" t="s">
        <v>126</v>
      </c>
      <c r="B1147" s="10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5" t="s">
        <v>126</v>
      </c>
      <c r="B1148" s="10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5" t="s">
        <v>126</v>
      </c>
      <c r="B1149" s="10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5" t="s">
        <v>126</v>
      </c>
      <c r="B1150" s="10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5" t="s">
        <v>126</v>
      </c>
      <c r="B1151" s="10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5" t="s">
        <v>126</v>
      </c>
      <c r="B1152" s="10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5" t="s">
        <v>126</v>
      </c>
      <c r="B1153" s="10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5" t="s">
        <v>126</v>
      </c>
      <c r="B1154" s="10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5" t="s">
        <v>126</v>
      </c>
      <c r="B1155" s="10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5" t="s">
        <v>126</v>
      </c>
      <c r="B1156" s="10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5" t="s">
        <v>126</v>
      </c>
      <c r="B1157" s="10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5" t="s">
        <v>126</v>
      </c>
      <c r="B1158" s="10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5" t="s">
        <v>126</v>
      </c>
      <c r="B1159" s="10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5" t="s">
        <v>126</v>
      </c>
      <c r="B1160" s="10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5" t="s">
        <v>126</v>
      </c>
      <c r="B1161" s="10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5" t="s">
        <v>126</v>
      </c>
      <c r="B1162" s="10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5" t="s">
        <v>126</v>
      </c>
      <c r="B1163" s="10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5" t="s">
        <v>126</v>
      </c>
      <c r="B1164" s="10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5" t="s">
        <v>126</v>
      </c>
      <c r="B1165" s="10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5" t="s">
        <v>126</v>
      </c>
      <c r="B1166" s="10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5" t="s">
        <v>126</v>
      </c>
      <c r="B1167" s="10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5" t="s">
        <v>126</v>
      </c>
      <c r="B1168" s="10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5" t="s">
        <v>126</v>
      </c>
      <c r="B1169" s="10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5" t="s">
        <v>126</v>
      </c>
      <c r="B1170" s="10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5" t="s">
        <v>126</v>
      </c>
      <c r="B1171" s="10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5" t="s">
        <v>126</v>
      </c>
      <c r="B1172" s="10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5" t="s">
        <v>126</v>
      </c>
      <c r="B1173" s="10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5" t="s">
        <v>126</v>
      </c>
      <c r="B1174" s="10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5" t="s">
        <v>126</v>
      </c>
      <c r="B1175" s="10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5" t="s">
        <v>126</v>
      </c>
      <c r="B1176" s="10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5" t="s">
        <v>126</v>
      </c>
      <c r="B1177" s="10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5" t="s">
        <v>126</v>
      </c>
      <c r="B1178" s="10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5" t="s">
        <v>126</v>
      </c>
      <c r="B1179" s="10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5" t="s">
        <v>126</v>
      </c>
      <c r="B1180" s="10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5" t="s">
        <v>126</v>
      </c>
      <c r="B1181" s="10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5" t="s">
        <v>126</v>
      </c>
      <c r="B1182" s="10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5" t="s">
        <v>126</v>
      </c>
      <c r="B1183" s="10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5" t="s">
        <v>126</v>
      </c>
      <c r="B1184" s="10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5" t="s">
        <v>126</v>
      </c>
      <c r="B1185" s="10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5" t="s">
        <v>126</v>
      </c>
      <c r="B1186" s="10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5" t="s">
        <v>126</v>
      </c>
      <c r="B1187" s="10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5" t="s">
        <v>126</v>
      </c>
      <c r="B1188" s="10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5" t="s">
        <v>126</v>
      </c>
      <c r="B1189" s="10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5" t="s">
        <v>126</v>
      </c>
      <c r="B1190" s="10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5" t="s">
        <v>126</v>
      </c>
      <c r="B1191" s="10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5" t="s">
        <v>126</v>
      </c>
      <c r="B1192" s="10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6" t="s">
        <v>126</v>
      </c>
      <c r="B1193" s="10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6" t="s">
        <v>126</v>
      </c>
      <c r="B1194" s="10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6" t="s">
        <v>126</v>
      </c>
      <c r="B1195" s="10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6" t="s">
        <v>126</v>
      </c>
      <c r="B1196" s="10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6" t="s">
        <v>126</v>
      </c>
      <c r="B1197" s="10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6" t="s">
        <v>126</v>
      </c>
      <c r="B1198" s="10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6" t="s">
        <v>126</v>
      </c>
      <c r="B1199" s="10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6" t="s">
        <v>126</v>
      </c>
      <c r="B1200" s="10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6" t="s">
        <v>126</v>
      </c>
      <c r="B1201" s="10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6" t="s">
        <v>126</v>
      </c>
      <c r="B1202" s="10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6" t="s">
        <v>126</v>
      </c>
      <c r="B1203" s="10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6" t="s">
        <v>126</v>
      </c>
      <c r="B1204" s="10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6" t="s">
        <v>126</v>
      </c>
      <c r="B1205" s="10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6" t="s">
        <v>126</v>
      </c>
      <c r="B1206" s="10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6" t="s">
        <v>126</v>
      </c>
      <c r="B1207" s="10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6" t="s">
        <v>126</v>
      </c>
      <c r="B1208" s="10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6" t="s">
        <v>126</v>
      </c>
      <c r="B1209" s="10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6" t="s">
        <v>126</v>
      </c>
      <c r="B1210" s="10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6" t="s">
        <v>126</v>
      </c>
      <c r="B1211" s="10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6" t="s">
        <v>126</v>
      </c>
      <c r="B1212" s="10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6" t="s">
        <v>126</v>
      </c>
      <c r="B1213" s="10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6" t="s">
        <v>126</v>
      </c>
      <c r="B1214" s="10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6" t="s">
        <v>126</v>
      </c>
      <c r="B1215" s="10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6" t="s">
        <v>126</v>
      </c>
      <c r="B1216" s="10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6" t="s">
        <v>126</v>
      </c>
      <c r="B1217" s="10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6" t="s">
        <v>126</v>
      </c>
      <c r="B1218" s="10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6" t="s">
        <v>126</v>
      </c>
      <c r="B1219" s="10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6" t="s">
        <v>126</v>
      </c>
      <c r="B1220" s="10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6" t="s">
        <v>126</v>
      </c>
      <c r="B1221" s="10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6" t="s">
        <v>126</v>
      </c>
      <c r="B1222" s="10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6" t="s">
        <v>126</v>
      </c>
      <c r="B1223" s="10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6" t="s">
        <v>126</v>
      </c>
      <c r="B1224" s="10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6" t="s">
        <v>126</v>
      </c>
      <c r="B1225" s="10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6" t="s">
        <v>126</v>
      </c>
      <c r="B1226" s="10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6" t="s">
        <v>126</v>
      </c>
      <c r="B1227" s="10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6" t="s">
        <v>126</v>
      </c>
      <c r="B1228" s="10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6" t="s">
        <v>126</v>
      </c>
      <c r="B1229" s="10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6" t="s">
        <v>126</v>
      </c>
      <c r="B1230" s="10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6" t="s">
        <v>126</v>
      </c>
      <c r="B1231" s="10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6" t="s">
        <v>126</v>
      </c>
      <c r="B1232" s="10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6" t="s">
        <v>126</v>
      </c>
      <c r="B1233" s="10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6" t="s">
        <v>126</v>
      </c>
      <c r="B1234" s="10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6" t="s">
        <v>126</v>
      </c>
      <c r="B1235" s="10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6" t="s">
        <v>126</v>
      </c>
      <c r="B1236" s="10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6" t="s">
        <v>126</v>
      </c>
      <c r="B1237" s="10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6" t="s">
        <v>126</v>
      </c>
      <c r="B1238" s="10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6" t="s">
        <v>126</v>
      </c>
      <c r="B1239" s="10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6" t="s">
        <v>126</v>
      </c>
      <c r="B1240" s="10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6" t="s">
        <v>126</v>
      </c>
      <c r="B1241" s="10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6" t="s">
        <v>126</v>
      </c>
      <c r="B1242" s="10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6" t="s">
        <v>126</v>
      </c>
      <c r="B1243" s="10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6" t="s">
        <v>126</v>
      </c>
      <c r="B1244" s="10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6" t="s">
        <v>126</v>
      </c>
      <c r="B1245" s="10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6" t="s">
        <v>126</v>
      </c>
      <c r="B1246" s="10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6" t="s">
        <v>126</v>
      </c>
      <c r="B1247" s="10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6" t="s">
        <v>126</v>
      </c>
      <c r="B1248" s="10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6" t="s">
        <v>126</v>
      </c>
      <c r="B1249" s="10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6" t="s">
        <v>126</v>
      </c>
      <c r="B1250" s="10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6" t="s">
        <v>126</v>
      </c>
      <c r="B1251" s="10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6" t="s">
        <v>126</v>
      </c>
      <c r="B1252" s="10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6" t="s">
        <v>126</v>
      </c>
      <c r="B1253" s="10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6" t="s">
        <v>126</v>
      </c>
      <c r="B1254" s="10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6" t="s">
        <v>126</v>
      </c>
      <c r="B1255" s="10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6" t="s">
        <v>126</v>
      </c>
      <c r="B1256" s="10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6" t="s">
        <v>126</v>
      </c>
      <c r="B1257" s="10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6" t="s">
        <v>126</v>
      </c>
      <c r="B1258" s="10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6" t="s">
        <v>126</v>
      </c>
      <c r="B1259" s="10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6" t="s">
        <v>126</v>
      </c>
      <c r="B1260" s="10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6" t="s">
        <v>126</v>
      </c>
      <c r="B1261" s="10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6" t="s">
        <v>126</v>
      </c>
      <c r="B1262" s="10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6" t="s">
        <v>126</v>
      </c>
      <c r="B1263" s="10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6" t="s">
        <v>126</v>
      </c>
      <c r="B1264" s="10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6" t="s">
        <v>126</v>
      </c>
      <c r="B1265" s="10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6" t="s">
        <v>126</v>
      </c>
      <c r="B1266" s="10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6" t="s">
        <v>126</v>
      </c>
      <c r="B1267" s="10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6" t="s">
        <v>126</v>
      </c>
      <c r="B1268" s="10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6" t="s">
        <v>126</v>
      </c>
      <c r="B1269" s="10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6" t="s">
        <v>126</v>
      </c>
      <c r="B1270" s="10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6" t="s">
        <v>126</v>
      </c>
      <c r="B1271" s="10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6" t="s">
        <v>126</v>
      </c>
      <c r="B1272" s="10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6" t="s">
        <v>126</v>
      </c>
      <c r="B1273" s="10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6" t="s">
        <v>126</v>
      </c>
      <c r="B1274" s="10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6" t="s">
        <v>126</v>
      </c>
      <c r="B1275" s="10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6" t="s">
        <v>126</v>
      </c>
      <c r="B1276" s="10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6" t="s">
        <v>126</v>
      </c>
      <c r="B1277" s="10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6" t="s">
        <v>126</v>
      </c>
      <c r="B1278" s="10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6" t="s">
        <v>126</v>
      </c>
      <c r="B1279" s="10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6" t="s">
        <v>126</v>
      </c>
      <c r="B1280" s="10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6" t="s">
        <v>126</v>
      </c>
      <c r="B1281" s="10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6" t="s">
        <v>126</v>
      </c>
      <c r="B1282" s="10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6" t="s">
        <v>126</v>
      </c>
      <c r="B1283" s="10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6" t="s">
        <v>126</v>
      </c>
      <c r="B1284" s="10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6" t="s">
        <v>126</v>
      </c>
      <c r="B1285" s="10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6" t="s">
        <v>126</v>
      </c>
      <c r="B1286" s="10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6" t="s">
        <v>126</v>
      </c>
      <c r="B1287" s="10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6" t="s">
        <v>126</v>
      </c>
      <c r="B1288" s="10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6" t="s">
        <v>126</v>
      </c>
      <c r="B1289" s="10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6" t="s">
        <v>126</v>
      </c>
      <c r="B1290" s="10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6" t="s">
        <v>126</v>
      </c>
      <c r="B1291" s="10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6" t="s">
        <v>126</v>
      </c>
      <c r="B1292" s="10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6" t="s">
        <v>126</v>
      </c>
      <c r="B1293" s="10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6" t="s">
        <v>126</v>
      </c>
      <c r="B1294" s="10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6" t="s">
        <v>126</v>
      </c>
      <c r="B1295" s="10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6" t="s">
        <v>126</v>
      </c>
      <c r="B1296" s="10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6" t="s">
        <v>126</v>
      </c>
      <c r="B1297" s="10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6" t="s">
        <v>126</v>
      </c>
      <c r="B1298" s="10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6" t="s">
        <v>126</v>
      </c>
      <c r="B1299" s="10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6" t="s">
        <v>126</v>
      </c>
      <c r="B1300" s="10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6" t="s">
        <v>126</v>
      </c>
      <c r="B1301" s="10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6" t="s">
        <v>126</v>
      </c>
      <c r="B1302" s="10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6" t="s">
        <v>126</v>
      </c>
      <c r="B1303" s="10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6" t="s">
        <v>126</v>
      </c>
      <c r="B1304" s="10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6" t="s">
        <v>126</v>
      </c>
      <c r="B1305" s="10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6" t="s">
        <v>126</v>
      </c>
      <c r="B1306" s="10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6" t="s">
        <v>126</v>
      </c>
      <c r="B1307" s="10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6" t="s">
        <v>126</v>
      </c>
      <c r="B1308" s="10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6" t="s">
        <v>126</v>
      </c>
      <c r="B1309" s="10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6" t="s">
        <v>126</v>
      </c>
      <c r="B1310" s="10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6" t="s">
        <v>126</v>
      </c>
      <c r="B1311" s="10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6" t="s">
        <v>126</v>
      </c>
      <c r="B1312" s="10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18" x14ac:dyDescent="0.25">
      <c r="A1313" s="116" t="s">
        <v>126</v>
      </c>
      <c r="B1313" s="10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18" x14ac:dyDescent="0.25">
      <c r="A1314" s="116" t="s">
        <v>126</v>
      </c>
      <c r="B1314" s="10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18" x14ac:dyDescent="0.25">
      <c r="A1315" s="116" t="s">
        <v>126</v>
      </c>
      <c r="B1315" s="10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18" x14ac:dyDescent="0.25">
      <c r="A1316" s="116" t="s">
        <v>126</v>
      </c>
      <c r="B1316" s="10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18" x14ac:dyDescent="0.25">
      <c r="A1317" s="116" t="s">
        <v>126</v>
      </c>
      <c r="B1317" s="10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18" x14ac:dyDescent="0.25">
      <c r="A1318" s="116" t="s">
        <v>126</v>
      </c>
      <c r="B1318" s="10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18" x14ac:dyDescent="0.25">
      <c r="A1319" s="116" t="s">
        <v>126</v>
      </c>
      <c r="B1319" s="10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18" x14ac:dyDescent="0.25">
      <c r="A1320" s="116" t="s">
        <v>126</v>
      </c>
      <c r="B1320" s="10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18" x14ac:dyDescent="0.25">
      <c r="A1321" s="116" t="s">
        <v>126</v>
      </c>
      <c r="B1321" s="10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18" x14ac:dyDescent="0.25">
      <c r="A1322" s="116" t="s">
        <v>126</v>
      </c>
      <c r="B1322" s="10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18" x14ac:dyDescent="0.25">
      <c r="A1323" s="116" t="s">
        <v>126</v>
      </c>
      <c r="B1323" s="10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18" x14ac:dyDescent="0.25">
      <c r="A1324" s="116" t="s">
        <v>126</v>
      </c>
      <c r="B1324" s="10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18" x14ac:dyDescent="0.25">
      <c r="A1325" s="116" t="s">
        <v>126</v>
      </c>
      <c r="B1325" s="10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18" x14ac:dyDescent="0.25">
      <c r="A1326" s="116" t="s">
        <v>126</v>
      </c>
      <c r="B1326" s="10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18" x14ac:dyDescent="0.25">
      <c r="A1327" s="116" t="s">
        <v>126</v>
      </c>
      <c r="B1327" s="10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2026-06-04T00:17:53Z</dcterms:modified>
  <cp:category/>
  <cp:contentStatus/>
</cp:coreProperties>
</file>